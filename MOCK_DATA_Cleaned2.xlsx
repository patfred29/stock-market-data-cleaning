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ED\Desktop\excel worksheets\"/>
    </mc:Choice>
  </mc:AlternateContent>
  <bookViews>
    <workbookView xWindow="0" yWindow="0" windowWidth="19200" windowHeight="7640" activeTab="1"/>
  </bookViews>
  <sheets>
    <sheet name="MOCK_DATA" sheetId="1" r:id="rId1"/>
    <sheet name="pivot_chart" sheetId="2" r:id="rId2"/>
  </sheets>
  <definedNames>
    <definedName name="_xlnm._FilterDatabase" localSheetId="0" hidden="1">MOCK_DATA!$A$1:$U$1001</definedName>
  </definedNames>
  <calcPr calcId="162913"/>
  <pivotCaches>
    <pivotCache cacheId="1" r:id="rId3"/>
    <pivotCache cacheId="2" r:id="rId4"/>
    <pivotCache cacheId="3" r:id="rId5"/>
  </pivotCaches>
</workbook>
</file>

<file path=xl/calcChain.xml><?xml version="1.0" encoding="utf-8"?>
<calcChain xmlns="http://schemas.openxmlformats.org/spreadsheetml/2006/main">
  <c r="Y2" i="1" l="1"/>
  <c r="X2" i="1"/>
  <c r="AC2" i="1" l="1"/>
  <c r="AB2" i="1"/>
  <c r="AA2" i="1"/>
  <c r="AC1" i="1"/>
  <c r="AB1" i="1"/>
  <c r="AA1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3" i="1"/>
  <c r="Z2" i="1" l="1"/>
</calcChain>
</file>

<file path=xl/sharedStrings.xml><?xml version="1.0" encoding="utf-8"?>
<sst xmlns="http://schemas.openxmlformats.org/spreadsheetml/2006/main" count="13104" uniqueCount="8051">
  <si>
    <t>Dode</t>
  </si>
  <si>
    <t>Durman</t>
  </si>
  <si>
    <t>Female</t>
  </si>
  <si>
    <t>210.173.114.59</t>
  </si>
  <si>
    <t>210.143.162.158</t>
  </si>
  <si>
    <t>NASDAQ</t>
  </si>
  <si>
    <t>EGRX</t>
  </si>
  <si>
    <t>Eagle Pharmaceuticals, Inc.</t>
  </si>
  <si>
    <t>Health Care</t>
  </si>
  <si>
    <t>Major Pharmaceuticals</t>
  </si>
  <si>
    <t>$1.12B</t>
  </si>
  <si>
    <t>Riobard</t>
  </si>
  <si>
    <t>Sutheran</t>
  </si>
  <si>
    <t>Male</t>
  </si>
  <si>
    <t>209.73.3.19</t>
  </si>
  <si>
    <t>21.198.196.112</t>
  </si>
  <si>
    <t>MDVXW</t>
  </si>
  <si>
    <t>Medovex Corp.</t>
  </si>
  <si>
    <t>Medical/Dental Instruments</t>
  </si>
  <si>
    <t>Malchy</t>
  </si>
  <si>
    <t>Mangon</t>
  </si>
  <si>
    <t>40.96.8.198</t>
  </si>
  <si>
    <t>66.110.198.128</t>
  </si>
  <si>
    <t>SHLO</t>
  </si>
  <si>
    <t>Shiloh Industries, Inc.</t>
  </si>
  <si>
    <t>Capital Goods</t>
  </si>
  <si>
    <t>Industrial Specialties</t>
  </si>
  <si>
    <t>$243.62M</t>
  </si>
  <si>
    <t>Neely</t>
  </si>
  <si>
    <t>Couzens</t>
  </si>
  <si>
    <t>40.74.42.144</t>
  </si>
  <si>
    <t>62.92.237.109</t>
  </si>
  <si>
    <t>NYSE</t>
  </si>
  <si>
    <t>CYS^A</t>
  </si>
  <si>
    <t>CYS Investments, Inc.</t>
  </si>
  <si>
    <t>Shell</t>
  </si>
  <si>
    <t>Slyvester</t>
  </si>
  <si>
    <t>34.16.92.152</t>
  </si>
  <si>
    <t>232.89.64.25</t>
  </si>
  <si>
    <t>SPE</t>
  </si>
  <si>
    <t>Special Opportunities Fund Inc.</t>
  </si>
  <si>
    <t>$128.56M</t>
  </si>
  <si>
    <t>Nerissa</t>
  </si>
  <si>
    <t>Bullent</t>
  </si>
  <si>
    <t>132.195.230.106</t>
  </si>
  <si>
    <t>97.167.198.83</t>
  </si>
  <si>
    <t>ACGLP</t>
  </si>
  <si>
    <t>Arch Capital Group Ltd.</t>
  </si>
  <si>
    <t>Finance</t>
  </si>
  <si>
    <t>Property-Casualty Insurers</t>
  </si>
  <si>
    <t>Si</t>
  </si>
  <si>
    <t>Emanuel</t>
  </si>
  <si>
    <t>Genderfluid</t>
  </si>
  <si>
    <t>67.15.21.205</t>
  </si>
  <si>
    <t>145.65.85.16</t>
  </si>
  <si>
    <t>ITCB</t>
  </si>
  <si>
    <t>Ita? CorpBanca</t>
  </si>
  <si>
    <t>Major Banks</t>
  </si>
  <si>
    <t>$4.74B</t>
  </si>
  <si>
    <t>Nicky</t>
  </si>
  <si>
    <t>Pinnocke</t>
  </si>
  <si>
    <t>Bigender</t>
  </si>
  <si>
    <t>215.169.21.208</t>
  </si>
  <si>
    <t>25.75.213.68</t>
  </si>
  <si>
    <t>PSDO</t>
  </si>
  <si>
    <t>Presidio, Inc.</t>
  </si>
  <si>
    <t>Technology</t>
  </si>
  <si>
    <t>Retail: Computer Software &amp; Peripheral Equipment</t>
  </si>
  <si>
    <t>$1.36B</t>
  </si>
  <si>
    <t>Vivienne</t>
  </si>
  <si>
    <t>Wannes</t>
  </si>
  <si>
    <t>145.246.146.239</t>
  </si>
  <si>
    <t>229.124.56.138</t>
  </si>
  <si>
    <t>PMTS</t>
  </si>
  <si>
    <t>CPI Card Group Inc.</t>
  </si>
  <si>
    <t>Finance Companies</t>
  </si>
  <si>
    <t>$127.33M</t>
  </si>
  <si>
    <t>Glennis</t>
  </si>
  <si>
    <t>Longman</t>
  </si>
  <si>
    <t>106.222.212.88</t>
  </si>
  <si>
    <t>222.206.200.212</t>
  </si>
  <si>
    <t>GDO</t>
  </si>
  <si>
    <t>Western Asset Global Corporate Defined Opportunity Fund Inc.</t>
  </si>
  <si>
    <t>$267.88M</t>
  </si>
  <si>
    <t>Baily</t>
  </si>
  <si>
    <t>McCarrison</t>
  </si>
  <si>
    <t>202.221.149.77</t>
  </si>
  <si>
    <t>38.35.206.135</t>
  </si>
  <si>
    <t>GIS</t>
  </si>
  <si>
    <t>General Mills, Inc.</t>
  </si>
  <si>
    <t>Consumer Non-Durables</t>
  </si>
  <si>
    <t>Packaged Foods</t>
  </si>
  <si>
    <t>$32.9B</t>
  </si>
  <si>
    <t>Carny</t>
  </si>
  <si>
    <t>Moseley</t>
  </si>
  <si>
    <t>79.118.24.26</t>
  </si>
  <si>
    <t>211.144.90.61</t>
  </si>
  <si>
    <t>MNR</t>
  </si>
  <si>
    <t>Monmouth Real Estate Investment Corporation</t>
  </si>
  <si>
    <t>Consumer Services</t>
  </si>
  <si>
    <t>Real Estate Investment Trusts</t>
  </si>
  <si>
    <t>$1.1B</t>
  </si>
  <si>
    <t>Tommi</t>
  </si>
  <si>
    <t>Willmer</t>
  </si>
  <si>
    <t>Non-binary</t>
  </si>
  <si>
    <t>173.82.144.240</t>
  </si>
  <si>
    <t>226.168.242.14</t>
  </si>
  <si>
    <t>WBAI</t>
  </si>
  <si>
    <t>500.com Limited</t>
  </si>
  <si>
    <t>Services-Misc. Amusement &amp; Recreation</t>
  </si>
  <si>
    <t>$384.71M</t>
  </si>
  <si>
    <t>Rowney</t>
  </si>
  <si>
    <t>Corington</t>
  </si>
  <si>
    <t>196.138.204.62</t>
  </si>
  <si>
    <t>200.126.204.163</t>
  </si>
  <si>
    <t>ATHN</t>
  </si>
  <si>
    <t>athenahealth, Inc.</t>
  </si>
  <si>
    <t>Miscellaneous</t>
  </si>
  <si>
    <t>Business Services</t>
  </si>
  <si>
    <t>$5.79B</t>
  </si>
  <si>
    <t>Beryl</t>
  </si>
  <si>
    <t>McCambrois</t>
  </si>
  <si>
    <t>41.180.17.152</t>
  </si>
  <si>
    <t>199.38.70.203</t>
  </si>
  <si>
    <t>CCCL</t>
  </si>
  <si>
    <t>China Ceramics Co., Ltd.</t>
  </si>
  <si>
    <t>Building Materials</t>
  </si>
  <si>
    <t>$4.5M</t>
  </si>
  <si>
    <t>Lorrie</t>
  </si>
  <si>
    <t>Talmadge</t>
  </si>
  <si>
    <t>109.175.19.221</t>
  </si>
  <si>
    <t>54.26.56.207</t>
  </si>
  <si>
    <t>UZB</t>
  </si>
  <si>
    <t>United States Cellular Corporation</t>
  </si>
  <si>
    <t>Public Utilities</t>
  </si>
  <si>
    <t>Telecommunications Equipment</t>
  </si>
  <si>
    <t>Correy</t>
  </si>
  <si>
    <t>Tellenbach</t>
  </si>
  <si>
    <t>55.159.252.253</t>
  </si>
  <si>
    <t>128.9.189.109</t>
  </si>
  <si>
    <t>COG</t>
  </si>
  <si>
    <t>Cabot Oil &amp; Gas Corporation</t>
  </si>
  <si>
    <t>Energy</t>
  </si>
  <si>
    <t>Oil &amp; Gas Production</t>
  </si>
  <si>
    <t>$10.76B</t>
  </si>
  <si>
    <t>Bertina</t>
  </si>
  <si>
    <t>Neville</t>
  </si>
  <si>
    <t>17.3.77.165</t>
  </si>
  <si>
    <t>236.15.146.191</t>
  </si>
  <si>
    <t>HMLP</t>
  </si>
  <si>
    <t>Hoegh LNG Partners LP</t>
  </si>
  <si>
    <t>Marine Transportation</t>
  </si>
  <si>
    <t>$628.6M</t>
  </si>
  <si>
    <t>Allyson</t>
  </si>
  <si>
    <t>Meeus</t>
  </si>
  <si>
    <t>90.150.220.134</t>
  </si>
  <si>
    <t>85.0.4.56</t>
  </si>
  <si>
    <t>MTB.WS</t>
  </si>
  <si>
    <t>M&amp;T Bank Corporation</t>
  </si>
  <si>
    <t>Kevon</t>
  </si>
  <si>
    <t>Bateup</t>
  </si>
  <si>
    <t>Genderqueer</t>
  </si>
  <si>
    <t>135.154.249.129</t>
  </si>
  <si>
    <t>69.250.2.111</t>
  </si>
  <si>
    <t>BDX</t>
  </si>
  <si>
    <t>Becton, Dickinson and Company</t>
  </si>
  <si>
    <t>$43.49B</t>
  </si>
  <si>
    <t>Falkner</t>
  </si>
  <si>
    <t>Carillo</t>
  </si>
  <si>
    <t>136.51.38.130</t>
  </si>
  <si>
    <t>184.33.28.109</t>
  </si>
  <si>
    <t>SO</t>
  </si>
  <si>
    <t>Southern Company (The)</t>
  </si>
  <si>
    <t>Electric Utilities: Central</t>
  </si>
  <si>
    <t>$51.25B</t>
  </si>
  <si>
    <t>Davon</t>
  </si>
  <si>
    <t>Blackaby</t>
  </si>
  <si>
    <t>16.86.86.206</t>
  </si>
  <si>
    <t>163.90.221.30</t>
  </si>
  <si>
    <t>ZNGA</t>
  </si>
  <si>
    <t>Zynga Inc.</t>
  </si>
  <si>
    <t>EDP Services</t>
  </si>
  <si>
    <t>$3.17B</t>
  </si>
  <si>
    <t>Pat</t>
  </si>
  <si>
    <t>Dockery</t>
  </si>
  <si>
    <t>111.84.168.172</t>
  </si>
  <si>
    <t>217.63.119.27</t>
  </si>
  <si>
    <t>LXU</t>
  </si>
  <si>
    <t>Lsb Industries Inc.</t>
  </si>
  <si>
    <t>Basic Industries</t>
  </si>
  <si>
    <t>Major Chemicals</t>
  </si>
  <si>
    <t>$295.41M</t>
  </si>
  <si>
    <t>Emogene</t>
  </si>
  <si>
    <t>Winham</t>
  </si>
  <si>
    <t>8.163.158.231</t>
  </si>
  <si>
    <t>45.119.88.135</t>
  </si>
  <si>
    <t>ABMD</t>
  </si>
  <si>
    <t>ABIOMED, Inc.</t>
  </si>
  <si>
    <t>$6.28B</t>
  </si>
  <si>
    <t>Burghall</t>
  </si>
  <si>
    <t>106.204.167.215</t>
  </si>
  <si>
    <t>63.95.202.97</t>
  </si>
  <si>
    <t>PYDS</t>
  </si>
  <si>
    <t>Payment Data Systems, Inc.</t>
  </si>
  <si>
    <t>Investment Bankers/Brokers/Service</t>
  </si>
  <si>
    <t>$15.38M</t>
  </si>
  <si>
    <t>Hy</t>
  </si>
  <si>
    <t>Decruse</t>
  </si>
  <si>
    <t>Agender</t>
  </si>
  <si>
    <t>140.147.219.233</t>
  </si>
  <si>
    <t>128.91.63.41</t>
  </si>
  <si>
    <t>ASUR</t>
  </si>
  <si>
    <t>Asure Software Inc</t>
  </si>
  <si>
    <t>$172.9M</t>
  </si>
  <si>
    <t>Tucky</t>
  </si>
  <si>
    <t>Pickless</t>
  </si>
  <si>
    <t>239.215.147.130</t>
  </si>
  <si>
    <t>250.221.251.194</t>
  </si>
  <si>
    <t>JMT</t>
  </si>
  <si>
    <t>Nuven Mortgage Opportunity Term Fund 2</t>
  </si>
  <si>
    <t>$118.37M</t>
  </si>
  <si>
    <t>Palmer</t>
  </si>
  <si>
    <t>Bamblett</t>
  </si>
  <si>
    <t>103.105.98.208</t>
  </si>
  <si>
    <t>135.149.3.175</t>
  </si>
  <si>
    <t>AVK</t>
  </si>
  <si>
    <t>Advent Claymore Convertible Securities and Income Fund</t>
  </si>
  <si>
    <t>$378.24M</t>
  </si>
  <si>
    <t>Wandie</t>
  </si>
  <si>
    <t>Flecknoe</t>
  </si>
  <si>
    <t>83.187.21.149</t>
  </si>
  <si>
    <t>238.0.177.1</t>
  </si>
  <si>
    <t>LFGR</t>
  </si>
  <si>
    <t>Leaf Group Ltd.</t>
  </si>
  <si>
    <t>$162.87M</t>
  </si>
  <si>
    <t>Stan</t>
  </si>
  <si>
    <t>Soames</t>
  </si>
  <si>
    <t>18.46.16.89</t>
  </si>
  <si>
    <t>102.173.226.153</t>
  </si>
  <si>
    <t>ICFI</t>
  </si>
  <si>
    <t>ICF International, Inc.</t>
  </si>
  <si>
    <t>Professional Services</t>
  </si>
  <si>
    <t>$882.65M</t>
  </si>
  <si>
    <t>Elsworth</t>
  </si>
  <si>
    <t>Matz</t>
  </si>
  <si>
    <t>73.209.240.224</t>
  </si>
  <si>
    <t>178.58.14.171</t>
  </si>
  <si>
    <t>CEMI</t>
  </si>
  <si>
    <t>Chembio Diagnostics, Inc.</t>
  </si>
  <si>
    <t>$73.79M</t>
  </si>
  <si>
    <t>Raviv</t>
  </si>
  <si>
    <t>Tender</t>
  </si>
  <si>
    <t>223.71.83.74</t>
  </si>
  <si>
    <t>119.66.199.215</t>
  </si>
  <si>
    <t>WCFB</t>
  </si>
  <si>
    <t>WCF Bancorp, Inc.</t>
  </si>
  <si>
    <t>$26.13M</t>
  </si>
  <si>
    <t>Barbabas</t>
  </si>
  <si>
    <t>Oldacre</t>
  </si>
  <si>
    <t>122.251.70.24</t>
  </si>
  <si>
    <t>7.180.32.24</t>
  </si>
  <si>
    <t>ETSY</t>
  </si>
  <si>
    <t>Etsy, Inc.</t>
  </si>
  <si>
    <t>$1.59B</t>
  </si>
  <si>
    <t>Zebedee</t>
  </si>
  <si>
    <t>De Francisci</t>
  </si>
  <si>
    <t>91.1.27.179</t>
  </si>
  <si>
    <t>39.16.70.225</t>
  </si>
  <si>
    <t>IIIN</t>
  </si>
  <si>
    <t>Insteel Industries, Inc.</t>
  </si>
  <si>
    <t>Steel/Iron Ore</t>
  </si>
  <si>
    <t>$605.76M</t>
  </si>
  <si>
    <t>Rochell</t>
  </si>
  <si>
    <t>MacDowal</t>
  </si>
  <si>
    <t>153.109.6.43</t>
  </si>
  <si>
    <t>236.18.213.165</t>
  </si>
  <si>
    <t>NHLD</t>
  </si>
  <si>
    <t>National Holdings Corporation</t>
  </si>
  <si>
    <t>$34.45M</t>
  </si>
  <si>
    <t>Onfroi</t>
  </si>
  <si>
    <t>Warlawe</t>
  </si>
  <si>
    <t>113.77.100.238</t>
  </si>
  <si>
    <t>156.160.243.167</t>
  </si>
  <si>
    <t>RGC</t>
  </si>
  <si>
    <t>Regal Entertainment Group</t>
  </si>
  <si>
    <t>Movies/Entertainment</t>
  </si>
  <si>
    <t>$3.36B</t>
  </si>
  <si>
    <t>Darcee</t>
  </si>
  <si>
    <t>Sanford</t>
  </si>
  <si>
    <t>135.130.206.58</t>
  </si>
  <si>
    <t>93.221.148.232</t>
  </si>
  <si>
    <t>NTWK</t>
  </si>
  <si>
    <t>NetSol Technologies Inc.</t>
  </si>
  <si>
    <t>Computer Software: Prepackaged Software</t>
  </si>
  <si>
    <t>$45.09M</t>
  </si>
  <si>
    <t>Warren</t>
  </si>
  <si>
    <t>Foulkes</t>
  </si>
  <si>
    <t>26.130.69.54</t>
  </si>
  <si>
    <t>227.24.211.159</t>
  </si>
  <si>
    <t>ORC</t>
  </si>
  <si>
    <t>Orchid Island Capital, Inc.</t>
  </si>
  <si>
    <t>$350.52M</t>
  </si>
  <si>
    <t>Melitta</t>
  </si>
  <si>
    <t>Kenzie</t>
  </si>
  <si>
    <t>221.115.169.0</t>
  </si>
  <si>
    <t>68.126.128.3</t>
  </si>
  <si>
    <t>OA</t>
  </si>
  <si>
    <t>Orbital ATK, Inc.</t>
  </si>
  <si>
    <t>Military/Government/Technical</t>
  </si>
  <si>
    <t>$5.74B</t>
  </si>
  <si>
    <t>Lucas</t>
  </si>
  <si>
    <t>Jiggins</t>
  </si>
  <si>
    <t>210.212.164.166</t>
  </si>
  <si>
    <t>90.196.134.29</t>
  </si>
  <si>
    <t>APPN</t>
  </si>
  <si>
    <t>Appian Corporation</t>
  </si>
  <si>
    <t>$1.07B</t>
  </si>
  <si>
    <t>Kelcie</t>
  </si>
  <si>
    <t>Stoad</t>
  </si>
  <si>
    <t>31.209.201.116</t>
  </si>
  <si>
    <t>231.18.224.146</t>
  </si>
  <si>
    <t>TANNZ</t>
  </si>
  <si>
    <t>TravelCenters of America LLC</t>
  </si>
  <si>
    <t>Consumer Durables</t>
  </si>
  <si>
    <t>Automotive Aftermarket</t>
  </si>
  <si>
    <t>Chickie</t>
  </si>
  <si>
    <t>Casiroli</t>
  </si>
  <si>
    <t>96.139.76.66</t>
  </si>
  <si>
    <t>221.157.14.19</t>
  </si>
  <si>
    <t>RARE</t>
  </si>
  <si>
    <t>Ultragenyx Pharmaceutical Inc.</t>
  </si>
  <si>
    <t>$2.64B</t>
  </si>
  <si>
    <t>Pierrette</t>
  </si>
  <si>
    <t>Gobourn</t>
  </si>
  <si>
    <t>184.248.76.50</t>
  </si>
  <si>
    <t>229.216.218.215</t>
  </si>
  <si>
    <t>NTEST</t>
  </si>
  <si>
    <t>NASDAQ TEST STOCK</t>
  </si>
  <si>
    <t>Cchaddie</t>
  </si>
  <si>
    <t>Elam</t>
  </si>
  <si>
    <t>106.100.176.178</t>
  </si>
  <si>
    <t>55.210.84.234</t>
  </si>
  <si>
    <t>AETI</t>
  </si>
  <si>
    <t>American Electric Technologies, Inc.</t>
  </si>
  <si>
    <t>Industrial Machinery/Components</t>
  </si>
  <si>
    <t>$12.31M</t>
  </si>
  <si>
    <t>Dick</t>
  </si>
  <si>
    <t>Matitiaho</t>
  </si>
  <si>
    <t>44.46.235.48</t>
  </si>
  <si>
    <t>212.22.136.255</t>
  </si>
  <si>
    <t>PL^C</t>
  </si>
  <si>
    <t>Protective Life Corporation</t>
  </si>
  <si>
    <t>Lisbeth</t>
  </si>
  <si>
    <t>Neillans</t>
  </si>
  <si>
    <t>122.15.171.200</t>
  </si>
  <si>
    <t>88.47.117.99</t>
  </si>
  <si>
    <t>BAC^L</t>
  </si>
  <si>
    <t>Bank of America Corporation</t>
  </si>
  <si>
    <t>Alyse</t>
  </si>
  <si>
    <t>Lamdin</t>
  </si>
  <si>
    <t>116.44.232.1</t>
  </si>
  <si>
    <t>237.200.136.16</t>
  </si>
  <si>
    <t>CACC</t>
  </si>
  <si>
    <t>Credit Acceptance Corporation</t>
  </si>
  <si>
    <t>Finance: Consumer Services</t>
  </si>
  <si>
    <t>$4.64B</t>
  </si>
  <si>
    <t>Alistair</t>
  </si>
  <si>
    <t>Cruddace</t>
  </si>
  <si>
    <t>242.5.103.114</t>
  </si>
  <si>
    <t>174.34.12.135</t>
  </si>
  <si>
    <t>TAPR</t>
  </si>
  <si>
    <t>Barclays Inverse US Treasury Composite ETN</t>
  </si>
  <si>
    <t>Commercial Banks</t>
  </si>
  <si>
    <t>$14.79M</t>
  </si>
  <si>
    <t>Fidelity</t>
  </si>
  <si>
    <t>Siddele</t>
  </si>
  <si>
    <t>62.147.43.8</t>
  </si>
  <si>
    <t>75.112.186.158</t>
  </si>
  <si>
    <t>TISI</t>
  </si>
  <si>
    <t>Team, Inc.</t>
  </si>
  <si>
    <t>Other Consumer Services</t>
  </si>
  <si>
    <t>$751.34M</t>
  </si>
  <si>
    <t>Happy</t>
  </si>
  <si>
    <t>Saleway</t>
  </si>
  <si>
    <t>22.26.238.238</t>
  </si>
  <si>
    <t>15.137.154.148</t>
  </si>
  <si>
    <t>PZC</t>
  </si>
  <si>
    <t>PIMCO California Municipal Income Fund III</t>
  </si>
  <si>
    <t>$283.89M</t>
  </si>
  <si>
    <t>Phelia</t>
  </si>
  <si>
    <t>Griffithe</t>
  </si>
  <si>
    <t>35.45.204.0</t>
  </si>
  <si>
    <t>171.36.92.103</t>
  </si>
  <si>
    <t>WALA</t>
  </si>
  <si>
    <t>Western Alliance Bancorporation</t>
  </si>
  <si>
    <t>Brigitte</t>
  </si>
  <si>
    <t>Caldow</t>
  </si>
  <si>
    <t>154.196.35.29</t>
  </si>
  <si>
    <t>140.1.206.7</t>
  </si>
  <si>
    <t>MTR</t>
  </si>
  <si>
    <t>Mesa Royalty Trust</t>
  </si>
  <si>
    <t>$22.46M</t>
  </si>
  <si>
    <t>Lizzy</t>
  </si>
  <si>
    <t>Gosse</t>
  </si>
  <si>
    <t>16.161.130.55</t>
  </si>
  <si>
    <t>192.245.205.20</t>
  </si>
  <si>
    <t>GLAD</t>
  </si>
  <si>
    <t>Gladstone Capital Corporation</t>
  </si>
  <si>
    <t>$253.65M</t>
  </si>
  <si>
    <t>Korney</t>
  </si>
  <si>
    <t>Cathery</t>
  </si>
  <si>
    <t>84.70.178.170</t>
  </si>
  <si>
    <t>134.24.150.125</t>
  </si>
  <si>
    <t>AFSD</t>
  </si>
  <si>
    <t>Aflac Incorporated</t>
  </si>
  <si>
    <t>Accident &amp;Health Insurance</t>
  </si>
  <si>
    <t>Iorgos</t>
  </si>
  <si>
    <t>Jancar</t>
  </si>
  <si>
    <t>141.31.179.142</t>
  </si>
  <si>
    <t>101.125.106.238</t>
  </si>
  <si>
    <t>UCTT</t>
  </si>
  <si>
    <t>Ultra Clean Holdings, Inc.</t>
  </si>
  <si>
    <t>Semiconductors</t>
  </si>
  <si>
    <t>$690.58M</t>
  </si>
  <si>
    <t>Frieda</t>
  </si>
  <si>
    <t>Begent</t>
  </si>
  <si>
    <t>74.111.228.61</t>
  </si>
  <si>
    <t>44.77.11.249</t>
  </si>
  <si>
    <t>JPM^E</t>
  </si>
  <si>
    <t>J P Morgan Chase &amp; Co</t>
  </si>
  <si>
    <t>Ker</t>
  </si>
  <si>
    <t>Scoffham</t>
  </si>
  <si>
    <t>129.97.7.155</t>
  </si>
  <si>
    <t>152.104.222.181</t>
  </si>
  <si>
    <t>IBKR</t>
  </si>
  <si>
    <t>Interactive Brokers Group, Inc.</t>
  </si>
  <si>
    <t>$14.98B</t>
  </si>
  <si>
    <t>Velma</t>
  </si>
  <si>
    <t>Prince</t>
  </si>
  <si>
    <t>169.104.84.10</t>
  </si>
  <si>
    <t>99.176.239.198</t>
  </si>
  <si>
    <t>FFWM</t>
  </si>
  <si>
    <t>First Foundation Inc.</t>
  </si>
  <si>
    <t>$543.15M</t>
  </si>
  <si>
    <t>Jefferson</t>
  </si>
  <si>
    <t>Davidovics</t>
  </si>
  <si>
    <t>115.17.211.223</t>
  </si>
  <si>
    <t>206.108.202.108</t>
  </si>
  <si>
    <t>DNB</t>
  </si>
  <si>
    <t>Dun &amp; Bradstreet Corporation (The)</t>
  </si>
  <si>
    <t>$3.91B</t>
  </si>
  <si>
    <t>Dav</t>
  </si>
  <si>
    <t>Upham</t>
  </si>
  <si>
    <t>238.255.180.85</t>
  </si>
  <si>
    <t>53.206.80.187</t>
  </si>
  <si>
    <t>IIM</t>
  </si>
  <si>
    <t>Invesco Value Municipal Income Trust</t>
  </si>
  <si>
    <t>$713.38M</t>
  </si>
  <si>
    <t>Anatollo</t>
  </si>
  <si>
    <t>Thursby</t>
  </si>
  <si>
    <t>73.181.58.197</t>
  </si>
  <si>
    <t>175.24.223.71</t>
  </si>
  <si>
    <t>SHO^F</t>
  </si>
  <si>
    <t>Sunstone Hotel Investors, Inc.</t>
  </si>
  <si>
    <t>Brockie</t>
  </si>
  <si>
    <t>Dollman</t>
  </si>
  <si>
    <t>243.189.99.247</t>
  </si>
  <si>
    <t>84.222.239.5</t>
  </si>
  <si>
    <t>MCO</t>
  </si>
  <si>
    <t>Moody's Corporation</t>
  </si>
  <si>
    <t>$23.39B</t>
  </si>
  <si>
    <t>Joellen</t>
  </si>
  <si>
    <t>Atwood</t>
  </si>
  <si>
    <t>32.252.253.172</t>
  </si>
  <si>
    <t>167.23.3.247</t>
  </si>
  <si>
    <t>GLDI</t>
  </si>
  <si>
    <t>X-Links Gold Shares Covered Call ETN</t>
  </si>
  <si>
    <t>$126.29M</t>
  </si>
  <si>
    <t>Sullivan</t>
  </si>
  <si>
    <t>Budden</t>
  </si>
  <si>
    <t>4.232.40.103</t>
  </si>
  <si>
    <t>185.73.54.11</t>
  </si>
  <si>
    <t>BCBP</t>
  </si>
  <si>
    <t>BCB Bancorp, Inc. (NJ)</t>
  </si>
  <si>
    <t>Savings Institutions</t>
  </si>
  <si>
    <t>$174.42M</t>
  </si>
  <si>
    <t>Gherardo</t>
  </si>
  <si>
    <t>Payze</t>
  </si>
  <si>
    <t>170.59.50.97</t>
  </si>
  <si>
    <t>11.107.174.150</t>
  </si>
  <si>
    <t>KTCC</t>
  </si>
  <si>
    <t>Key Tronic Corporation</t>
  </si>
  <si>
    <t>Computer peripheral equipment</t>
  </si>
  <si>
    <t>$73.17M</t>
  </si>
  <si>
    <t>Genevieve</t>
  </si>
  <si>
    <t>Petel</t>
  </si>
  <si>
    <t>96.76.60.24</t>
  </si>
  <si>
    <t>212.2.173.16</t>
  </si>
  <si>
    <t>NTEST.B</t>
  </si>
  <si>
    <t>Tracey</t>
  </si>
  <si>
    <t>Labrow</t>
  </si>
  <si>
    <t>158.72.5.180</t>
  </si>
  <si>
    <t>30.61.56.84</t>
  </si>
  <si>
    <t>CRC</t>
  </si>
  <si>
    <t>California Resources Corporation</t>
  </si>
  <si>
    <t>$441.26M</t>
  </si>
  <si>
    <t>Cris</t>
  </si>
  <si>
    <t>McKirton</t>
  </si>
  <si>
    <t>33.241.203.151</t>
  </si>
  <si>
    <t>113.153.102.57</t>
  </si>
  <si>
    <t>Farlee</t>
  </si>
  <si>
    <t>O'Geaney</t>
  </si>
  <si>
    <t>198.154.45.203</t>
  </si>
  <si>
    <t>123.123.51.131</t>
  </si>
  <si>
    <t>FHN^A</t>
  </si>
  <si>
    <t>First Horizon National Corporation</t>
  </si>
  <si>
    <t>Harvey</t>
  </si>
  <si>
    <t>Somerscales</t>
  </si>
  <si>
    <t>31.52.167.175</t>
  </si>
  <si>
    <t>183.221.9.43</t>
  </si>
  <si>
    <t>NBN</t>
  </si>
  <si>
    <t>Northeast Bancorp</t>
  </si>
  <si>
    <t>$180.4M</t>
  </si>
  <si>
    <t>Natale</t>
  </si>
  <si>
    <t>Vedenisov</t>
  </si>
  <si>
    <t>139.255.207.48</t>
  </si>
  <si>
    <t>201.110.130.172</t>
  </si>
  <si>
    <t>LVHD</t>
  </si>
  <si>
    <t>Legg Mason Low Volatility High Dividend ETF</t>
  </si>
  <si>
    <t>Chev</t>
  </si>
  <si>
    <t>Kinnon</t>
  </si>
  <si>
    <t>9.235.50.248</t>
  </si>
  <si>
    <t>206.2.116.18</t>
  </si>
  <si>
    <t>LGI</t>
  </si>
  <si>
    <t>Lazard Global Total Return and Income Fund</t>
  </si>
  <si>
    <t>$156.37M</t>
  </si>
  <si>
    <t>Maurita</t>
  </si>
  <si>
    <t>Geater</t>
  </si>
  <si>
    <t>253.107.167.137</t>
  </si>
  <si>
    <t>17.147.233.147</t>
  </si>
  <si>
    <t>HT^C</t>
  </si>
  <si>
    <t>Hersha Hospitality Trust</t>
  </si>
  <si>
    <t>Kirsten</t>
  </si>
  <si>
    <t>Swarbrick</t>
  </si>
  <si>
    <t>62.114.139.114</t>
  </si>
  <si>
    <t>218.206.61.2</t>
  </si>
  <si>
    <t>BSTC</t>
  </si>
  <si>
    <t>BioSpecifics Technologies Corp</t>
  </si>
  <si>
    <t>$345.31M</t>
  </si>
  <si>
    <t>Antonia</t>
  </si>
  <si>
    <t>Colombier</t>
  </si>
  <si>
    <t>196.132.8.219</t>
  </si>
  <si>
    <t>102.68.77.251</t>
  </si>
  <si>
    <t>RNST</t>
  </si>
  <si>
    <t>Renasant Corporation</t>
  </si>
  <si>
    <t>$1.94B</t>
  </si>
  <si>
    <t>Cort</t>
  </si>
  <si>
    <t>Henrie</t>
  </si>
  <si>
    <t>100.180.232.9</t>
  </si>
  <si>
    <t>63.115.70.85</t>
  </si>
  <si>
    <t>BORN</t>
  </si>
  <si>
    <t>China New Borun Corporation</t>
  </si>
  <si>
    <t>Beverages (Production/Distribution)</t>
  </si>
  <si>
    <t>$34.21M</t>
  </si>
  <si>
    <t>Miquela</t>
  </si>
  <si>
    <t>Warsop</t>
  </si>
  <si>
    <t>52.104.221.123</t>
  </si>
  <si>
    <t>180.220.177.32</t>
  </si>
  <si>
    <t>PRE^G</t>
  </si>
  <si>
    <t>PartnerRe Ltd.</t>
  </si>
  <si>
    <t>Lyon</t>
  </si>
  <si>
    <t>Moraleda</t>
  </si>
  <si>
    <t>172.210.186.208</t>
  </si>
  <si>
    <t>153.65.84.159</t>
  </si>
  <si>
    <t>PEB^D</t>
  </si>
  <si>
    <t>Pebblebrook Hotel Trust</t>
  </si>
  <si>
    <t>Abner</t>
  </si>
  <si>
    <t>Nickoll</t>
  </si>
  <si>
    <t>230.120.181.252</t>
  </si>
  <si>
    <t>157.176.173.141</t>
  </si>
  <si>
    <t>BML^G</t>
  </si>
  <si>
    <t>Mikkel</t>
  </si>
  <si>
    <t>Phizacklea</t>
  </si>
  <si>
    <t>222.86.98.194</t>
  </si>
  <si>
    <t>195.42.75.196</t>
  </si>
  <si>
    <t>AHL^C</t>
  </si>
  <si>
    <t>Aspen Insurance Holdings Limited</t>
  </si>
  <si>
    <t>Had</t>
  </si>
  <si>
    <t>Kliemke</t>
  </si>
  <si>
    <t>229.115.45.54</t>
  </si>
  <si>
    <t>156.156.135.36</t>
  </si>
  <si>
    <t>WNS</t>
  </si>
  <si>
    <t>WNS (Holdings) Limited</t>
  </si>
  <si>
    <t>$1.63B</t>
  </si>
  <si>
    <t>Brianne</t>
  </si>
  <si>
    <t>Youngman</t>
  </si>
  <si>
    <t>147.161.161.161</t>
  </si>
  <si>
    <t>1.12.47.68</t>
  </si>
  <si>
    <t>NVTA</t>
  </si>
  <si>
    <t>Invitae Corporation</t>
  </si>
  <si>
    <t>Medical Specialities</t>
  </si>
  <si>
    <t>$395.64M</t>
  </si>
  <si>
    <t>Lorant</t>
  </si>
  <si>
    <t>Kellert</t>
  </si>
  <si>
    <t>201.124.67.19</t>
  </si>
  <si>
    <t>101.134.73.159</t>
  </si>
  <si>
    <t>UZA</t>
  </si>
  <si>
    <t>Roman</t>
  </si>
  <si>
    <t>Valentelli</t>
  </si>
  <si>
    <t>57.77.54.55</t>
  </si>
  <si>
    <t>232.181.48.245</t>
  </si>
  <si>
    <t>CR</t>
  </si>
  <si>
    <t>Crane Company</t>
  </si>
  <si>
    <t>Metal Fabrications</t>
  </si>
  <si>
    <t>$4.72B</t>
  </si>
  <si>
    <t>Bayard</t>
  </si>
  <si>
    <t>Sunderland</t>
  </si>
  <si>
    <t>66.162.98.5</t>
  </si>
  <si>
    <t>189.12.79.23</t>
  </si>
  <si>
    <t>SCACU</t>
  </si>
  <si>
    <t>Saban Capital Acquisition Corp.</t>
  </si>
  <si>
    <t>Corbett</t>
  </si>
  <si>
    <t>Rossey</t>
  </si>
  <si>
    <t>142.249.64.59</t>
  </si>
  <si>
    <t>95.56.30.75</t>
  </si>
  <si>
    <t>QEP</t>
  </si>
  <si>
    <t>QEP Resources, Inc.</t>
  </si>
  <si>
    <t>$2.18B</t>
  </si>
  <si>
    <t>Yurik</t>
  </si>
  <si>
    <t>Trubshaw</t>
  </si>
  <si>
    <t>185.122.150.142</t>
  </si>
  <si>
    <t>209.38.140.114</t>
  </si>
  <si>
    <t>FT</t>
  </si>
  <si>
    <t>Franklin Universal Trust</t>
  </si>
  <si>
    <t>$184.47M</t>
  </si>
  <si>
    <t>Susanetta</t>
  </si>
  <si>
    <t>Wright</t>
  </si>
  <si>
    <t>36.152.77.240</t>
  </si>
  <si>
    <t>64.209.218.227</t>
  </si>
  <si>
    <t>NVIV</t>
  </si>
  <si>
    <t>InVivo Therapeutics Holdings Corp.</t>
  </si>
  <si>
    <t>$69.13M</t>
  </si>
  <si>
    <t>Risa</t>
  </si>
  <si>
    <t>Gallyhaock</t>
  </si>
  <si>
    <t>240.152.53.255</t>
  </si>
  <si>
    <t>176.129.201.251</t>
  </si>
  <si>
    <t>EKSO</t>
  </si>
  <si>
    <t>Ekso Bionics Holdings, Inc.</t>
  </si>
  <si>
    <t>$49.22M</t>
  </si>
  <si>
    <t>Katerina</t>
  </si>
  <si>
    <t>Heard</t>
  </si>
  <si>
    <t>58.121.240.101</t>
  </si>
  <si>
    <t>217.223.139.198</t>
  </si>
  <si>
    <t>ITI</t>
  </si>
  <si>
    <t>Iteris, Inc.</t>
  </si>
  <si>
    <t>$182.94M</t>
  </si>
  <si>
    <t>Jeanette</t>
  </si>
  <si>
    <t>Barnbrook</t>
  </si>
  <si>
    <t>73.130.227.135</t>
  </si>
  <si>
    <t>184.184.167.106</t>
  </si>
  <si>
    <t>COT</t>
  </si>
  <si>
    <t>Cott Corporation</t>
  </si>
  <si>
    <t>$1.97B</t>
  </si>
  <si>
    <t>Mychal</t>
  </si>
  <si>
    <t>Lucey</t>
  </si>
  <si>
    <t>35.202.97.120</t>
  </si>
  <si>
    <t>106.206.70.212</t>
  </si>
  <si>
    <t>RLGY</t>
  </si>
  <si>
    <t>Realogy Holdings Corp.</t>
  </si>
  <si>
    <t>Real Estate</t>
  </si>
  <si>
    <t>$4.14B</t>
  </si>
  <si>
    <t>Shanda</t>
  </si>
  <si>
    <t>Chatfield</t>
  </si>
  <si>
    <t>156.81.55.249</t>
  </si>
  <si>
    <t>83.237.195.156</t>
  </si>
  <si>
    <t>MSBI</t>
  </si>
  <si>
    <t>Midland States Bancorp, Inc.</t>
  </si>
  <si>
    <t>$655.78M</t>
  </si>
  <si>
    <t>El</t>
  </si>
  <si>
    <t>Conant</t>
  </si>
  <si>
    <t>6.153.176.217</t>
  </si>
  <si>
    <t>88.19.34.178</t>
  </si>
  <si>
    <t>REVG</t>
  </si>
  <si>
    <t>REV Group, Inc.</t>
  </si>
  <si>
    <t>Auto Manufacturing</t>
  </si>
  <si>
    <t>$1.92B</t>
  </si>
  <si>
    <t>Shanan</t>
  </si>
  <si>
    <t>Penrose</t>
  </si>
  <si>
    <t>159.59.99.174</t>
  </si>
  <si>
    <t>167.16.215.229</t>
  </si>
  <si>
    <t>LMOS</t>
  </si>
  <si>
    <t>Lumos Networks Corp.</t>
  </si>
  <si>
    <t>$427.4M</t>
  </si>
  <si>
    <t>Monroe</t>
  </si>
  <si>
    <t>Ashe</t>
  </si>
  <si>
    <t>56.58.85.93</t>
  </si>
  <si>
    <t>175.218.180.36</t>
  </si>
  <si>
    <t>TSLF</t>
  </si>
  <si>
    <t>THL Credit Senior Loan Fund</t>
  </si>
  <si>
    <t>$133.17M</t>
  </si>
  <si>
    <t>Libbey</t>
  </si>
  <si>
    <t>McColm</t>
  </si>
  <si>
    <t>198.160.30.62</t>
  </si>
  <si>
    <t>218.225.76.141</t>
  </si>
  <si>
    <t>CHDN</t>
  </si>
  <si>
    <t>Churchill Downs, Incorporated</t>
  </si>
  <si>
    <t>$2.83B</t>
  </si>
  <si>
    <t>Lanette</t>
  </si>
  <si>
    <t>Nolan</t>
  </si>
  <si>
    <t>212.51.251.28</t>
  </si>
  <si>
    <t>46.78.254.184</t>
  </si>
  <si>
    <t>LII</t>
  </si>
  <si>
    <t>Lennox International, Inc.</t>
  </si>
  <si>
    <t>$8.05B</t>
  </si>
  <si>
    <t>Aldrich</t>
  </si>
  <si>
    <t>Dyshart</t>
  </si>
  <si>
    <t>112.183.116.115</t>
  </si>
  <si>
    <t>254.202.111.65</t>
  </si>
  <si>
    <t>CDW</t>
  </si>
  <si>
    <t>CDW Corporation</t>
  </si>
  <si>
    <t>Catalog/Specialty Distribution</t>
  </si>
  <si>
    <t>$9.73B</t>
  </si>
  <si>
    <t>Ashien</t>
  </si>
  <si>
    <t>Filochov</t>
  </si>
  <si>
    <t>7.78.72.171</t>
  </si>
  <si>
    <t>134.33.247.187</t>
  </si>
  <si>
    <t>PCYO</t>
  </si>
  <si>
    <t>Pure Cycle Corporation</t>
  </si>
  <si>
    <t>Water Supply</t>
  </si>
  <si>
    <t>$188.85M</t>
  </si>
  <si>
    <t>Westbrooke</t>
  </si>
  <si>
    <t>Fishly</t>
  </si>
  <si>
    <t>156.243.177.219</t>
  </si>
  <si>
    <t>208.241.111.222</t>
  </si>
  <si>
    <t>SRUNU</t>
  </si>
  <si>
    <t>Silver Run Acquisition Corporation II</t>
  </si>
  <si>
    <t>Lonna</t>
  </si>
  <si>
    <t>Fain</t>
  </si>
  <si>
    <t>93.97.121.185</t>
  </si>
  <si>
    <t>185.151.233.216</t>
  </si>
  <si>
    <t>TCF.WS</t>
  </si>
  <si>
    <t>TCF Financial Corporation</t>
  </si>
  <si>
    <t>Rosa</t>
  </si>
  <si>
    <t>Yelyashev</t>
  </si>
  <si>
    <t>240.106.131.145</t>
  </si>
  <si>
    <t>218.9.224.20</t>
  </si>
  <si>
    <t>AMOV</t>
  </si>
  <si>
    <t>America Movil, S.A.B. de C.V.</t>
  </si>
  <si>
    <t>$51.95B</t>
  </si>
  <si>
    <t>Sutherlan</t>
  </si>
  <si>
    <t>Arnaudon</t>
  </si>
  <si>
    <t>0.29.179.173</t>
  </si>
  <si>
    <t>239.245.152.212</t>
  </si>
  <si>
    <t>NTRS</t>
  </si>
  <si>
    <t>Northern Trust Corporation</t>
  </si>
  <si>
    <t>$21.71B</t>
  </si>
  <si>
    <t>Garner</t>
  </si>
  <si>
    <t>Farey</t>
  </si>
  <si>
    <t>113.201.203.40</t>
  </si>
  <si>
    <t>200.217.133.242</t>
  </si>
  <si>
    <t>GFN</t>
  </si>
  <si>
    <t>General Finance Corporation</t>
  </si>
  <si>
    <t>Diversified Commercial Services</t>
  </si>
  <si>
    <t>$125.85M</t>
  </si>
  <si>
    <t>Lani</t>
  </si>
  <si>
    <t>Filipiak</t>
  </si>
  <si>
    <t>129.129.234.91</t>
  </si>
  <si>
    <t>87.135.122.129</t>
  </si>
  <si>
    <t>WFC^Q</t>
  </si>
  <si>
    <t>Wells Fargo &amp; Company</t>
  </si>
  <si>
    <t>Hube</t>
  </si>
  <si>
    <t>Trett</t>
  </si>
  <si>
    <t>47.210.235.155</t>
  </si>
  <si>
    <t>160.35.213.107</t>
  </si>
  <si>
    <t>AGU</t>
  </si>
  <si>
    <t>Agrium Inc.</t>
  </si>
  <si>
    <t>Agricultural Chemicals</t>
  </si>
  <si>
    <t>$12.97B</t>
  </si>
  <si>
    <t>Sisely</t>
  </si>
  <si>
    <t>Gyngyll</t>
  </si>
  <si>
    <t>92.0.97.207</t>
  </si>
  <si>
    <t>120.206.47.203</t>
  </si>
  <si>
    <t>CHEKW</t>
  </si>
  <si>
    <t>Check-Cap Ltd.</t>
  </si>
  <si>
    <t>Medical Electronics</t>
  </si>
  <si>
    <t>Darby</t>
  </si>
  <si>
    <t>Antoniades</t>
  </si>
  <si>
    <t>53.41.86.111</t>
  </si>
  <si>
    <t>196.183.94.65</t>
  </si>
  <si>
    <t>EMF</t>
  </si>
  <si>
    <t>Templeton Emerging Markets Fund</t>
  </si>
  <si>
    <t>$266.9M</t>
  </si>
  <si>
    <t>Avictor</t>
  </si>
  <si>
    <t>Kuhnel</t>
  </si>
  <si>
    <t>173.203.199.57</t>
  </si>
  <si>
    <t>78.187.82.11</t>
  </si>
  <si>
    <t>BTE</t>
  </si>
  <si>
    <t>Baytex Energy Corp</t>
  </si>
  <si>
    <t>$592.54M</t>
  </si>
  <si>
    <t>Lorry</t>
  </si>
  <si>
    <t>Divall</t>
  </si>
  <si>
    <t>67.177.72.88</t>
  </si>
  <si>
    <t>232.163.210.77</t>
  </si>
  <si>
    <t>NXEOW</t>
  </si>
  <si>
    <t>Nexeo Solutions, Inc.</t>
  </si>
  <si>
    <t>Specialty Chemicals</t>
  </si>
  <si>
    <t>Ignazio</t>
  </si>
  <si>
    <t>Fronzek</t>
  </si>
  <si>
    <t>73.240.218.80</t>
  </si>
  <si>
    <t>95.56.93.226</t>
  </si>
  <si>
    <t>EGF</t>
  </si>
  <si>
    <t>Blackrock Enhanced Government Fund, Inc</t>
  </si>
  <si>
    <t>$86.58M</t>
  </si>
  <si>
    <t>Inness</t>
  </si>
  <si>
    <t>Eskrick</t>
  </si>
  <si>
    <t>106.100.66.182</t>
  </si>
  <si>
    <t>234.168.81.172</t>
  </si>
  <si>
    <t>ARNC</t>
  </si>
  <si>
    <t>Arconic Inc.</t>
  </si>
  <si>
    <t>$11.65B</t>
  </si>
  <si>
    <t>Danie</t>
  </si>
  <si>
    <t>Troop</t>
  </si>
  <si>
    <t>234.173.41.0</t>
  </si>
  <si>
    <t>161.5.145.139</t>
  </si>
  <si>
    <t>CNK</t>
  </si>
  <si>
    <t>Cinemark Holdings Inc</t>
  </si>
  <si>
    <t>$4.82B</t>
  </si>
  <si>
    <t>Rosalind</t>
  </si>
  <si>
    <t>Genicke</t>
  </si>
  <si>
    <t>53.152.51.39</t>
  </si>
  <si>
    <t>185.147.140.139</t>
  </si>
  <si>
    <t>VTA</t>
  </si>
  <si>
    <t>Invesco Credit Opportunities Fund</t>
  </si>
  <si>
    <t>$888.39M</t>
  </si>
  <si>
    <t>Gaby</t>
  </si>
  <si>
    <t>Lozano</t>
  </si>
  <si>
    <t>232.203.22.125</t>
  </si>
  <si>
    <t>74.23.142.37</t>
  </si>
  <si>
    <t>CASI</t>
  </si>
  <si>
    <t>CASI Pharmaceuticals, Inc.</t>
  </si>
  <si>
    <t>Biotechnology: Biological Products (No Diagnostic Substances)</t>
  </si>
  <si>
    <t>$55.38M</t>
  </si>
  <si>
    <t>Jaime</t>
  </si>
  <si>
    <t>Claxson</t>
  </si>
  <si>
    <t>212.69.63.227</t>
  </si>
  <si>
    <t>230.207.100.49</t>
  </si>
  <si>
    <t>QPAC</t>
  </si>
  <si>
    <t>Quinpario Acquisition Corp. 2</t>
  </si>
  <si>
    <t>$288.2M</t>
  </si>
  <si>
    <t>Florian</t>
  </si>
  <si>
    <t>Guyonneau</t>
  </si>
  <si>
    <t>187.71.133.169</t>
  </si>
  <si>
    <t>247.171.168.150</t>
  </si>
  <si>
    <t>HQY</t>
  </si>
  <si>
    <t>HealthEquity, Inc.</t>
  </si>
  <si>
    <t>$3.07B</t>
  </si>
  <si>
    <t>Noland</t>
  </si>
  <si>
    <t>Aharoni</t>
  </si>
  <si>
    <t>102.104.87.227</t>
  </si>
  <si>
    <t>58.243.237.162</t>
  </si>
  <si>
    <t>AMAG</t>
  </si>
  <si>
    <t>AMAG Pharmaceuticals, Inc.</t>
  </si>
  <si>
    <t>$574.74M</t>
  </si>
  <si>
    <t>Dinley</t>
  </si>
  <si>
    <t>158.182.16.69</t>
  </si>
  <si>
    <t>13.105.94.232</t>
  </si>
  <si>
    <t>FNBG</t>
  </si>
  <si>
    <t>FNB Bancorp</t>
  </si>
  <si>
    <t>$200.83M</t>
  </si>
  <si>
    <t>Rebecka</t>
  </si>
  <si>
    <t>Leasor</t>
  </si>
  <si>
    <t>137.80.0.97</t>
  </si>
  <si>
    <t>72.253.11.127</t>
  </si>
  <si>
    <t>GJP</t>
  </si>
  <si>
    <t>Synthetic Fixed-Income Securities, Inc.</t>
  </si>
  <si>
    <t>Albina</t>
  </si>
  <si>
    <t>Penrith</t>
  </si>
  <si>
    <t>158.112.26.101</t>
  </si>
  <si>
    <t>128.135.35.11</t>
  </si>
  <si>
    <t>FIBK</t>
  </si>
  <si>
    <t>First Interstate BancSystem, Inc.</t>
  </si>
  <si>
    <t>$2.13B</t>
  </si>
  <si>
    <t>Ado</t>
  </si>
  <si>
    <t>Milksop</t>
  </si>
  <si>
    <t>231.189.126.1</t>
  </si>
  <si>
    <t>102.213.17.69</t>
  </si>
  <si>
    <t>AWR</t>
  </si>
  <si>
    <t>American States Water Company</t>
  </si>
  <si>
    <t>$1.83B</t>
  </si>
  <si>
    <t>Saw</t>
  </si>
  <si>
    <t>Greaser</t>
  </si>
  <si>
    <t>247.116.173.112</t>
  </si>
  <si>
    <t>164.159.126.162</t>
  </si>
  <si>
    <t>HP</t>
  </si>
  <si>
    <t>Helmerich &amp; Payne, Inc.</t>
  </si>
  <si>
    <t>$5.97B</t>
  </si>
  <si>
    <t>Ede</t>
  </si>
  <si>
    <t>Heddy</t>
  </si>
  <si>
    <t>95.14.98.7</t>
  </si>
  <si>
    <t>180.226.216.216</t>
  </si>
  <si>
    <t>WMK</t>
  </si>
  <si>
    <t>Weis Markets, Inc.</t>
  </si>
  <si>
    <t>Food Chains</t>
  </si>
  <si>
    <t>$1.3B</t>
  </si>
  <si>
    <t>Brandtr</t>
  </si>
  <si>
    <t>Longland</t>
  </si>
  <si>
    <t>131.166.119.117</t>
  </si>
  <si>
    <t>100.30.52.63</t>
  </si>
  <si>
    <t>LECO</t>
  </si>
  <si>
    <t>Lincoln Electric Holdings, Inc.</t>
  </si>
  <si>
    <t>$6.35B</t>
  </si>
  <si>
    <t>Silvana</t>
  </si>
  <si>
    <t>Pylkynyton</t>
  </si>
  <si>
    <t>88.60.63.137</t>
  </si>
  <si>
    <t>168.72.164.52</t>
  </si>
  <si>
    <t>VYMI</t>
  </si>
  <si>
    <t>Vanguard International High Dividend Yield ETF</t>
  </si>
  <si>
    <t>$371.88M</t>
  </si>
  <si>
    <t>King</t>
  </si>
  <si>
    <t>Scroxton</t>
  </si>
  <si>
    <t>207.4.0.208</t>
  </si>
  <si>
    <t>231.188.128.210</t>
  </si>
  <si>
    <t>TICC</t>
  </si>
  <si>
    <t>TICC Capital Corp.</t>
  </si>
  <si>
    <t>$361.9M</t>
  </si>
  <si>
    <t>Kit</t>
  </si>
  <si>
    <t>Banton</t>
  </si>
  <si>
    <t>56.28.144.1</t>
  </si>
  <si>
    <t>84.100.139.58</t>
  </si>
  <si>
    <t>AVT</t>
  </si>
  <si>
    <t>Avnet, Inc.</t>
  </si>
  <si>
    <t>Electronic Components</t>
  </si>
  <si>
    <t>Flin</t>
  </si>
  <si>
    <t>Struss</t>
  </si>
  <si>
    <t>190.125.111.83</t>
  </si>
  <si>
    <t>242.114.20.11</t>
  </si>
  <si>
    <t>CFR^A</t>
  </si>
  <si>
    <t>Cullen/Frost Bankers, Inc.</t>
  </si>
  <si>
    <t>Margalo</t>
  </si>
  <si>
    <t>Spurgeon</t>
  </si>
  <si>
    <t>240.15.196.87</t>
  </si>
  <si>
    <t>226.27.104.39</t>
  </si>
  <si>
    <t>DXYN</t>
  </si>
  <si>
    <t>The Dixie Group, Inc.</t>
  </si>
  <si>
    <t>Home Furnishings</t>
  </si>
  <si>
    <t>$71.76M</t>
  </si>
  <si>
    <t>Lindy</t>
  </si>
  <si>
    <t>Londors</t>
  </si>
  <si>
    <t>224.244.244.178</t>
  </si>
  <si>
    <t>240.136.179.19</t>
  </si>
  <si>
    <t>DWLD</t>
  </si>
  <si>
    <t>Davis Select Worldwide ETF</t>
  </si>
  <si>
    <t>Abby</t>
  </si>
  <si>
    <t>Edmonson</t>
  </si>
  <si>
    <t>226.121.85.250</t>
  </si>
  <si>
    <t>215.51.51.201</t>
  </si>
  <si>
    <t>HCOM</t>
  </si>
  <si>
    <t>Hawaiian Telcom Holdco, Inc.</t>
  </si>
  <si>
    <t>$301.17M</t>
  </si>
  <si>
    <t>Dionis</t>
  </si>
  <si>
    <t>Goodlad</t>
  </si>
  <si>
    <t>108.255.228.118</t>
  </si>
  <si>
    <t>63.119.171.91</t>
  </si>
  <si>
    <t>RRC</t>
  </si>
  <si>
    <t>Range Resources Corporation</t>
  </si>
  <si>
    <t>Christina</t>
  </si>
  <si>
    <t>Hedon</t>
  </si>
  <si>
    <t>137.169.211.57</t>
  </si>
  <si>
    <t>79.154.152.122</t>
  </si>
  <si>
    <t>CBPX</t>
  </si>
  <si>
    <t>Continental Building Products, Inc.</t>
  </si>
  <si>
    <t>$927.58M</t>
  </si>
  <si>
    <t>Denis</t>
  </si>
  <si>
    <t>Broggini</t>
  </si>
  <si>
    <t>148.53.52.226</t>
  </si>
  <si>
    <t>17.154.254.149</t>
  </si>
  <si>
    <t>CASS</t>
  </si>
  <si>
    <t>Cass Information Systems, Inc</t>
  </si>
  <si>
    <t>$738.7M</t>
  </si>
  <si>
    <t>Vivianne</t>
  </si>
  <si>
    <t>Elphey</t>
  </si>
  <si>
    <t>149.181.96.104</t>
  </si>
  <si>
    <t>199.208.149.15</t>
  </si>
  <si>
    <t>PSA^X</t>
  </si>
  <si>
    <t>Public Storage</t>
  </si>
  <si>
    <t>Timmy</t>
  </si>
  <si>
    <t>Cavil</t>
  </si>
  <si>
    <t>134.84.119.216</t>
  </si>
  <si>
    <t>66.226.109.141</t>
  </si>
  <si>
    <t>AGZD</t>
  </si>
  <si>
    <t>WisdomTree Barclays Interest Rate Hedged U.S. Aggregate Bond F</t>
  </si>
  <si>
    <t>$23.97M</t>
  </si>
  <si>
    <t>Thorndike</t>
  </si>
  <si>
    <t>Karlmann</t>
  </si>
  <si>
    <t>58.154.176.189</t>
  </si>
  <si>
    <t>178.87.213.234</t>
  </si>
  <si>
    <t>PCF</t>
  </si>
  <si>
    <t>Putnam High Income Bond Fund</t>
  </si>
  <si>
    <t>$114.59M</t>
  </si>
  <si>
    <t>Borden</t>
  </si>
  <si>
    <t>De Hooch</t>
  </si>
  <si>
    <t>253.59.251.208</t>
  </si>
  <si>
    <t>162.238.248.39</t>
  </si>
  <si>
    <t>GAINO</t>
  </si>
  <si>
    <t>Gladstone Investment Corporation</t>
  </si>
  <si>
    <t>Florina</t>
  </si>
  <si>
    <t>Pennigar</t>
  </si>
  <si>
    <t>215.117.111.193</t>
  </si>
  <si>
    <t>255.249.191.11</t>
  </si>
  <si>
    <t>OTIV</t>
  </si>
  <si>
    <t>On Track Innovations Ltd</t>
  </si>
  <si>
    <t>$51.37M</t>
  </si>
  <si>
    <t>Gilligan</t>
  </si>
  <si>
    <t>Howe</t>
  </si>
  <si>
    <t>37.36.62.211</t>
  </si>
  <si>
    <t>208.230.115.172</t>
  </si>
  <si>
    <t>JRS</t>
  </si>
  <si>
    <t>Nuveen Real Estate Fund</t>
  </si>
  <si>
    <t>$328.51M</t>
  </si>
  <si>
    <t>Nappy</t>
  </si>
  <si>
    <t>Killshaw</t>
  </si>
  <si>
    <t>241.72.181.202</t>
  </si>
  <si>
    <t>156.140.121.142</t>
  </si>
  <si>
    <t>AXGN</t>
  </si>
  <si>
    <t>AxoGen, Inc.</t>
  </si>
  <si>
    <t>Biotechnology: Electromedical &amp; Electrotherapeutic Apparatus</t>
  </si>
  <si>
    <t>$488.16M</t>
  </si>
  <si>
    <t>Jeramie</t>
  </si>
  <si>
    <t>Padilla</t>
  </si>
  <si>
    <t>25.172.11.83</t>
  </si>
  <si>
    <t>137.253.54.247</t>
  </si>
  <si>
    <t>HLG</t>
  </si>
  <si>
    <t>Hailiang Education Group Inc.</t>
  </si>
  <si>
    <t>$205.6M</t>
  </si>
  <si>
    <t>Sigismond</t>
  </si>
  <si>
    <t>Pyrah</t>
  </si>
  <si>
    <t>208.191.61.213</t>
  </si>
  <si>
    <t>79.118.70.48</t>
  </si>
  <si>
    <t>ORN</t>
  </si>
  <si>
    <t>Orion Group Holdings, Inc.</t>
  </si>
  <si>
    <t>$198.43M</t>
  </si>
  <si>
    <t>Agnesse</t>
  </si>
  <si>
    <t>Lintall</t>
  </si>
  <si>
    <t>155.1.196.55</t>
  </si>
  <si>
    <t>140.167.1.116</t>
  </si>
  <si>
    <t>COTY</t>
  </si>
  <si>
    <t>Coty Inc.</t>
  </si>
  <si>
    <t>Package Goods/Cosmetics</t>
  </si>
  <si>
    <t>$14.24B</t>
  </si>
  <si>
    <t>Gillion</t>
  </si>
  <si>
    <t>180.11.149.178</t>
  </si>
  <si>
    <t>177.103.27.10</t>
  </si>
  <si>
    <t>MFT</t>
  </si>
  <si>
    <t>Blackrock MuniYield Investment QualityFund</t>
  </si>
  <si>
    <t>$120.08M</t>
  </si>
  <si>
    <t>Moria</t>
  </si>
  <si>
    <t>Molyneux</t>
  </si>
  <si>
    <t>4.169.113.107</t>
  </si>
  <si>
    <t>216.25.49.19</t>
  </si>
  <si>
    <t>FLT</t>
  </si>
  <si>
    <t>FleetCor Technologies, Inc.</t>
  </si>
  <si>
    <t>$13.32B</t>
  </si>
  <si>
    <t>Dyanne</t>
  </si>
  <si>
    <t>McKeurtan</t>
  </si>
  <si>
    <t>50.120.203.112</t>
  </si>
  <si>
    <t>98.72.51.140</t>
  </si>
  <si>
    <t>VSAT</t>
  </si>
  <si>
    <t>ViaSat, Inc.</t>
  </si>
  <si>
    <t>Radio And Television Broadcasting And Communications Equipment</t>
  </si>
  <si>
    <t>$3.9B</t>
  </si>
  <si>
    <t>Zane</t>
  </si>
  <si>
    <t>Gergler</t>
  </si>
  <si>
    <t>222.242.250.99</t>
  </si>
  <si>
    <t>231.16.229.30</t>
  </si>
  <si>
    <t>TRNO^A.CL</t>
  </si>
  <si>
    <t>Terreno Realty Corporation</t>
  </si>
  <si>
    <t>Sophia</t>
  </si>
  <si>
    <t>Tedorenko</t>
  </si>
  <si>
    <t>204.36.23.168</t>
  </si>
  <si>
    <t>93.47.32.53</t>
  </si>
  <si>
    <t>WB</t>
  </si>
  <si>
    <t>Weibo Corporation</t>
  </si>
  <si>
    <t>Computer Software: Programming, Data Processing</t>
  </si>
  <si>
    <t>$15.51B</t>
  </si>
  <si>
    <t>Giavani</t>
  </si>
  <si>
    <t>Brumen</t>
  </si>
  <si>
    <t>27.231.69.95</t>
  </si>
  <si>
    <t>45.34.170.235</t>
  </si>
  <si>
    <t>EAGL</t>
  </si>
  <si>
    <t>Double Eagle Acquisition Corp.</t>
  </si>
  <si>
    <t>$628.13M</t>
  </si>
  <si>
    <t>Georgie</t>
  </si>
  <si>
    <t>Bagnall</t>
  </si>
  <si>
    <t>168.100.55.9</t>
  </si>
  <si>
    <t>225.104.77.236</t>
  </si>
  <si>
    <t>SLGN</t>
  </si>
  <si>
    <t>Silgan Holdings Inc.</t>
  </si>
  <si>
    <t>Containers/Packaging</t>
  </si>
  <si>
    <t>$3.49B</t>
  </si>
  <si>
    <t>Hubert</t>
  </si>
  <si>
    <t>Sommerton</t>
  </si>
  <si>
    <t>230.248.209.56</t>
  </si>
  <si>
    <t>196.106.50.92</t>
  </si>
  <si>
    <t>PYPL</t>
  </si>
  <si>
    <t>PayPal Holdings, Inc.</t>
  </si>
  <si>
    <t>$62.27B</t>
  </si>
  <si>
    <t>Harlen</t>
  </si>
  <si>
    <t>Sterricks</t>
  </si>
  <si>
    <t>222.161.12.165</t>
  </si>
  <si>
    <t>119.204.63.101</t>
  </si>
  <si>
    <t>MH^A</t>
  </si>
  <si>
    <t>Maiden Holdings, Ltd.</t>
  </si>
  <si>
    <t>Alexio</t>
  </si>
  <si>
    <t>Eble</t>
  </si>
  <si>
    <t>27.109.69.176</t>
  </si>
  <si>
    <t>246.102.151.224</t>
  </si>
  <si>
    <t>RHT</t>
  </si>
  <si>
    <t>Red Hat, Inc.</t>
  </si>
  <si>
    <t>$15.62B</t>
  </si>
  <si>
    <t>Merissa</t>
  </si>
  <si>
    <t>Koenen</t>
  </si>
  <si>
    <t>76.234.200.202</t>
  </si>
  <si>
    <t>12.218.164.8</t>
  </si>
  <si>
    <t>CLNS^E</t>
  </si>
  <si>
    <t>Colony NorthStar, Inc.</t>
  </si>
  <si>
    <t>Luisa</t>
  </si>
  <si>
    <t>Adamski</t>
  </si>
  <si>
    <t>177.81.66.50</t>
  </si>
  <si>
    <t>111.65.221.137</t>
  </si>
  <si>
    <t>EBTC</t>
  </si>
  <si>
    <t>Enterprise Bancorp Inc</t>
  </si>
  <si>
    <t>$414.73M</t>
  </si>
  <si>
    <t>Elfrieda</t>
  </si>
  <si>
    <t>Dayes</t>
  </si>
  <si>
    <t>224.149.39.94</t>
  </si>
  <si>
    <t>114.176.55.99</t>
  </si>
  <si>
    <t>CMS</t>
  </si>
  <si>
    <t>CMS Energy Corporation</t>
  </si>
  <si>
    <t>Power Generation</t>
  </si>
  <si>
    <t>$13.53B</t>
  </si>
  <si>
    <t>Adria</t>
  </si>
  <si>
    <t>Witsey</t>
  </si>
  <si>
    <t>134.203.186.74</t>
  </si>
  <si>
    <t>38.151.28.2</t>
  </si>
  <si>
    <t>CFMS</t>
  </si>
  <si>
    <t>ConforMIS, Inc.</t>
  </si>
  <si>
    <t>$180.66M</t>
  </si>
  <si>
    <t>Nessa</t>
  </si>
  <si>
    <t>Godbolt</t>
  </si>
  <si>
    <t>239.49.106.79</t>
  </si>
  <si>
    <t>33.92.136.230</t>
  </si>
  <si>
    <t>BASI</t>
  </si>
  <si>
    <t>Bioanalytical Systems, Inc.</t>
  </si>
  <si>
    <t>Biotechnology: Commercial Physical &amp; Biological Resarch</t>
  </si>
  <si>
    <t>$13.02M</t>
  </si>
  <si>
    <t>Reany</t>
  </si>
  <si>
    <t>49.147.240.167</t>
  </si>
  <si>
    <t>241.6.160.143</t>
  </si>
  <si>
    <t>LLEX</t>
  </si>
  <si>
    <t>Lilis Energy, Inc.</t>
  </si>
  <si>
    <t>$267.73M</t>
  </si>
  <si>
    <t>Paulie</t>
  </si>
  <si>
    <t>Rundle</t>
  </si>
  <si>
    <t>6.18.186.92</t>
  </si>
  <si>
    <t>119.168.94.215</t>
  </si>
  <si>
    <t>VCYT</t>
  </si>
  <si>
    <t>Veracyte, Inc.</t>
  </si>
  <si>
    <t>$259.78M</t>
  </si>
  <si>
    <t>Olivia</t>
  </si>
  <si>
    <t>Forson</t>
  </si>
  <si>
    <t>21.129.66.161</t>
  </si>
  <si>
    <t>107.129.48.234</t>
  </si>
  <si>
    <t>BLL</t>
  </si>
  <si>
    <t>Ball Corporation</t>
  </si>
  <si>
    <t>$14.45B</t>
  </si>
  <si>
    <t>Stevana</t>
  </si>
  <si>
    <t>Brewse</t>
  </si>
  <si>
    <t>159.53.231.44</t>
  </si>
  <si>
    <t>50.184.143.60</t>
  </si>
  <si>
    <t>IR</t>
  </si>
  <si>
    <t>Ingersoll-Rand plc (Ireland)</t>
  </si>
  <si>
    <t>Auto Parts:O.E.M.</t>
  </si>
  <si>
    <t>$23.64B</t>
  </si>
  <si>
    <t>Calla</t>
  </si>
  <si>
    <t>Audibert</t>
  </si>
  <si>
    <t>117.16.54.237</t>
  </si>
  <si>
    <t>18.232.14.47</t>
  </si>
  <si>
    <t>ASBB</t>
  </si>
  <si>
    <t>ASB Bancorp, Inc.</t>
  </si>
  <si>
    <t>$167.24M</t>
  </si>
  <si>
    <t>Gavin</t>
  </si>
  <si>
    <t>Fearneley</t>
  </si>
  <si>
    <t>159.229.215.134</t>
  </si>
  <si>
    <t>141.65.215.194</t>
  </si>
  <si>
    <t>OI</t>
  </si>
  <si>
    <t>Owens-Illinois, Inc.</t>
  </si>
  <si>
    <t>$3.72B</t>
  </si>
  <si>
    <t>Trstram</t>
  </si>
  <si>
    <t>Bicknell</t>
  </si>
  <si>
    <t>168.81.84.15</t>
  </si>
  <si>
    <t>128.192.125.252</t>
  </si>
  <si>
    <t>JPT</t>
  </si>
  <si>
    <t>Nuveen Preferred and Income 2022 Term Fund</t>
  </si>
  <si>
    <t>$171.9M</t>
  </si>
  <si>
    <t>Diane-marie</t>
  </si>
  <si>
    <t>Mattis</t>
  </si>
  <si>
    <t>70.132.175.150</t>
  </si>
  <si>
    <t>7.221.235.132</t>
  </si>
  <si>
    <t>CTLT</t>
  </si>
  <si>
    <t>Catalent, Inc.</t>
  </si>
  <si>
    <t>$4.61B</t>
  </si>
  <si>
    <t>Erinn</t>
  </si>
  <si>
    <t>Pfeffer</t>
  </si>
  <si>
    <t>158.47.5.146</t>
  </si>
  <si>
    <t>210.121.121.167</t>
  </si>
  <si>
    <t>PKBK</t>
  </si>
  <si>
    <t>Parke Bancorp, Inc.</t>
  </si>
  <si>
    <t>$161.78M</t>
  </si>
  <si>
    <t>Arlene</t>
  </si>
  <si>
    <t>Reeves</t>
  </si>
  <si>
    <t>252.103.34.228</t>
  </si>
  <si>
    <t>64.182.21.57</t>
  </si>
  <si>
    <t>MBTF</t>
  </si>
  <si>
    <t>M B T Financial Corp</t>
  </si>
  <si>
    <t>$229.8M</t>
  </si>
  <si>
    <t>Ancell</t>
  </si>
  <si>
    <t>Abadam</t>
  </si>
  <si>
    <t>218.196.109.59</t>
  </si>
  <si>
    <t>91.171.233.200</t>
  </si>
  <si>
    <t>YIN</t>
  </si>
  <si>
    <t>Yintech Investment Holdings Limited</t>
  </si>
  <si>
    <t>$725.83M</t>
  </si>
  <si>
    <t>Vanna</t>
  </si>
  <si>
    <t>Ivashev</t>
  </si>
  <si>
    <t>194.237.147.16</t>
  </si>
  <si>
    <t>108.183.26.59</t>
  </si>
  <si>
    <t>Archambault</t>
  </si>
  <si>
    <t>Coathup</t>
  </si>
  <si>
    <t>32.237.10.31</t>
  </si>
  <si>
    <t>202.81.63.131</t>
  </si>
  <si>
    <t>FHCO</t>
  </si>
  <si>
    <t>Female Health Company (The)</t>
  </si>
  <si>
    <t>$36.35M</t>
  </si>
  <si>
    <t>Roch</t>
  </si>
  <si>
    <t>Eydel</t>
  </si>
  <si>
    <t>140.224.182.182</t>
  </si>
  <si>
    <t>83.17.227.181</t>
  </si>
  <si>
    <t>NTEST.C</t>
  </si>
  <si>
    <t>Corette</t>
  </si>
  <si>
    <t>Mewes</t>
  </si>
  <si>
    <t>189.0.135.6</t>
  </si>
  <si>
    <t>94.123.70.37</t>
  </si>
  <si>
    <t>OIIM</t>
  </si>
  <si>
    <t>O2Micro International Limited</t>
  </si>
  <si>
    <t>$47.92M</t>
  </si>
  <si>
    <t>Eden</t>
  </si>
  <si>
    <t>Gelardi</t>
  </si>
  <si>
    <t>146.41.152.187</t>
  </si>
  <si>
    <t>130.234.8.101</t>
  </si>
  <si>
    <t>CTAS</t>
  </si>
  <si>
    <t>Cintas Corporation</t>
  </si>
  <si>
    <t>Apparel</t>
  </si>
  <si>
    <t>$13.74B</t>
  </si>
  <si>
    <t>Maggie</t>
  </si>
  <si>
    <t>Maasz</t>
  </si>
  <si>
    <t>124.108.140.195</t>
  </si>
  <si>
    <t>124.20.126.100</t>
  </si>
  <si>
    <t>SCCO</t>
  </si>
  <si>
    <t>Southern Copper Corporation</t>
  </si>
  <si>
    <t>Precious Metals</t>
  </si>
  <si>
    <t>$26.62B</t>
  </si>
  <si>
    <t>Cobby</t>
  </si>
  <si>
    <t>Puckrin</t>
  </si>
  <si>
    <t>81.125.103.160</t>
  </si>
  <si>
    <t>145.15.53.205</t>
  </si>
  <si>
    <t>AKS</t>
  </si>
  <si>
    <t>AK Steel Holding Corporation</t>
  </si>
  <si>
    <t>$1.89B</t>
  </si>
  <si>
    <t>Cammy</t>
  </si>
  <si>
    <t>Walthall</t>
  </si>
  <si>
    <t>173.205.96.158</t>
  </si>
  <si>
    <t>244.127.131.234</t>
  </si>
  <si>
    <t>MGNX</t>
  </si>
  <si>
    <t>MacroGenics, Inc.</t>
  </si>
  <si>
    <t>$658.69M</t>
  </si>
  <si>
    <t>Roscoe</t>
  </si>
  <si>
    <t>Frounks</t>
  </si>
  <si>
    <t>83.118.200.248</t>
  </si>
  <si>
    <t>117.178.101.1</t>
  </si>
  <si>
    <t>SSW</t>
  </si>
  <si>
    <t>Seaspan Corporation</t>
  </si>
  <si>
    <t>Transportation</t>
  </si>
  <si>
    <t>$649.92M</t>
  </si>
  <si>
    <t>Aidan</t>
  </si>
  <si>
    <t>Comford</t>
  </si>
  <si>
    <t>1.46.57.143</t>
  </si>
  <si>
    <t>64.96.54.188</t>
  </si>
  <si>
    <t>WTFCW</t>
  </si>
  <si>
    <t>Wintrust Financial Corporation</t>
  </si>
  <si>
    <t>Nonnah</t>
  </si>
  <si>
    <t>Leacock</t>
  </si>
  <si>
    <t>138.28.48.139</t>
  </si>
  <si>
    <t>49.169.117.164</t>
  </si>
  <si>
    <t>DXB</t>
  </si>
  <si>
    <t>Deutsche Bank AG</t>
  </si>
  <si>
    <t>Elke</t>
  </si>
  <si>
    <t>Kimmel</t>
  </si>
  <si>
    <t>239.86.241.5</t>
  </si>
  <si>
    <t>65.63.116.205</t>
  </si>
  <si>
    <t>MYOK</t>
  </si>
  <si>
    <t>MyoKardia, Inc.</t>
  </si>
  <si>
    <t>$445.1M</t>
  </si>
  <si>
    <t>Turner</t>
  </si>
  <si>
    <t>Melledy</t>
  </si>
  <si>
    <t>118.33.62.241</t>
  </si>
  <si>
    <t>151.250.167.46</t>
  </si>
  <si>
    <t>SMG</t>
  </si>
  <si>
    <t>Scotts Miracle-Gro Company (The)</t>
  </si>
  <si>
    <t>$5.23B</t>
  </si>
  <si>
    <t>Anabel</t>
  </si>
  <si>
    <t>Blowfield</t>
  </si>
  <si>
    <t>12.25.109.187</t>
  </si>
  <si>
    <t>128.223.33.210</t>
  </si>
  <si>
    <t>MAS</t>
  </si>
  <si>
    <t>Masco Corporation</t>
  </si>
  <si>
    <t>Forest Products</t>
  </si>
  <si>
    <t>$12.32B</t>
  </si>
  <si>
    <t>Shermy</t>
  </si>
  <si>
    <t>Condie</t>
  </si>
  <si>
    <t>159.38.79.250</t>
  </si>
  <si>
    <t>230.120.138.38</t>
  </si>
  <si>
    <t>DWAQ</t>
  </si>
  <si>
    <t>PowerShares DWA NASDAQ Momentum Portfolio</t>
  </si>
  <si>
    <t>$35.54M</t>
  </si>
  <si>
    <t>Javier</t>
  </si>
  <si>
    <t>Ansett</t>
  </si>
  <si>
    <t>183.19.210.54</t>
  </si>
  <si>
    <t>224.123.145.166</t>
  </si>
  <si>
    <t>GNTX</t>
  </si>
  <si>
    <t>Gentex Corporation</t>
  </si>
  <si>
    <t>$5.21B</t>
  </si>
  <si>
    <t>Glayzer</t>
  </si>
  <si>
    <t>112.245.158.240</t>
  </si>
  <si>
    <t>113.99.221.94</t>
  </si>
  <si>
    <t>WD</t>
  </si>
  <si>
    <t>Walker &amp; Dunlop, Inc.</t>
  </si>
  <si>
    <t>$1.5B</t>
  </si>
  <si>
    <t>Bar</t>
  </si>
  <si>
    <t>Shrubshall</t>
  </si>
  <si>
    <t>155.241.67.103</t>
  </si>
  <si>
    <t>1.207.53.206</t>
  </si>
  <si>
    <t>PLW</t>
  </si>
  <si>
    <t>PowerShares 1-30 Laddered Treasury Portfolio</t>
  </si>
  <si>
    <t>$183.15M</t>
  </si>
  <si>
    <t>Heda</t>
  </si>
  <si>
    <t>Duker</t>
  </si>
  <si>
    <t>236.99.45.195</t>
  </si>
  <si>
    <t>109.0.141.154</t>
  </si>
  <si>
    <t>APD</t>
  </si>
  <si>
    <t>Air Products and Chemicals, Inc.</t>
  </si>
  <si>
    <t>$31.68B</t>
  </si>
  <si>
    <t>Theresina</t>
  </si>
  <si>
    <t>Gladwish</t>
  </si>
  <si>
    <t>5.10.214.50</t>
  </si>
  <si>
    <t>154.130.209.208</t>
  </si>
  <si>
    <t>PYT</t>
  </si>
  <si>
    <t>PPlus Trust</t>
  </si>
  <si>
    <t>Dall</t>
  </si>
  <si>
    <t>Sharland</t>
  </si>
  <si>
    <t>176.184.210.19</t>
  </si>
  <si>
    <t>86.142.57.233</t>
  </si>
  <si>
    <t>GVA</t>
  </si>
  <si>
    <t>Granite Construction Incorporated</t>
  </si>
  <si>
    <t>Alaster</t>
  </si>
  <si>
    <t>Bithell</t>
  </si>
  <si>
    <t>180.93.99.59</t>
  </si>
  <si>
    <t>20.157.183.155</t>
  </si>
  <si>
    <t>Hinze</t>
  </si>
  <si>
    <t>Disman</t>
  </si>
  <si>
    <t>110.185.167.162</t>
  </si>
  <si>
    <t>212.141.148.70</t>
  </si>
  <si>
    <t>CUTR</t>
  </si>
  <si>
    <t>Cutera, Inc.</t>
  </si>
  <si>
    <t>$323.6M</t>
  </si>
  <si>
    <t>June</t>
  </si>
  <si>
    <t>Lukock</t>
  </si>
  <si>
    <t>79.178.146.6</t>
  </si>
  <si>
    <t>13.175.91.99</t>
  </si>
  <si>
    <t>BIIB</t>
  </si>
  <si>
    <t>Biogen Inc.</t>
  </si>
  <si>
    <t>$53.4B</t>
  </si>
  <si>
    <t>Maxie</t>
  </si>
  <si>
    <t>Burgwin</t>
  </si>
  <si>
    <t>92.89.21.249</t>
  </si>
  <si>
    <t>196.128.66.159</t>
  </si>
  <si>
    <t>MSB</t>
  </si>
  <si>
    <t>Mesabi Trust</t>
  </si>
  <si>
    <t>$173.18M</t>
  </si>
  <si>
    <t>Christabel</t>
  </si>
  <si>
    <t>Sisson</t>
  </si>
  <si>
    <t>175.238.105.126</t>
  </si>
  <si>
    <t>133.222.4.109</t>
  </si>
  <si>
    <t>CCCR</t>
  </si>
  <si>
    <t>China Commercial Credit, Inc.</t>
  </si>
  <si>
    <t>$53.7M</t>
  </si>
  <si>
    <t>Aldridge</t>
  </si>
  <si>
    <t>Malcolm</t>
  </si>
  <si>
    <t>Polygender</t>
  </si>
  <si>
    <t>88.77.76.85</t>
  </si>
  <si>
    <t>148.107.23.183</t>
  </si>
  <si>
    <t>OTTW</t>
  </si>
  <si>
    <t>Ottawa Bancorp, Inc.</t>
  </si>
  <si>
    <t>$48.54M</t>
  </si>
  <si>
    <t>Chloe</t>
  </si>
  <si>
    <t>Benson</t>
  </si>
  <si>
    <t>153.231.195.58</t>
  </si>
  <si>
    <t>146.41.40.239</t>
  </si>
  <si>
    <t>Ashli</t>
  </si>
  <si>
    <t>Stiger</t>
  </si>
  <si>
    <t>117.238.234.53</t>
  </si>
  <si>
    <t>78.107.108.253</t>
  </si>
  <si>
    <t>SSBI</t>
  </si>
  <si>
    <t>Summit State Bank</t>
  </si>
  <si>
    <t>$78.86M</t>
  </si>
  <si>
    <t>Elsie</t>
  </si>
  <si>
    <t>Klawi</t>
  </si>
  <si>
    <t>38.251.117.80</t>
  </si>
  <si>
    <t>225.181.223.229</t>
  </si>
  <si>
    <t>PMC</t>
  </si>
  <si>
    <t>Pharmerica Corporation</t>
  </si>
  <si>
    <t>Medical/Nursing Services</t>
  </si>
  <si>
    <t>$778.92M</t>
  </si>
  <si>
    <t>Sig</t>
  </si>
  <si>
    <t>Arniz</t>
  </si>
  <si>
    <t>136.81.60.171</t>
  </si>
  <si>
    <t>90.244.20.197</t>
  </si>
  <si>
    <t>SHOP</t>
  </si>
  <si>
    <t>Shopify Inc.</t>
  </si>
  <si>
    <t>$7.35B</t>
  </si>
  <si>
    <t>Gianina</t>
  </si>
  <si>
    <t>Sains</t>
  </si>
  <si>
    <t>157.222.146.147</t>
  </si>
  <si>
    <t>37.121.147.75</t>
  </si>
  <si>
    <t>FLOW</t>
  </si>
  <si>
    <t>SPX FLOW, Inc.</t>
  </si>
  <si>
    <t>$1.64B</t>
  </si>
  <si>
    <t>Haley</t>
  </si>
  <si>
    <t>McGready</t>
  </si>
  <si>
    <t>171.120.250.155</t>
  </si>
  <si>
    <t>39.229.87.62</t>
  </si>
  <si>
    <t>HOLI</t>
  </si>
  <si>
    <t>Hollysys Automation Technologies, Ltd.</t>
  </si>
  <si>
    <t>$1.04B</t>
  </si>
  <si>
    <t>Koenraad</t>
  </si>
  <si>
    <t>Legat</t>
  </si>
  <si>
    <t>208.13.146.107</t>
  </si>
  <si>
    <t>30.114.109.236</t>
  </si>
  <si>
    <t>NNC</t>
  </si>
  <si>
    <t>Nuveen North Carolina Quality Municipal Income Fd</t>
  </si>
  <si>
    <t>$220.34M</t>
  </si>
  <si>
    <t>Clerissa</t>
  </si>
  <si>
    <t>Monte</t>
  </si>
  <si>
    <t>37.0.58.139</t>
  </si>
  <si>
    <t>193.196.171.3</t>
  </si>
  <si>
    <t>REXR^A</t>
  </si>
  <si>
    <t>Rexford Industrial Realty, Inc.</t>
  </si>
  <si>
    <t>Colin</t>
  </si>
  <si>
    <t>Maginn</t>
  </si>
  <si>
    <t>40.159.245.201</t>
  </si>
  <si>
    <t>60.106.12.40</t>
  </si>
  <si>
    <t>KINS</t>
  </si>
  <si>
    <t>Kingstone Companies, Inc</t>
  </si>
  <si>
    <t>$166.26M</t>
  </si>
  <si>
    <t>Gertie</t>
  </si>
  <si>
    <t>Blackley</t>
  </si>
  <si>
    <t>121.105.204.91</t>
  </si>
  <si>
    <t>214.215.170.64</t>
  </si>
  <si>
    <t>TAL</t>
  </si>
  <si>
    <t>TAL Education Group</t>
  </si>
  <si>
    <t>$9.56B</t>
  </si>
  <si>
    <t>Lil</t>
  </si>
  <si>
    <t>Saul</t>
  </si>
  <si>
    <t>207.110.43.19</t>
  </si>
  <si>
    <t>170.160.201.44</t>
  </si>
  <si>
    <t>JPM.WS</t>
  </si>
  <si>
    <t>Bone</t>
  </si>
  <si>
    <t>Horburgh</t>
  </si>
  <si>
    <t>73.199.213.149</t>
  </si>
  <si>
    <t>98.197.206.203</t>
  </si>
  <si>
    <t>CPST</t>
  </si>
  <si>
    <t>Capstone Turbine Corporation</t>
  </si>
  <si>
    <t>$28.65M</t>
  </si>
  <si>
    <t>Marcellina</t>
  </si>
  <si>
    <t>Coarser</t>
  </si>
  <si>
    <t>13.134.82.33</t>
  </si>
  <si>
    <t>197.231.141.99</t>
  </si>
  <si>
    <t>HOTRW</t>
  </si>
  <si>
    <t>Chanticleer Holdings, Inc.</t>
  </si>
  <si>
    <t>Restaurants</t>
  </si>
  <si>
    <t>Mathian</t>
  </si>
  <si>
    <t>Haughey</t>
  </si>
  <si>
    <t>161.55.211.252</t>
  </si>
  <si>
    <t>32.150.228.117</t>
  </si>
  <si>
    <t>SPKE</t>
  </si>
  <si>
    <t>Spark Energy, Inc.</t>
  </si>
  <si>
    <t>$806.93M</t>
  </si>
  <si>
    <t>Hillie</t>
  </si>
  <si>
    <t>Waller</t>
  </si>
  <si>
    <t>160.166.188.110</t>
  </si>
  <si>
    <t>250.172.45.175</t>
  </si>
  <si>
    <t>NCIT</t>
  </si>
  <si>
    <t>NCI, Inc.</t>
  </si>
  <si>
    <t>$276.46M</t>
  </si>
  <si>
    <t>Guglielmo</t>
  </si>
  <si>
    <t>Foote</t>
  </si>
  <si>
    <t>19.171.150.188</t>
  </si>
  <si>
    <t>226.57.149.74</t>
  </si>
  <si>
    <t>STE</t>
  </si>
  <si>
    <t>STERIS plc</t>
  </si>
  <si>
    <t>$6.96B</t>
  </si>
  <si>
    <t>Starla</t>
  </si>
  <si>
    <t>Parris</t>
  </si>
  <si>
    <t>17.187.37.250</t>
  </si>
  <si>
    <t>144.14.127.211</t>
  </si>
  <si>
    <t>VIIZ</t>
  </si>
  <si>
    <t>VelocityShares VIX Medium-Term ETN</t>
  </si>
  <si>
    <t>$1.14M</t>
  </si>
  <si>
    <t>Tann</t>
  </si>
  <si>
    <t>Brewin</t>
  </si>
  <si>
    <t>68.204.229.240</t>
  </si>
  <si>
    <t>241.253.52.142</t>
  </si>
  <si>
    <t>LGF.A</t>
  </si>
  <si>
    <t>Lions Gate Entertainment Corporation</t>
  </si>
  <si>
    <t>Adelina</t>
  </si>
  <si>
    <t>Nitti</t>
  </si>
  <si>
    <t>35.89.190.2</t>
  </si>
  <si>
    <t>240.150.198.239</t>
  </si>
  <si>
    <t>KEY</t>
  </si>
  <si>
    <t>KeyCorp</t>
  </si>
  <si>
    <t>$20.32B</t>
  </si>
  <si>
    <t>Cele</t>
  </si>
  <si>
    <t>Ather</t>
  </si>
  <si>
    <t>62.171.223.17</t>
  </si>
  <si>
    <t>35.110.127.5</t>
  </si>
  <si>
    <t>BAK</t>
  </si>
  <si>
    <t>Braskem S.A.</t>
  </si>
  <si>
    <t>$7.97B</t>
  </si>
  <si>
    <t>Jerrome</t>
  </si>
  <si>
    <t>Dinan</t>
  </si>
  <si>
    <t>129.141.7.161</t>
  </si>
  <si>
    <t>48.162.193.165</t>
  </si>
  <si>
    <t>VIA</t>
  </si>
  <si>
    <t>Viacom Inc.</t>
  </si>
  <si>
    <t>Television Services</t>
  </si>
  <si>
    <t>$15.55B</t>
  </si>
  <si>
    <t>Shoshana</t>
  </si>
  <si>
    <t>Ewles</t>
  </si>
  <si>
    <t>213.218.64.59</t>
  </si>
  <si>
    <t>81.143.251.199</t>
  </si>
  <si>
    <t>DST</t>
  </si>
  <si>
    <t>DST Systems, Inc.</t>
  </si>
  <si>
    <t>$7.32B</t>
  </si>
  <si>
    <t>MacCosto</t>
  </si>
  <si>
    <t>80.24.155.212</t>
  </si>
  <si>
    <t>236.132.50.198</t>
  </si>
  <si>
    <t>TCF^B</t>
  </si>
  <si>
    <t>Marylee</t>
  </si>
  <si>
    <t>Sneesbie</t>
  </si>
  <si>
    <t>230.121.177.203</t>
  </si>
  <si>
    <t>216.104.142.52</t>
  </si>
  <si>
    <t>TANNL</t>
  </si>
  <si>
    <t>Ebony</t>
  </si>
  <si>
    <t>Decaze</t>
  </si>
  <si>
    <t>241.5.148.184</t>
  </si>
  <si>
    <t>40.192.48.6</t>
  </si>
  <si>
    <t>AMCN</t>
  </si>
  <si>
    <t>AirMedia Group Inc</t>
  </si>
  <si>
    <t>Advertising</t>
  </si>
  <si>
    <t>$95.78M</t>
  </si>
  <si>
    <t>Jory</t>
  </si>
  <si>
    <t>Dauncey</t>
  </si>
  <si>
    <t>125.218.171.82</t>
  </si>
  <si>
    <t>46.235.52.236</t>
  </si>
  <si>
    <t>NTNX</t>
  </si>
  <si>
    <t>Nutanix, Inc.</t>
  </si>
  <si>
    <t>$2.68B</t>
  </si>
  <si>
    <t>Briana</t>
  </si>
  <si>
    <t>Gylle</t>
  </si>
  <si>
    <t>87.76.36.125</t>
  </si>
  <si>
    <t>212.86.231.117</t>
  </si>
  <si>
    <t>BSTG</t>
  </si>
  <si>
    <t>Biostage, Inc.</t>
  </si>
  <si>
    <t>$12.03M</t>
  </si>
  <si>
    <t>Hyacintha</t>
  </si>
  <si>
    <t>Kuhle</t>
  </si>
  <si>
    <t>158.167.0.121</t>
  </si>
  <si>
    <t>182.9.83.111</t>
  </si>
  <si>
    <t>FRBA</t>
  </si>
  <si>
    <t>First Bank</t>
  </si>
  <si>
    <t>$137.6M</t>
  </si>
  <si>
    <t>Rustie</t>
  </si>
  <si>
    <t>Petigrew</t>
  </si>
  <si>
    <t>54.59.11.21</t>
  </si>
  <si>
    <t>203.133.236.240</t>
  </si>
  <si>
    <t>SCM</t>
  </si>
  <si>
    <t>Stellus Capital Investment Corporation</t>
  </si>
  <si>
    <t>$213.68M</t>
  </si>
  <si>
    <t>Torey</t>
  </si>
  <si>
    <t>Volant</t>
  </si>
  <si>
    <t>215.220.238.216</t>
  </si>
  <si>
    <t>36.71.33.248</t>
  </si>
  <si>
    <t>PSA^Z</t>
  </si>
  <si>
    <t>Antony</t>
  </si>
  <si>
    <t>Jezzard</t>
  </si>
  <si>
    <t>85.201.185.243</t>
  </si>
  <si>
    <t>66.225.207.129</t>
  </si>
  <si>
    <t>EEA</t>
  </si>
  <si>
    <t>European Equity Fund, Inc. (The)</t>
  </si>
  <si>
    <t>$75.98M</t>
  </si>
  <si>
    <t>Wilona</t>
  </si>
  <si>
    <t>Whyke</t>
  </si>
  <si>
    <t>206.230.157.64</t>
  </si>
  <si>
    <t>134.171.74.186</t>
  </si>
  <si>
    <t>QBAK</t>
  </si>
  <si>
    <t>Qualstar Corporation</t>
  </si>
  <si>
    <t>$11.21M</t>
  </si>
  <si>
    <t>Paloma</t>
  </si>
  <si>
    <t>Connah</t>
  </si>
  <si>
    <t>150.1.230.85</t>
  </si>
  <si>
    <t>199.149.116.226</t>
  </si>
  <si>
    <t>MN</t>
  </si>
  <si>
    <t>Manning &amp; Napier, Inc.</t>
  </si>
  <si>
    <t>Investment Managers</t>
  </si>
  <si>
    <t>$63.23M</t>
  </si>
  <si>
    <t>Ignaz</t>
  </si>
  <si>
    <t>Flowitt</t>
  </si>
  <si>
    <t>103.206.162.188</t>
  </si>
  <si>
    <t>92.153.241.24</t>
  </si>
  <si>
    <t>PMD</t>
  </si>
  <si>
    <t>Psychemedics Corporation</t>
  </si>
  <si>
    <t>$118.92M</t>
  </si>
  <si>
    <t>Germayne</t>
  </si>
  <si>
    <t>Wetter</t>
  </si>
  <si>
    <t>14.123.138.116</t>
  </si>
  <si>
    <t>78.122.225.191</t>
  </si>
  <si>
    <t>APOP</t>
  </si>
  <si>
    <t>Cellect Biotechnology Ltd.</t>
  </si>
  <si>
    <t>$43.5M</t>
  </si>
  <si>
    <t>Sherlocke</t>
  </si>
  <si>
    <t>Cobson</t>
  </si>
  <si>
    <t>223.170.98.134</t>
  </si>
  <si>
    <t>202.12.175.1</t>
  </si>
  <si>
    <t>ABTX</t>
  </si>
  <si>
    <t>Allegiance Bancshares, Inc.</t>
  </si>
  <si>
    <t>$514.79M</t>
  </si>
  <si>
    <t>Alta</t>
  </si>
  <si>
    <t>Vaillant</t>
  </si>
  <si>
    <t>82.36.114.163</t>
  </si>
  <si>
    <t>159.218.146.182</t>
  </si>
  <si>
    <t>CIG</t>
  </si>
  <si>
    <t>Comp En De Mn Cemig ADS</t>
  </si>
  <si>
    <t>$2.9B</t>
  </si>
  <si>
    <t>Gerri</t>
  </si>
  <si>
    <t>Picott</t>
  </si>
  <si>
    <t>83.231.252.98</t>
  </si>
  <si>
    <t>195.216.199.226</t>
  </si>
  <si>
    <t>TENX</t>
  </si>
  <si>
    <t>Tenax Therapeutics, Inc.</t>
  </si>
  <si>
    <t>$14.89M</t>
  </si>
  <si>
    <t>Papageno</t>
  </si>
  <si>
    <t>Rubanenko</t>
  </si>
  <si>
    <t>244.100.223.115</t>
  </si>
  <si>
    <t>158.136.120.42</t>
  </si>
  <si>
    <t>CHKP</t>
  </si>
  <si>
    <t>Check Point Software Technologies Ltd.</t>
  </si>
  <si>
    <t>$18.26B</t>
  </si>
  <si>
    <t>Sam</t>
  </si>
  <si>
    <t>Von Salzberg</t>
  </si>
  <si>
    <t>172.61.183.113</t>
  </si>
  <si>
    <t>20.218.215.99</t>
  </si>
  <si>
    <t>BJRI</t>
  </si>
  <si>
    <t>BJ's Restaurants, Inc.</t>
  </si>
  <si>
    <t>$834.31M</t>
  </si>
  <si>
    <t>Vicky</t>
  </si>
  <si>
    <t>Zanassi</t>
  </si>
  <si>
    <t>249.8.150.221</t>
  </si>
  <si>
    <t>124.150.223.151</t>
  </si>
  <si>
    <t>PRGS</t>
  </si>
  <si>
    <t>Progress Software Corporation</t>
  </si>
  <si>
    <t>$1.41B</t>
  </si>
  <si>
    <t>Embleton</t>
  </si>
  <si>
    <t>0.198.252.127</t>
  </si>
  <si>
    <t>149.28.169.238</t>
  </si>
  <si>
    <t>QURE</t>
  </si>
  <si>
    <t>uniQure N.V.</t>
  </si>
  <si>
    <t>$127.38M</t>
  </si>
  <si>
    <t>Hermina</t>
  </si>
  <si>
    <t>McColl</t>
  </si>
  <si>
    <t>188.227.224.70</t>
  </si>
  <si>
    <t>218.157.40.123</t>
  </si>
  <si>
    <t>DLTR</t>
  </si>
  <si>
    <t>Dollar Tree, Inc.</t>
  </si>
  <si>
    <t>Department/Specialty Retail Stores</t>
  </si>
  <si>
    <t>$16.58B</t>
  </si>
  <si>
    <t>Scotson</t>
  </si>
  <si>
    <t>140.255.221.176</t>
  </si>
  <si>
    <t>168.134.154.51</t>
  </si>
  <si>
    <t>QSII</t>
  </si>
  <si>
    <t>Quality Systems, Inc.</t>
  </si>
  <si>
    <t>Gabriellia</t>
  </si>
  <si>
    <t>Perfect</t>
  </si>
  <si>
    <t>22.215.8.5</t>
  </si>
  <si>
    <t>15.63.247.166</t>
  </si>
  <si>
    <t>FFBC</t>
  </si>
  <si>
    <t>First Financial Bancorp.</t>
  </si>
  <si>
    <t>$1.7B</t>
  </si>
  <si>
    <t>Darya</t>
  </si>
  <si>
    <t>Juett</t>
  </si>
  <si>
    <t>66.7.49.117</t>
  </si>
  <si>
    <t>35.105.100.6</t>
  </si>
  <si>
    <t>OHGI</t>
  </si>
  <si>
    <t>One Horizon Group, Inc.</t>
  </si>
  <si>
    <t>$5.79M</t>
  </si>
  <si>
    <t>Arline</t>
  </si>
  <si>
    <t>Charlton</t>
  </si>
  <si>
    <t>156.73.254.8</t>
  </si>
  <si>
    <t>12.170.110.162</t>
  </si>
  <si>
    <t xml:space="preserve">TORM          </t>
  </si>
  <si>
    <t>TOR Minerals International Inc</t>
  </si>
  <si>
    <t>$26.92M</t>
  </si>
  <si>
    <t>Wynny</t>
  </si>
  <si>
    <t>McIlrath</t>
  </si>
  <si>
    <t>2.124.23.162</t>
  </si>
  <si>
    <t>179.194.117.200</t>
  </si>
  <si>
    <t>EDUC</t>
  </si>
  <si>
    <t>Educational Development Corporation</t>
  </si>
  <si>
    <t>Consumer Specialties</t>
  </si>
  <si>
    <t>$42.15M</t>
  </si>
  <si>
    <t>Thorstein</t>
  </si>
  <si>
    <t>Clines</t>
  </si>
  <si>
    <t>20.223.23.213</t>
  </si>
  <si>
    <t>62.61.107.214</t>
  </si>
  <si>
    <t>ANTX</t>
  </si>
  <si>
    <t>Anthem, Inc.</t>
  </si>
  <si>
    <t>$13.93B</t>
  </si>
  <si>
    <t>Ellingworth</t>
  </si>
  <si>
    <t>190.154.43.78</t>
  </si>
  <si>
    <t>122.116.26.67</t>
  </si>
  <si>
    <t>CIE</t>
  </si>
  <si>
    <t>Cobalt International Energy, Inc.</t>
  </si>
  <si>
    <t>$93.34M</t>
  </si>
  <si>
    <t>Gabriell</t>
  </si>
  <si>
    <t>Bidgood</t>
  </si>
  <si>
    <t>222.169.44.37</t>
  </si>
  <si>
    <t>228.185.184.196</t>
  </si>
  <si>
    <t>RFP</t>
  </si>
  <si>
    <t>Resolute Forest Products Inc.</t>
  </si>
  <si>
    <t>Paper</t>
  </si>
  <si>
    <t>$413.36M</t>
  </si>
  <si>
    <t>Cristabel</t>
  </si>
  <si>
    <t>Feldhuhn</t>
  </si>
  <si>
    <t>151.187.97.128</t>
  </si>
  <si>
    <t>41.26.149.101</t>
  </si>
  <si>
    <t>DRH</t>
  </si>
  <si>
    <t>Diamondrock Hospitality Company</t>
  </si>
  <si>
    <t>$2.32B</t>
  </si>
  <si>
    <t>Delmar</t>
  </si>
  <si>
    <t>MacAfee</t>
  </si>
  <si>
    <t>193.230.254.19</t>
  </si>
  <si>
    <t>97.157.15.55</t>
  </si>
  <si>
    <t>FV</t>
  </si>
  <si>
    <t>First Trust Dorsey Wright Focus 5 ETF</t>
  </si>
  <si>
    <t>$2.46B</t>
  </si>
  <si>
    <t>Jonell</t>
  </si>
  <si>
    <t>Trevaskiss</t>
  </si>
  <si>
    <t>167.47.52.59</t>
  </si>
  <si>
    <t>45.122.54.108</t>
  </si>
  <si>
    <t>CTRV</t>
  </si>
  <si>
    <t>ContraVir Pharmaceuticals Inc</t>
  </si>
  <si>
    <t>$47.48M</t>
  </si>
  <si>
    <t>August</t>
  </si>
  <si>
    <t>Thonger</t>
  </si>
  <si>
    <t>64.221.94.138</t>
  </si>
  <si>
    <t>24.251.92.224</t>
  </si>
  <si>
    <t>MYN</t>
  </si>
  <si>
    <t>Blackrock MuniYield New York Quality Fund, Inc.</t>
  </si>
  <si>
    <t>$520.17M</t>
  </si>
  <si>
    <t>Tybie</t>
  </si>
  <si>
    <t>Mulcahy</t>
  </si>
  <si>
    <t>162.237.62.156</t>
  </si>
  <si>
    <t>201.1.91.166</t>
  </si>
  <si>
    <t>CRY</t>
  </si>
  <si>
    <t>CryoLife, Inc.</t>
  </si>
  <si>
    <t>$615.32M</t>
  </si>
  <si>
    <t>Susan</t>
  </si>
  <si>
    <t>Baxstare</t>
  </si>
  <si>
    <t>198.137.131.54</t>
  </si>
  <si>
    <t>242.49.136.127</t>
  </si>
  <si>
    <t>MILN</t>
  </si>
  <si>
    <t>Global X Millennials Thematic ETF</t>
  </si>
  <si>
    <t>$4.36M</t>
  </si>
  <si>
    <t>Claiborn</t>
  </si>
  <si>
    <t>Le Marquand</t>
  </si>
  <si>
    <t>19.182.130.205</t>
  </si>
  <si>
    <t>75.71.187.160</t>
  </si>
  <si>
    <t>UBSI</t>
  </si>
  <si>
    <t>United Bankshares, Inc.</t>
  </si>
  <si>
    <t>$4.19B</t>
  </si>
  <si>
    <t>Wilt</t>
  </si>
  <si>
    <t>Wassung</t>
  </si>
  <si>
    <t>106.237.6.80</t>
  </si>
  <si>
    <t>69.147.247.137</t>
  </si>
  <si>
    <t>PSEC</t>
  </si>
  <si>
    <t>Prospect Capital Corporation</t>
  </si>
  <si>
    <t>Birchenhead</t>
  </si>
  <si>
    <t>14.110.203.101</t>
  </si>
  <si>
    <t>130.67.159.182</t>
  </si>
  <si>
    <t>GGZ^A</t>
  </si>
  <si>
    <t>Gabelli Global Small and Mid Cap Value Trust (The)</t>
  </si>
  <si>
    <t>Vite</t>
  </si>
  <si>
    <t>Teck</t>
  </si>
  <si>
    <t>15.215.149.226</t>
  </si>
  <si>
    <t>100.185.169.178</t>
  </si>
  <si>
    <t>GCP</t>
  </si>
  <si>
    <t>GCP Applied Technologies Inc.</t>
  </si>
  <si>
    <t>$2.17B</t>
  </si>
  <si>
    <t>Fabien</t>
  </si>
  <si>
    <t>Kunath</t>
  </si>
  <si>
    <t>166.167.253.140</t>
  </si>
  <si>
    <t>48.136.158.0</t>
  </si>
  <si>
    <t>TBK</t>
  </si>
  <si>
    <t>Triumph Bancorp, Inc.</t>
  </si>
  <si>
    <t>$428.18M</t>
  </si>
  <si>
    <t>Kara</t>
  </si>
  <si>
    <t>Gladdor</t>
  </si>
  <si>
    <t>221.227.167.94</t>
  </si>
  <si>
    <t>224.116.187.185</t>
  </si>
  <si>
    <t>TRST</t>
  </si>
  <si>
    <t>TrustCo Bank Corp NY</t>
  </si>
  <si>
    <t>$748.78M</t>
  </si>
  <si>
    <t>Aloysius</t>
  </si>
  <si>
    <t>Gardiner</t>
  </si>
  <si>
    <t>26.112.223.2</t>
  </si>
  <si>
    <t>201.138.23.190</t>
  </si>
  <si>
    <t>TYG</t>
  </si>
  <si>
    <t>Tortoise Energy Infrastructure Corporation</t>
  </si>
  <si>
    <t>Rosco</t>
  </si>
  <si>
    <t>Elcomb</t>
  </si>
  <si>
    <t>127.101.115.72</t>
  </si>
  <si>
    <t>242.189.227.88</t>
  </si>
  <si>
    <t>RFEU</t>
  </si>
  <si>
    <t>First Trust RiverFront Dynamic Europe ETF</t>
  </si>
  <si>
    <t>$52.66M</t>
  </si>
  <si>
    <t>Morty</t>
  </si>
  <si>
    <t>Siman</t>
  </si>
  <si>
    <t>73.108.91.121</t>
  </si>
  <si>
    <t>3.3.93.80</t>
  </si>
  <si>
    <t>CRAY</t>
  </si>
  <si>
    <t>Cray Inc</t>
  </si>
  <si>
    <t>Computer Manufacturing</t>
  </si>
  <si>
    <t>$737.25M</t>
  </si>
  <si>
    <t>Kristofor</t>
  </si>
  <si>
    <t>Croster</t>
  </si>
  <si>
    <t>213.64.124.172</t>
  </si>
  <si>
    <t>211.204.88.231</t>
  </si>
  <si>
    <t>DEL</t>
  </si>
  <si>
    <t>Deltic Timber Corporation</t>
  </si>
  <si>
    <t>$883.38M</t>
  </si>
  <si>
    <t>Gertrudis</t>
  </si>
  <si>
    <t>Brundill</t>
  </si>
  <si>
    <t>224.160.221.156</t>
  </si>
  <si>
    <t>77.72.131.211</t>
  </si>
  <si>
    <t>INVE</t>
  </si>
  <si>
    <t>Identiv, Inc.</t>
  </si>
  <si>
    <t>$59.21M</t>
  </si>
  <si>
    <t>Tripp</t>
  </si>
  <si>
    <t>Ridges</t>
  </si>
  <si>
    <t>190.22.242.251</t>
  </si>
  <si>
    <t>27.20.158.49</t>
  </si>
  <si>
    <t>FGBI</t>
  </si>
  <si>
    <t>First Guaranty Bancshares, Inc.</t>
  </si>
  <si>
    <t>$203.62M</t>
  </si>
  <si>
    <t>Rooney</t>
  </si>
  <si>
    <t>Burgoin</t>
  </si>
  <si>
    <t>20.101.88.23</t>
  </si>
  <si>
    <t>35.217.219.10</t>
  </si>
  <si>
    <t>SBRAP</t>
  </si>
  <si>
    <t>Sabra Healthcare REIT, Inc.</t>
  </si>
  <si>
    <t>$146.63M</t>
  </si>
  <si>
    <t>Niels</t>
  </si>
  <si>
    <t>Cartmail</t>
  </si>
  <si>
    <t>46.70.48.193</t>
  </si>
  <si>
    <t>99.215.184.136</t>
  </si>
  <si>
    <t>DSX^B</t>
  </si>
  <si>
    <t>Diana Shipping inc.</t>
  </si>
  <si>
    <t>Ram</t>
  </si>
  <si>
    <t>Gardner</t>
  </si>
  <si>
    <t>139.72.127.32</t>
  </si>
  <si>
    <t>163.177.242.13</t>
  </si>
  <si>
    <t>RAND</t>
  </si>
  <si>
    <t>Rand Capital Corporation</t>
  </si>
  <si>
    <t>$17.83M</t>
  </si>
  <si>
    <t>Gabbie</t>
  </si>
  <si>
    <t>Ritelli</t>
  </si>
  <si>
    <t>233.81.218.150</t>
  </si>
  <si>
    <t>112.146.217.171</t>
  </si>
  <si>
    <t>OXBRW</t>
  </si>
  <si>
    <t>Oxbridge Re Holdings Limited</t>
  </si>
  <si>
    <t>Flem</t>
  </si>
  <si>
    <t>de Amaya</t>
  </si>
  <si>
    <t>76.117.78.249</t>
  </si>
  <si>
    <t>241.221.191.196</t>
  </si>
  <si>
    <t>AXAR</t>
  </si>
  <si>
    <t>Axar Acquisition Corp.</t>
  </si>
  <si>
    <t>$83.79M</t>
  </si>
  <si>
    <t>Torre</t>
  </si>
  <si>
    <t>Cheetham</t>
  </si>
  <si>
    <t>2.249.89.229</t>
  </si>
  <si>
    <t>126.192.14.27</t>
  </si>
  <si>
    <t>UAL</t>
  </si>
  <si>
    <t>United Continental Holdings, Inc.</t>
  </si>
  <si>
    <t>Air Freight/Delivery Services</t>
  </si>
  <si>
    <t>$23.78B</t>
  </si>
  <si>
    <t>Page</t>
  </si>
  <si>
    <t>Boyn</t>
  </si>
  <si>
    <t>182.213.116.5</t>
  </si>
  <si>
    <t>232.57.81.246</t>
  </si>
  <si>
    <t>RRR</t>
  </si>
  <si>
    <t>Red Rock Resorts, Inc.</t>
  </si>
  <si>
    <t>Hotels/Resorts</t>
  </si>
  <si>
    <t>$2.78B</t>
  </si>
  <si>
    <t>Tobe</t>
  </si>
  <si>
    <t>Capelow</t>
  </si>
  <si>
    <t>135.181.217.91</t>
  </si>
  <si>
    <t>189.75.38.137</t>
  </si>
  <si>
    <t>CNI</t>
  </si>
  <si>
    <t>Canadian National Railway Company</t>
  </si>
  <si>
    <t>Railroads</t>
  </si>
  <si>
    <t>$61.92B</t>
  </si>
  <si>
    <t>Isobel</t>
  </si>
  <si>
    <t>Blood</t>
  </si>
  <si>
    <t>84.58.70.50</t>
  </si>
  <si>
    <t>40.11.51.142</t>
  </si>
  <si>
    <t>HTBI</t>
  </si>
  <si>
    <t>HomeTrust Bancshares, Inc.</t>
  </si>
  <si>
    <t>$462.31M</t>
  </si>
  <si>
    <t>Datha</t>
  </si>
  <si>
    <t>Devlin</t>
  </si>
  <si>
    <t>247.218.55.127</t>
  </si>
  <si>
    <t>212.67.225.110</t>
  </si>
  <si>
    <t>Editha</t>
  </si>
  <si>
    <t>Pauletto</t>
  </si>
  <si>
    <t>55.27.204.198</t>
  </si>
  <si>
    <t>52.61.64.220</t>
  </si>
  <si>
    <t>PNI</t>
  </si>
  <si>
    <t>Pimco New York Municipal Income Fund II</t>
  </si>
  <si>
    <t>$129.88M</t>
  </si>
  <si>
    <t>Arch</t>
  </si>
  <si>
    <t>Lagen</t>
  </si>
  <si>
    <t>64.169.145.190</t>
  </si>
  <si>
    <t>140.142.75.149</t>
  </si>
  <si>
    <t>SGH</t>
  </si>
  <si>
    <t>SMART Global Holdings, Inc.</t>
  </si>
  <si>
    <t>$316.82M</t>
  </si>
  <si>
    <t>Zollie</t>
  </si>
  <si>
    <t>Shoebotham</t>
  </si>
  <si>
    <t>90.222.213.225</t>
  </si>
  <si>
    <t>169.126.5.75</t>
  </si>
  <si>
    <t>SUNS</t>
  </si>
  <si>
    <t>Solar Senior Capital Ltd.</t>
  </si>
  <si>
    <t>$268.64M</t>
  </si>
  <si>
    <t>Deck</t>
  </si>
  <si>
    <t>Kirvin</t>
  </si>
  <si>
    <t>84.220.193.86</t>
  </si>
  <si>
    <t>226.81.219.123</t>
  </si>
  <si>
    <t>DRA</t>
  </si>
  <si>
    <t>Diversified Real Asset Income Fund</t>
  </si>
  <si>
    <t>$311.58M</t>
  </si>
  <si>
    <t>Franny</t>
  </si>
  <si>
    <t>Faivre</t>
  </si>
  <si>
    <t>142.183.155.224</t>
  </si>
  <si>
    <t>11.220.76.230</t>
  </si>
  <si>
    <t>BYD</t>
  </si>
  <si>
    <t>Boyd Gaming Corporation</t>
  </si>
  <si>
    <t>$2.85B</t>
  </si>
  <si>
    <t>Amandie</t>
  </si>
  <si>
    <t>Reekie</t>
  </si>
  <si>
    <t>207.153.197.9</t>
  </si>
  <si>
    <t>89.8.208.67</t>
  </si>
  <si>
    <t>Halsy</t>
  </si>
  <si>
    <t>Brave</t>
  </si>
  <si>
    <t>199.246.41.196</t>
  </si>
  <si>
    <t>148.240.91.113</t>
  </si>
  <si>
    <t>QTS</t>
  </si>
  <si>
    <t>QTS Realty Trust, Inc.</t>
  </si>
  <si>
    <t>$2.5B</t>
  </si>
  <si>
    <t>Franciska</t>
  </si>
  <si>
    <t>Bloomer</t>
  </si>
  <si>
    <t>62.115.238.225</t>
  </si>
  <si>
    <t>111.145.251.204</t>
  </si>
  <si>
    <t>STFC</t>
  </si>
  <si>
    <t>State Auto Financial Corporation</t>
  </si>
  <si>
    <t>$1.09B</t>
  </si>
  <si>
    <t>Stacee</t>
  </si>
  <si>
    <t>Danforth</t>
  </si>
  <si>
    <t>32.140.63.97</t>
  </si>
  <si>
    <t>148.12.154.109</t>
  </si>
  <si>
    <t>JASO</t>
  </si>
  <si>
    <t>JA Solar Holdings, Co., Ltd.</t>
  </si>
  <si>
    <t>$301.6M</t>
  </si>
  <si>
    <t>Laetitia</t>
  </si>
  <si>
    <t>Radbourne</t>
  </si>
  <si>
    <t>182.198.121.119</t>
  </si>
  <si>
    <t>177.217.80.177</t>
  </si>
  <si>
    <t>RFI</t>
  </si>
  <si>
    <t>Cohen &amp; Steers Total Return Realty Fund, Inc.</t>
  </si>
  <si>
    <t>$337.67M</t>
  </si>
  <si>
    <t>Kennie</t>
  </si>
  <si>
    <t>Callaghan</t>
  </si>
  <si>
    <t>244.161.156.187</t>
  </si>
  <si>
    <t>221.144.101.255</t>
  </si>
  <si>
    <t>TCCB</t>
  </si>
  <si>
    <t>Triangle Capital Corporation</t>
  </si>
  <si>
    <t>Nobe</t>
  </si>
  <si>
    <t>Porcher</t>
  </si>
  <si>
    <t>46.165.88.114</t>
  </si>
  <si>
    <t>228.66.231.191</t>
  </si>
  <si>
    <t>RAS^B</t>
  </si>
  <si>
    <t>RAIT Financial Trust</t>
  </si>
  <si>
    <t>Melicent</t>
  </si>
  <si>
    <t>Baldwin</t>
  </si>
  <si>
    <t>99.169.252.139</t>
  </si>
  <si>
    <t>121.154.249.127</t>
  </si>
  <si>
    <t>TEAM</t>
  </si>
  <si>
    <t>Atlassian Corporation Plc</t>
  </si>
  <si>
    <t>$7.84B</t>
  </si>
  <si>
    <t>Desmond</t>
  </si>
  <si>
    <t>Arsnell</t>
  </si>
  <si>
    <t>201.205.176.47</t>
  </si>
  <si>
    <t>10.71.200.98</t>
  </si>
  <si>
    <t>WIRE</t>
  </si>
  <si>
    <t>Encore Wire Corporation</t>
  </si>
  <si>
    <t>$896.34M</t>
  </si>
  <si>
    <t>Leroi</t>
  </si>
  <si>
    <t>Caseley</t>
  </si>
  <si>
    <t>35.88.131.87</t>
  </si>
  <si>
    <t>32.44.117.176</t>
  </si>
  <si>
    <t>AFW.CL</t>
  </si>
  <si>
    <t>American Financial Group, Inc.</t>
  </si>
  <si>
    <t>Titta</t>
  </si>
  <si>
    <t>189.206.207.111</t>
  </si>
  <si>
    <t>32.180.250.95</t>
  </si>
  <si>
    <t>IRBT</t>
  </si>
  <si>
    <t>iRobot Corporation</t>
  </si>
  <si>
    <t>Consumer Electronics/Appliances</t>
  </si>
  <si>
    <t>Eva</t>
  </si>
  <si>
    <t>Julian</t>
  </si>
  <si>
    <t>194.229.142.78</t>
  </si>
  <si>
    <t>208.10.189.138</t>
  </si>
  <si>
    <t>SRTS</t>
  </si>
  <si>
    <t>Sensus Healthcare, Inc.</t>
  </si>
  <si>
    <t>$52.75M</t>
  </si>
  <si>
    <t>Reed</t>
  </si>
  <si>
    <t>Gilffillan</t>
  </si>
  <si>
    <t>197.14.12.9</t>
  </si>
  <si>
    <t>123.70.5.62</t>
  </si>
  <si>
    <t>MGF</t>
  </si>
  <si>
    <t>MFS Government Markets Income Trust</t>
  </si>
  <si>
    <t>$162.35M</t>
  </si>
  <si>
    <t>Salli</t>
  </si>
  <si>
    <t>Ragsdale</t>
  </si>
  <si>
    <t>145.122.104.48</t>
  </si>
  <si>
    <t>182.12.185.217</t>
  </si>
  <si>
    <t>GEC</t>
  </si>
  <si>
    <t xml:space="preserve">Great Elm Capital Group, Inc. </t>
  </si>
  <si>
    <t>$80.04M</t>
  </si>
  <si>
    <t>Adore</t>
  </si>
  <si>
    <t>Errichelli</t>
  </si>
  <si>
    <t>33.202.88.96</t>
  </si>
  <si>
    <t>195.235.30.225</t>
  </si>
  <si>
    <t>BIO.B</t>
  </si>
  <si>
    <t>Bio-Rad Laboratories, Inc.</t>
  </si>
  <si>
    <t>Mahmoud</t>
  </si>
  <si>
    <t>Curle</t>
  </si>
  <si>
    <t>52.60.34.6</t>
  </si>
  <si>
    <t>7.45.173.108</t>
  </si>
  <si>
    <t>NAV</t>
  </si>
  <si>
    <t>Navistar International Corporation</t>
  </si>
  <si>
    <t>$2.61B</t>
  </si>
  <si>
    <t>Adena</t>
  </si>
  <si>
    <t>Weedall</t>
  </si>
  <si>
    <t>114.28.193.15</t>
  </si>
  <si>
    <t>59.216.226.224</t>
  </si>
  <si>
    <t>WTS</t>
  </si>
  <si>
    <t>Watts Water Technologies, Inc.</t>
  </si>
  <si>
    <t>$2.15B</t>
  </si>
  <si>
    <t>Leodora</t>
  </si>
  <si>
    <t>Davet</t>
  </si>
  <si>
    <t>210.147.160.53</t>
  </si>
  <si>
    <t>145.110.197.206</t>
  </si>
  <si>
    <t>KODK.WS</t>
  </si>
  <si>
    <t>Eastman Kodak Company</t>
  </si>
  <si>
    <t>Ruprecht</t>
  </si>
  <si>
    <t>MacAne</t>
  </si>
  <si>
    <t>19.153.57.137</t>
  </si>
  <si>
    <t>189.72.42.35</t>
  </si>
  <si>
    <t>HJV</t>
  </si>
  <si>
    <t>MS Structured Asset Corp Saturns GE Cap Corp Series 2002-14</t>
  </si>
  <si>
    <t>Ailee</t>
  </si>
  <si>
    <t>Bramer</t>
  </si>
  <si>
    <t>207.147.8.211</t>
  </si>
  <si>
    <t>98.122.101.201</t>
  </si>
  <si>
    <t>WGO</t>
  </si>
  <si>
    <t>Winnebago Industries, Inc.</t>
  </si>
  <si>
    <t>Homebuilding</t>
  </si>
  <si>
    <t>$914.42M</t>
  </si>
  <si>
    <t>Ziebart</t>
  </si>
  <si>
    <t>231.141.180.91</t>
  </si>
  <si>
    <t>61.100.133.59</t>
  </si>
  <si>
    <t>SSB</t>
  </si>
  <si>
    <t>South State Corporation</t>
  </si>
  <si>
    <t>$2.55B</t>
  </si>
  <si>
    <t>Corey</t>
  </si>
  <si>
    <t>Coopper</t>
  </si>
  <si>
    <t>42.238.27.28</t>
  </si>
  <si>
    <t>153.150.106.140</t>
  </si>
  <si>
    <t>EOD</t>
  </si>
  <si>
    <t>Wells Fargo Global Dividend Opportunity Fund</t>
  </si>
  <si>
    <t>$285.58M</t>
  </si>
  <si>
    <t>Babbette</t>
  </si>
  <si>
    <t>Paprotny</t>
  </si>
  <si>
    <t>18.2.225.16</t>
  </si>
  <si>
    <t>87.235.225.99</t>
  </si>
  <si>
    <t>WVVIP</t>
  </si>
  <si>
    <t>Willamette Valley Vineyards, Inc.</t>
  </si>
  <si>
    <t>Cassy</t>
  </si>
  <si>
    <t>Woolfitt</t>
  </si>
  <si>
    <t>209.164.172.191</t>
  </si>
  <si>
    <t>59.209.230.182</t>
  </si>
  <si>
    <t>POPE</t>
  </si>
  <si>
    <t>Pope Resources</t>
  </si>
  <si>
    <t>Environmental Services</t>
  </si>
  <si>
    <t>$320.19M</t>
  </si>
  <si>
    <t>Alejandro</t>
  </si>
  <si>
    <t>Dummigan</t>
  </si>
  <si>
    <t>214.4.105.122</t>
  </si>
  <si>
    <t>128.54.117.150</t>
  </si>
  <si>
    <t>MRVL</t>
  </si>
  <si>
    <t>Marvell Technology Group Ltd.</t>
  </si>
  <si>
    <t>$8.71B</t>
  </si>
  <si>
    <t>Webster</t>
  </si>
  <si>
    <t>Waycot</t>
  </si>
  <si>
    <t>249.8.180.131</t>
  </si>
  <si>
    <t>12.144.214.188</t>
  </si>
  <si>
    <t>XGTIW</t>
  </si>
  <si>
    <t>XG Technology, Inc</t>
  </si>
  <si>
    <t>Ferdy</t>
  </si>
  <si>
    <t>Martinie</t>
  </si>
  <si>
    <t>148.80.103.98</t>
  </si>
  <si>
    <t>200.75.27.131</t>
  </si>
  <si>
    <t>AKTX</t>
  </si>
  <si>
    <t>Akari Therapeutics Plc</t>
  </si>
  <si>
    <t>$56.29M</t>
  </si>
  <si>
    <t>Torrey</t>
  </si>
  <si>
    <t>Videneev</t>
  </si>
  <si>
    <t>181.165.211.91</t>
  </si>
  <si>
    <t>226.141.242.128</t>
  </si>
  <si>
    <t>TECH</t>
  </si>
  <si>
    <t>Bio-Techne Corp</t>
  </si>
  <si>
    <t>$4.17B</t>
  </si>
  <si>
    <t>Cullen</t>
  </si>
  <si>
    <t>Cashin</t>
  </si>
  <si>
    <t>170.11.167.28</t>
  </si>
  <si>
    <t>136.6.80.53</t>
  </si>
  <si>
    <t>WGL</t>
  </si>
  <si>
    <t>WGL Holdings Inc</t>
  </si>
  <si>
    <t>Oil/Gas Transmission</t>
  </si>
  <si>
    <t>$4.32B</t>
  </si>
  <si>
    <t>Pearl</t>
  </si>
  <si>
    <t>Golt</t>
  </si>
  <si>
    <t>0.77.94.83</t>
  </si>
  <si>
    <t>220.123.28.33</t>
  </si>
  <si>
    <t>LCAHW</t>
  </si>
  <si>
    <t>Landcadia Holdings, Inc.</t>
  </si>
  <si>
    <t>Martynne</t>
  </si>
  <si>
    <t>Bernardinelli</t>
  </si>
  <si>
    <t>122.46.185.158</t>
  </si>
  <si>
    <t>80.5.228.66</t>
  </si>
  <si>
    <t>EOCC</t>
  </si>
  <si>
    <t>Enel Generacion Chile S.A.</t>
  </si>
  <si>
    <t>Kara-lynn</t>
  </si>
  <si>
    <t>Caldero</t>
  </si>
  <si>
    <t>49.104.206.206</t>
  </si>
  <si>
    <t>36.208.77.136</t>
  </si>
  <si>
    <t>VIIX</t>
  </si>
  <si>
    <t>VelocityShares VIX Short-Term ETN</t>
  </si>
  <si>
    <t>$12.81M</t>
  </si>
  <si>
    <t>Elton</t>
  </si>
  <si>
    <t>MacPake</t>
  </si>
  <si>
    <t>103.226.51.204</t>
  </si>
  <si>
    <t>76.17.74.245</t>
  </si>
  <si>
    <t>QCP</t>
  </si>
  <si>
    <t>Quality Care Properties, Inc.</t>
  </si>
  <si>
    <t>$1.65B</t>
  </si>
  <si>
    <t>Roma</t>
  </si>
  <si>
    <t>Andriuzzi</t>
  </si>
  <si>
    <t>232.207.15.169</t>
  </si>
  <si>
    <t>255.45.249.207</t>
  </si>
  <si>
    <t>SSRI</t>
  </si>
  <si>
    <t>Silver Standard Resources Inc.</t>
  </si>
  <si>
    <t>Ludovico</t>
  </si>
  <si>
    <t>Buckbee</t>
  </si>
  <si>
    <t>227.208.250.22</t>
  </si>
  <si>
    <t>210.159.138.92</t>
  </si>
  <si>
    <t>BSL</t>
  </si>
  <si>
    <t>Blackstone GSO Senior Floating Rate Term Fund</t>
  </si>
  <si>
    <t>$271.31M</t>
  </si>
  <si>
    <t>Ibrahim</t>
  </si>
  <si>
    <t>Braywood</t>
  </si>
  <si>
    <t>94.113.169.249</t>
  </si>
  <si>
    <t>8.124.43.153</t>
  </si>
  <si>
    <t>TUP</t>
  </si>
  <si>
    <t>Tupperware Brands Corporation</t>
  </si>
  <si>
    <t>Plastic Products</t>
  </si>
  <si>
    <t>$3.6B</t>
  </si>
  <si>
    <t>Reilly</t>
  </si>
  <si>
    <t>Pendock</t>
  </si>
  <si>
    <t>28.241.31.226</t>
  </si>
  <si>
    <t>105.150.93.77</t>
  </si>
  <si>
    <t>CTDD</t>
  </si>
  <si>
    <t>Qwest Corporation</t>
  </si>
  <si>
    <t>Cary</t>
  </si>
  <si>
    <t>Sneaker</t>
  </si>
  <si>
    <t>247.221.108.7</t>
  </si>
  <si>
    <t>73.19.15.95</t>
  </si>
  <si>
    <t>IXYS</t>
  </si>
  <si>
    <t>IXYS Corporation</t>
  </si>
  <si>
    <t>$513.83M</t>
  </si>
  <si>
    <t>Upton</t>
  </si>
  <si>
    <t>MacCart</t>
  </si>
  <si>
    <t>82.233.253.129</t>
  </si>
  <si>
    <t>164.181.47.168</t>
  </si>
  <si>
    <t>CPK</t>
  </si>
  <si>
    <t>Chesapeake Utilities Corporation</t>
  </si>
  <si>
    <t>$1.23B</t>
  </si>
  <si>
    <t>Nevins</t>
  </si>
  <si>
    <t>Masserel</t>
  </si>
  <si>
    <t>51.217.33.121</t>
  </si>
  <si>
    <t>219.50.63.230</t>
  </si>
  <si>
    <t>Jessamine</t>
  </si>
  <si>
    <t>Margaritelli</t>
  </si>
  <si>
    <t>193.255.235.230</t>
  </si>
  <si>
    <t>166.226.78.222</t>
  </si>
  <si>
    <t>CUDA</t>
  </si>
  <si>
    <t>Barracuda Networks, Inc.</t>
  </si>
  <si>
    <t>$1.17B</t>
  </si>
  <si>
    <t>Luce</t>
  </si>
  <si>
    <t>Carnegy</t>
  </si>
  <si>
    <t>131.255.116.206</t>
  </si>
  <si>
    <t>143.107.242.123</t>
  </si>
  <si>
    <t>SSW^E</t>
  </si>
  <si>
    <t>Carlynn</t>
  </si>
  <si>
    <t>Tidbold</t>
  </si>
  <si>
    <t>191.35.168.102</t>
  </si>
  <si>
    <t>21.88.175.180</t>
  </si>
  <si>
    <t>SANM</t>
  </si>
  <si>
    <t>Sanmina Corporation</t>
  </si>
  <si>
    <t>Electrical Products</t>
  </si>
  <si>
    <t>Jeremias</t>
  </si>
  <si>
    <t>Tough</t>
  </si>
  <si>
    <t>12.34.187.226</t>
  </si>
  <si>
    <t>215.92.192.75</t>
  </si>
  <si>
    <t>CALA</t>
  </si>
  <si>
    <t>Calithera Biosciences, Inc.</t>
  </si>
  <si>
    <t>$508.24M</t>
  </si>
  <si>
    <t>Lissi</t>
  </si>
  <si>
    <t>Jackman</t>
  </si>
  <si>
    <t>219.104.140.247</t>
  </si>
  <si>
    <t>203.38.91.38</t>
  </si>
  <si>
    <t>WMLP</t>
  </si>
  <si>
    <t>Westmoreland Resource Partners, LP</t>
  </si>
  <si>
    <t>Coal Mining</t>
  </si>
  <si>
    <t>$4.11M</t>
  </si>
  <si>
    <t>Margot</t>
  </si>
  <si>
    <t>Doyland</t>
  </si>
  <si>
    <t>143.72.194.199</t>
  </si>
  <si>
    <t>15.243.244.230</t>
  </si>
  <si>
    <t>JE^A</t>
  </si>
  <si>
    <t>Just Energy Group, Inc.</t>
  </si>
  <si>
    <t>Shannan</t>
  </si>
  <si>
    <t>Stork</t>
  </si>
  <si>
    <t>228.225.195.218</t>
  </si>
  <si>
    <t>33.24.21.245</t>
  </si>
  <si>
    <t>NLY</t>
  </si>
  <si>
    <t>Annaly Capital Management Inc</t>
  </si>
  <si>
    <t>$12.59B</t>
  </si>
  <si>
    <t>Melbourne</t>
  </si>
  <si>
    <t>243.54.19.161</t>
  </si>
  <si>
    <t>227.245.85.202</t>
  </si>
  <si>
    <t>AXDX</t>
  </si>
  <si>
    <t>Accelerate Diagnostics, Inc.</t>
  </si>
  <si>
    <t>Biotechnology: Laboratory Analytical Instruments</t>
  </si>
  <si>
    <t>$1.53B</t>
  </si>
  <si>
    <t>Lukas</t>
  </si>
  <si>
    <t>Slayford</t>
  </si>
  <si>
    <t>83.248.229.82</t>
  </si>
  <si>
    <t>210.28.68.241</t>
  </si>
  <si>
    <t>LPCN</t>
  </si>
  <si>
    <t>Lipocine Inc.</t>
  </si>
  <si>
    <t>$74.57M</t>
  </si>
  <si>
    <t>Addison</t>
  </si>
  <si>
    <t>Headings</t>
  </si>
  <si>
    <t>99.122.20.90</t>
  </si>
  <si>
    <t>131.66.112.237</t>
  </si>
  <si>
    <t>CXRX</t>
  </si>
  <si>
    <t>Concordia International Corp.</t>
  </si>
  <si>
    <t>$56.73M</t>
  </si>
  <si>
    <t>Kimmie</t>
  </si>
  <si>
    <t>Valentine</t>
  </si>
  <si>
    <t>69.150.157.176</t>
  </si>
  <si>
    <t>151.41.185.163</t>
  </si>
  <si>
    <t>GNW</t>
  </si>
  <si>
    <t>Genworth Financial Inc</t>
  </si>
  <si>
    <t>Life Insurance</t>
  </si>
  <si>
    <t>$1.82B</t>
  </si>
  <si>
    <t>Madison</t>
  </si>
  <si>
    <t>Holdey</t>
  </si>
  <si>
    <t>226.183.55.240</t>
  </si>
  <si>
    <t>62.254.22.20</t>
  </si>
  <si>
    <t>CTMX</t>
  </si>
  <si>
    <t>CytomX Therapeutics, Inc.</t>
  </si>
  <si>
    <t>$499.8M</t>
  </si>
  <si>
    <t>Aldin</t>
  </si>
  <si>
    <t>Sleigh</t>
  </si>
  <si>
    <t>133.98.140.239</t>
  </si>
  <si>
    <t>156.155.39.51</t>
  </si>
  <si>
    <t>YUM</t>
  </si>
  <si>
    <t>Yum! Brands, Inc.</t>
  </si>
  <si>
    <t>$25.34B</t>
  </si>
  <si>
    <t>Kendall</t>
  </si>
  <si>
    <t>Test</t>
  </si>
  <si>
    <t>42.255.41.35</t>
  </si>
  <si>
    <t>110.192.19.76</t>
  </si>
  <si>
    <t>KFY</t>
  </si>
  <si>
    <t>Korn/Ferry International</t>
  </si>
  <si>
    <t>$1.88B</t>
  </si>
  <si>
    <t>Blinny</t>
  </si>
  <si>
    <t>Venning</t>
  </si>
  <si>
    <t>38.115.32.141</t>
  </si>
  <si>
    <t>19.156.241.40</t>
  </si>
  <si>
    <t>Eugenie</t>
  </si>
  <si>
    <t>Gepson</t>
  </si>
  <si>
    <t>52.247.165.136</t>
  </si>
  <si>
    <t>131.24.72.216</t>
  </si>
  <si>
    <t>SPLK</t>
  </si>
  <si>
    <t>Splunk Inc.</t>
  </si>
  <si>
    <t>$7.96B</t>
  </si>
  <si>
    <t>Goldarina</t>
  </si>
  <si>
    <t>Gothup</t>
  </si>
  <si>
    <t>86.127.124.203</t>
  </si>
  <si>
    <t>198.245.255.141</t>
  </si>
  <si>
    <t>BBC</t>
  </si>
  <si>
    <t>BioShares Biotechnology Clinical Trials Fund</t>
  </si>
  <si>
    <t>$23.35M</t>
  </si>
  <si>
    <t>Faunie</t>
  </si>
  <si>
    <t>Frammingham</t>
  </si>
  <si>
    <t>158.138.243.138</t>
  </si>
  <si>
    <t>150.48.2.199</t>
  </si>
  <si>
    <t>FWP</t>
  </si>
  <si>
    <t>Forward Pharma A/S</t>
  </si>
  <si>
    <t>Stacie</t>
  </si>
  <si>
    <t>Saffin</t>
  </si>
  <si>
    <t>184.16.133.113</t>
  </si>
  <si>
    <t>139.113.94.39</t>
  </si>
  <si>
    <t>EFT</t>
  </si>
  <si>
    <t>Eaton Vance Floating Rate Income Trust</t>
  </si>
  <si>
    <t>$605.93M</t>
  </si>
  <si>
    <t>Edi</t>
  </si>
  <si>
    <t>Barg</t>
  </si>
  <si>
    <t>154.32.47.111</t>
  </si>
  <si>
    <t>169.41.162.167</t>
  </si>
  <si>
    <t>SAN^I</t>
  </si>
  <si>
    <t>Banco Santander, S.A.</t>
  </si>
  <si>
    <t>Eric</t>
  </si>
  <si>
    <t>Horlick</t>
  </si>
  <si>
    <t>129.184.14.26</t>
  </si>
  <si>
    <t>120.199.222.198</t>
  </si>
  <si>
    <t>SMBK</t>
  </si>
  <si>
    <t>SmartFinancial, Inc.</t>
  </si>
  <si>
    <t>$201.19M</t>
  </si>
  <si>
    <t>Kaylil</t>
  </si>
  <si>
    <t>Robbel</t>
  </si>
  <si>
    <t>147.231.29.14</t>
  </si>
  <si>
    <t>81.162.167.156</t>
  </si>
  <si>
    <t>Erinna</t>
  </si>
  <si>
    <t>Joao</t>
  </si>
  <si>
    <t>81.215.233.132</t>
  </si>
  <si>
    <t>169.185.118.62</t>
  </si>
  <si>
    <t>COBZ</t>
  </si>
  <si>
    <t>CoBiz Financial Inc.</t>
  </si>
  <si>
    <t>$691.58M</t>
  </si>
  <si>
    <t>Arielle</t>
  </si>
  <si>
    <t>Aynscombe</t>
  </si>
  <si>
    <t>98.11.162.247</t>
  </si>
  <si>
    <t>132.153.178.68</t>
  </si>
  <si>
    <t>UMBF</t>
  </si>
  <si>
    <t>UMB Financial Corporation</t>
  </si>
  <si>
    <t>$3.68B</t>
  </si>
  <si>
    <t>Pris</t>
  </si>
  <si>
    <t>Greep</t>
  </si>
  <si>
    <t>238.164.208.253</t>
  </si>
  <si>
    <t>229.52.237.102</t>
  </si>
  <si>
    <t>SPKEP</t>
  </si>
  <si>
    <t>MacGillivrie</t>
  </si>
  <si>
    <t>159.102.224.67</t>
  </si>
  <si>
    <t>130.157.185.186</t>
  </si>
  <si>
    <t>UVE</t>
  </si>
  <si>
    <t>UNIVERSAL INSURANCE HOLDINGS INC</t>
  </si>
  <si>
    <t>$882.08M</t>
  </si>
  <si>
    <t>Rad</t>
  </si>
  <si>
    <t>De Ambrosis</t>
  </si>
  <si>
    <t>115.152.250.213</t>
  </si>
  <si>
    <t>206.243.52.20</t>
  </si>
  <si>
    <t>CIM^A</t>
  </si>
  <si>
    <t>Chimera Investment Corporation</t>
  </si>
  <si>
    <t>Bruce</t>
  </si>
  <si>
    <t>Lettsom</t>
  </si>
  <si>
    <t>169.141.170.12</t>
  </si>
  <si>
    <t>30.52.8.208</t>
  </si>
  <si>
    <t>Thain</t>
  </si>
  <si>
    <t>O'Bruen</t>
  </si>
  <si>
    <t>170.142.19.92</t>
  </si>
  <si>
    <t>237.99.109.122</t>
  </si>
  <si>
    <t>SHLM</t>
  </si>
  <si>
    <t>A. Schulman, Inc.</t>
  </si>
  <si>
    <t>$855.12M</t>
  </si>
  <si>
    <t>Dewane</t>
  </si>
  <si>
    <t>55.193.91.189</t>
  </si>
  <si>
    <t>169.193.108.177</t>
  </si>
  <si>
    <t>BCPC</t>
  </si>
  <si>
    <t>Balchem Corporation</t>
  </si>
  <si>
    <t>$2.56B</t>
  </si>
  <si>
    <t>Irwinn</t>
  </si>
  <si>
    <t>Nind</t>
  </si>
  <si>
    <t>77.247.200.54</t>
  </si>
  <si>
    <t>40.247.58.185</t>
  </si>
  <si>
    <t>EYESW</t>
  </si>
  <si>
    <t>Second Sight Medical Products, Inc.</t>
  </si>
  <si>
    <t>Benyamin</t>
  </si>
  <si>
    <t>Gabriel</t>
  </si>
  <si>
    <t>64.45.250.206</t>
  </si>
  <si>
    <t>207.33.232.217</t>
  </si>
  <si>
    <t>SMLP</t>
  </si>
  <si>
    <t>Summit Midstream Partners, LP</t>
  </si>
  <si>
    <t>Natural Gas Distribution</t>
  </si>
  <si>
    <t>Even</t>
  </si>
  <si>
    <t>Branson</t>
  </si>
  <si>
    <t>252.214.137.7</t>
  </si>
  <si>
    <t>117.134.233.156</t>
  </si>
  <si>
    <t>ACHN</t>
  </si>
  <si>
    <t>Achillion Pharmaceuticals, Inc.</t>
  </si>
  <si>
    <t>$578.34M</t>
  </si>
  <si>
    <t>Tess</t>
  </si>
  <si>
    <t>Andrioli</t>
  </si>
  <si>
    <t>235.171.101.41</t>
  </si>
  <si>
    <t>238.97.232.93</t>
  </si>
  <si>
    <t>LNTH</t>
  </si>
  <si>
    <t>Lantheus Holdings, Inc.</t>
  </si>
  <si>
    <t>Biotechnology: In Vitro &amp; In Vivo Diagnostic Substances</t>
  </si>
  <si>
    <t>$562.75M</t>
  </si>
  <si>
    <t>Trunks</t>
  </si>
  <si>
    <t>255.206.137.247</t>
  </si>
  <si>
    <t>121.150.185.75</t>
  </si>
  <si>
    <t>TCF^C</t>
  </si>
  <si>
    <t>Morgana</t>
  </si>
  <si>
    <t>Benck</t>
  </si>
  <si>
    <t>254.203.35.90</t>
  </si>
  <si>
    <t>45.27.212.70</t>
  </si>
  <si>
    <t>CVLY</t>
  </si>
  <si>
    <t>Codorus Valley Bancorp, Inc</t>
  </si>
  <si>
    <t>$225.47M</t>
  </si>
  <si>
    <t>Fionnula</t>
  </si>
  <si>
    <t>Kiltie</t>
  </si>
  <si>
    <t>149.218.233.249</t>
  </si>
  <si>
    <t>8.206.22.251</t>
  </si>
  <si>
    <t>PBT</t>
  </si>
  <si>
    <t>Permian Basin Royalty Trust</t>
  </si>
  <si>
    <t>$426.47M</t>
  </si>
  <si>
    <t>Carolina</t>
  </si>
  <si>
    <t>Lowsely</t>
  </si>
  <si>
    <t>173.76.4.143</t>
  </si>
  <si>
    <t>44.243.115.92</t>
  </si>
  <si>
    <t>DFT</t>
  </si>
  <si>
    <t>Dupont Fabros Technology, Inc.</t>
  </si>
  <si>
    <t>$4.93B</t>
  </si>
  <si>
    <t>Laurent</t>
  </si>
  <si>
    <t>Corter</t>
  </si>
  <si>
    <t>192.98.109.107</t>
  </si>
  <si>
    <t>9.111.84.153</t>
  </si>
  <si>
    <t>CVO</t>
  </si>
  <si>
    <t>Cenveo Inc</t>
  </si>
  <si>
    <t>$52.17M</t>
  </si>
  <si>
    <t>Winifield</t>
  </si>
  <si>
    <t>Simonato</t>
  </si>
  <si>
    <t>127.215.30.234</t>
  </si>
  <si>
    <t>119.105.182.133</t>
  </si>
  <si>
    <t>WEC</t>
  </si>
  <si>
    <t>WEC Energy Group, Inc.</t>
  </si>
  <si>
    <t>$20.27B</t>
  </si>
  <si>
    <t>Berny</t>
  </si>
  <si>
    <t>Warbeys</t>
  </si>
  <si>
    <t>186.117.255.105</t>
  </si>
  <si>
    <t>57.150.220.248</t>
  </si>
  <si>
    <t>USPH</t>
  </si>
  <si>
    <t>U.S. Physical Therapy, Inc.</t>
  </si>
  <si>
    <t>$787.59M</t>
  </si>
  <si>
    <t>Rhona</t>
  </si>
  <si>
    <t>Duding</t>
  </si>
  <si>
    <t>206.229.28.184</t>
  </si>
  <si>
    <t>133.105.35.231</t>
  </si>
  <si>
    <t>WHLRP</t>
  </si>
  <si>
    <t>Wheeler Real Estate Investment Trust, Inc.</t>
  </si>
  <si>
    <t>$16.13M</t>
  </si>
  <si>
    <t>Ailene</t>
  </si>
  <si>
    <t>Dable</t>
  </si>
  <si>
    <t>3.40.232.15</t>
  </si>
  <si>
    <t>64.0.146.204</t>
  </si>
  <si>
    <t>Pepillo</t>
  </si>
  <si>
    <t>Stringer</t>
  </si>
  <si>
    <t>23.136.47.107</t>
  </si>
  <si>
    <t>62.130.7.85</t>
  </si>
  <si>
    <t>PSCI</t>
  </si>
  <si>
    <t>PowerShares S&amp;P SmallCap Industrials Portfolio</t>
  </si>
  <si>
    <t>$96.27M</t>
  </si>
  <si>
    <t>Izabel</t>
  </si>
  <si>
    <t>Gladden</t>
  </si>
  <si>
    <t>224.84.3.128</t>
  </si>
  <si>
    <t>75.44.150.140</t>
  </si>
  <si>
    <t>PLYAW</t>
  </si>
  <si>
    <t>Playa Hotels &amp; Resorts N.V.</t>
  </si>
  <si>
    <t>Arty</t>
  </si>
  <si>
    <t>Erdes</t>
  </si>
  <si>
    <t>140.242.17.131</t>
  </si>
  <si>
    <t>90.211.131.61</t>
  </si>
  <si>
    <t>Dan</t>
  </si>
  <si>
    <t>Monkman</t>
  </si>
  <si>
    <t>166.73.44.136</t>
  </si>
  <si>
    <t>136.74.8.222</t>
  </si>
  <si>
    <t>ACN</t>
  </si>
  <si>
    <t>Accenture plc</t>
  </si>
  <si>
    <t>$81.78B</t>
  </si>
  <si>
    <t>51.241.64.88</t>
  </si>
  <si>
    <t>254.151.128.173</t>
  </si>
  <si>
    <t>ROST</t>
  </si>
  <si>
    <t>Ross Stores, Inc.</t>
  </si>
  <si>
    <t>Clothing/Shoe/Accessory Stores</t>
  </si>
  <si>
    <t>$23.38B</t>
  </si>
  <si>
    <t>Adrea</t>
  </si>
  <si>
    <t>Gwilt</t>
  </si>
  <si>
    <t>124.182.212.98</t>
  </si>
  <si>
    <t>33.222.45.223</t>
  </si>
  <si>
    <t>XCRA</t>
  </si>
  <si>
    <t>Xcerra Corporation</t>
  </si>
  <si>
    <t>$536.16M</t>
  </si>
  <si>
    <t>Guss</t>
  </si>
  <si>
    <t>Vanacci</t>
  </si>
  <si>
    <t>8.81.187.13</t>
  </si>
  <si>
    <t>28.105.71.158</t>
  </si>
  <si>
    <t>BPMC</t>
  </si>
  <si>
    <t>Blueprint Medicines Corporation</t>
  </si>
  <si>
    <t>$1.56B</t>
  </si>
  <si>
    <t>Findlay</t>
  </si>
  <si>
    <t>Wedge</t>
  </si>
  <si>
    <t>113.12.222.114</t>
  </si>
  <si>
    <t>205.77.154.2</t>
  </si>
  <si>
    <t>GRID</t>
  </si>
  <si>
    <t xml:space="preserve">First Trust NASDAQ Clean Edge Smart Grid Infrastructure Index </t>
  </si>
  <si>
    <t>$21.91M</t>
  </si>
  <si>
    <t>Erik</t>
  </si>
  <si>
    <t>Alecock</t>
  </si>
  <si>
    <t>117.216.51.126</t>
  </si>
  <si>
    <t>63.51.221.212</t>
  </si>
  <si>
    <t>HUBB</t>
  </si>
  <si>
    <t>Hubbell Inc</t>
  </si>
  <si>
    <t>$6.47B</t>
  </si>
  <si>
    <t>Emlynne</t>
  </si>
  <si>
    <t>Reichardt</t>
  </si>
  <si>
    <t>69.242.134.94</t>
  </si>
  <si>
    <t>5.162.2.243</t>
  </si>
  <si>
    <t>PPR</t>
  </si>
  <si>
    <t>Voya Prime Rate Trust</t>
  </si>
  <si>
    <t>$790.66M</t>
  </si>
  <si>
    <t>Marchelle</t>
  </si>
  <si>
    <t>Hardway</t>
  </si>
  <si>
    <t>49.174.192.226</t>
  </si>
  <si>
    <t>113.115.51.216</t>
  </si>
  <si>
    <t>GGZ</t>
  </si>
  <si>
    <t>$95.4M</t>
  </si>
  <si>
    <t>Margy</t>
  </si>
  <si>
    <t>Treace</t>
  </si>
  <si>
    <t>138.87.239.80</t>
  </si>
  <si>
    <t>196.41.24.58</t>
  </si>
  <si>
    <t>TIME</t>
  </si>
  <si>
    <t>Time Inc.</t>
  </si>
  <si>
    <t>Newspapers/Magazines</t>
  </si>
  <si>
    <t>$1.35B</t>
  </si>
  <si>
    <t>Ranice</t>
  </si>
  <si>
    <t>Cradoc</t>
  </si>
  <si>
    <t>98.61.162.250</t>
  </si>
  <si>
    <t>205.178.124.49</t>
  </si>
  <si>
    <t>HAIN</t>
  </si>
  <si>
    <t>The Hain Celestial Group, Inc.</t>
  </si>
  <si>
    <t>$3.51B</t>
  </si>
  <si>
    <t>Brooks</t>
  </si>
  <si>
    <t>Duncombe</t>
  </si>
  <si>
    <t>233.89.206.135</t>
  </si>
  <si>
    <t>41.233.78.93</t>
  </si>
  <si>
    <t>PYZ</t>
  </si>
  <si>
    <t>PowerShares DWA Basic Materials Momentum Portfolio</t>
  </si>
  <si>
    <t>$95.77M</t>
  </si>
  <si>
    <t>Aksel</t>
  </si>
  <si>
    <t>Trimbey</t>
  </si>
  <si>
    <t>8.130.2.170</t>
  </si>
  <si>
    <t>164.40.62.179</t>
  </si>
  <si>
    <t>NDRM</t>
  </si>
  <si>
    <t>NeuroDerm Ltd.</t>
  </si>
  <si>
    <t>$766.44M</t>
  </si>
  <si>
    <t>Abbie</t>
  </si>
  <si>
    <t>Hovie</t>
  </si>
  <si>
    <t>124.6.73.175</t>
  </si>
  <si>
    <t>240.79.206.233</t>
  </si>
  <si>
    <t>POWI</t>
  </si>
  <si>
    <t>Power Integrations, Inc.</t>
  </si>
  <si>
    <t>Annabelle</t>
  </si>
  <si>
    <t>Crinion</t>
  </si>
  <si>
    <t>75.51.105.69</t>
  </si>
  <si>
    <t>209.35.220.201</t>
  </si>
  <si>
    <t>RWLK</t>
  </si>
  <si>
    <t>ReWalk Robotics Ltd</t>
  </si>
  <si>
    <t>$20.84M</t>
  </si>
  <si>
    <t>Rochelle</t>
  </si>
  <si>
    <t>Hulse</t>
  </si>
  <si>
    <t>212.90.17.208</t>
  </si>
  <si>
    <t>224.46.205.232</t>
  </si>
  <si>
    <t>RDI</t>
  </si>
  <si>
    <t>Reading International Inc</t>
  </si>
  <si>
    <t>$367M</t>
  </si>
  <si>
    <t>Bobbi</t>
  </si>
  <si>
    <t>Clarricoates</t>
  </si>
  <si>
    <t>29.13.51.90</t>
  </si>
  <si>
    <t>104.254.209.20</t>
  </si>
  <si>
    <t>PCTI</t>
  </si>
  <si>
    <t>PC-Tel, Inc.</t>
  </si>
  <si>
    <t>$120.74M</t>
  </si>
  <si>
    <t>Viv</t>
  </si>
  <si>
    <t>Levens</t>
  </si>
  <si>
    <t>4.76.187.48</t>
  </si>
  <si>
    <t>62.250.221.104</t>
  </si>
  <si>
    <t>OESX</t>
  </si>
  <si>
    <t>Orion Energy Systems, Inc.</t>
  </si>
  <si>
    <t>Building Products</t>
  </si>
  <si>
    <t>$38.19M</t>
  </si>
  <si>
    <t>Reine</t>
  </si>
  <si>
    <t>Gert</t>
  </si>
  <si>
    <t>154.42.185.32</t>
  </si>
  <si>
    <t>53.148.251.128</t>
  </si>
  <si>
    <t>WBT</t>
  </si>
  <si>
    <t>Welbilt, Inc.</t>
  </si>
  <si>
    <t>$2.62B</t>
  </si>
  <si>
    <t>Tobi</t>
  </si>
  <si>
    <t>Mannooch</t>
  </si>
  <si>
    <t>12.246.230.201</t>
  </si>
  <si>
    <t>7.83.47.21</t>
  </si>
  <si>
    <t>NXRT</t>
  </si>
  <si>
    <t>NexPoint Residential Trust, Inc.</t>
  </si>
  <si>
    <t>$536.19M</t>
  </si>
  <si>
    <t>Ursula</t>
  </si>
  <si>
    <t>Hubback</t>
  </si>
  <si>
    <t>222.157.121.177</t>
  </si>
  <si>
    <t>83.248.22.72</t>
  </si>
  <si>
    <t>JONE</t>
  </si>
  <si>
    <t>Jones Energy, Inc.</t>
  </si>
  <si>
    <t>$162.11M</t>
  </si>
  <si>
    <t>Frederich</t>
  </si>
  <si>
    <t>Breedy</t>
  </si>
  <si>
    <t>80.169.178.249</t>
  </si>
  <si>
    <t>76.31.92.189</t>
  </si>
  <si>
    <t>ASRV</t>
  </si>
  <si>
    <t>AmeriServ Financial Inc.</t>
  </si>
  <si>
    <t>$76.54M</t>
  </si>
  <si>
    <t>Rey</t>
  </si>
  <si>
    <t>Canfield</t>
  </si>
  <si>
    <t>74.253.130.226</t>
  </si>
  <si>
    <t>28.2.141.205</t>
  </si>
  <si>
    <t>VMO</t>
  </si>
  <si>
    <t>Invesco Municipal Opportunity Trust</t>
  </si>
  <si>
    <t>$885.83M</t>
  </si>
  <si>
    <t>Raffarty</t>
  </si>
  <si>
    <t>Hayman</t>
  </si>
  <si>
    <t>201.108.189.189</t>
  </si>
  <si>
    <t>212.62.244.255</t>
  </si>
  <si>
    <t>EOS</t>
  </si>
  <si>
    <t>Eaton Vance Enhanced Equity Income Fund II</t>
  </si>
  <si>
    <t>$701.96M</t>
  </si>
  <si>
    <t>Turnor</t>
  </si>
  <si>
    <t>4.46.173.156</t>
  </si>
  <si>
    <t>185.195.252.14</t>
  </si>
  <si>
    <t>BIP</t>
  </si>
  <si>
    <t>Brookfield Infrastructure Partners LP</t>
  </si>
  <si>
    <t>$10.77B</t>
  </si>
  <si>
    <t>Aile</t>
  </si>
  <si>
    <t>Goford</t>
  </si>
  <si>
    <t>12.57.75.181</t>
  </si>
  <si>
    <t>139.220.93.159</t>
  </si>
  <si>
    <t>FSAM</t>
  </si>
  <si>
    <t>Fifth Street Asset Management Inc.</t>
  </si>
  <si>
    <t>$172.02M</t>
  </si>
  <si>
    <t>Renaud</t>
  </si>
  <si>
    <t>Cristofano</t>
  </si>
  <si>
    <t>139.99.180.136</t>
  </si>
  <si>
    <t>220.228.114.95</t>
  </si>
  <si>
    <t>CBSHP</t>
  </si>
  <si>
    <t>Commerce Bancshares, Inc.</t>
  </si>
  <si>
    <t>$2.4B</t>
  </si>
  <si>
    <t>Reginald</t>
  </si>
  <si>
    <t>Dobrowski</t>
  </si>
  <si>
    <t>169.20.244.193</t>
  </si>
  <si>
    <t>57.141.91.2</t>
  </si>
  <si>
    <t>GYB</t>
  </si>
  <si>
    <t>CABCO Series 2004-101 Trust</t>
  </si>
  <si>
    <t>Brinn</t>
  </si>
  <si>
    <t>Diano</t>
  </si>
  <si>
    <t>57.229.78.35</t>
  </si>
  <si>
    <t>145.35.14.87</t>
  </si>
  <si>
    <t>MMM</t>
  </si>
  <si>
    <t>3M Company</t>
  </si>
  <si>
    <t>$127.36B</t>
  </si>
  <si>
    <t>Hobie</t>
  </si>
  <si>
    <t>Toten</t>
  </si>
  <si>
    <t>52.150.88.34</t>
  </si>
  <si>
    <t>164.75.154.197</t>
  </si>
  <si>
    <t>STMP</t>
  </si>
  <si>
    <t>Stamps.com Inc.</t>
  </si>
  <si>
    <t>$2.49B</t>
  </si>
  <si>
    <t>Paddy</t>
  </si>
  <si>
    <t>MacClure</t>
  </si>
  <si>
    <t>106.185.29.102</t>
  </si>
  <si>
    <t>17.24.11.2</t>
  </si>
  <si>
    <t>KEYW</t>
  </si>
  <si>
    <t>The KEYW Holding Corporation</t>
  </si>
  <si>
    <t>$447.05M</t>
  </si>
  <si>
    <t>Yoshiko</t>
  </si>
  <si>
    <t>Hold</t>
  </si>
  <si>
    <t>85.60.86.247</t>
  </si>
  <si>
    <t>17.205.29.79</t>
  </si>
  <si>
    <t>CMRE^B</t>
  </si>
  <si>
    <t>Costamare Inc.</t>
  </si>
  <si>
    <t>Cardoso</t>
  </si>
  <si>
    <t>112.123.48.32</t>
  </si>
  <si>
    <t>59.43.222.243</t>
  </si>
  <si>
    <t>THS</t>
  </si>
  <si>
    <t>Treehouse Foods, Inc.</t>
  </si>
  <si>
    <t>Grenshiels</t>
  </si>
  <si>
    <t>140.106.94.5</t>
  </si>
  <si>
    <t>84.139.206.153</t>
  </si>
  <si>
    <t>FULT</t>
  </si>
  <si>
    <t>Fulton Financial Corporation</t>
  </si>
  <si>
    <t>$3.33B</t>
  </si>
  <si>
    <t>Domini</t>
  </si>
  <si>
    <t>Matteoni</t>
  </si>
  <si>
    <t>58.110.105.76</t>
  </si>
  <si>
    <t>239.41.162.5</t>
  </si>
  <si>
    <t>TANNI</t>
  </si>
  <si>
    <t>Dominic</t>
  </si>
  <si>
    <t>Prator</t>
  </si>
  <si>
    <t>164.197.169.192</t>
  </si>
  <si>
    <t>72.157.216.178</t>
  </si>
  <si>
    <t>TPH</t>
  </si>
  <si>
    <t>TRI Pointe Group, Inc.</t>
  </si>
  <si>
    <t>$1.98B</t>
  </si>
  <si>
    <t>Beilul</t>
  </si>
  <si>
    <t>Renwick</t>
  </si>
  <si>
    <t>150.211.227.42</t>
  </si>
  <si>
    <t>196.7.157.204</t>
  </si>
  <si>
    <t>FMAO</t>
  </si>
  <si>
    <t>Farmers &amp; Merchants Bancorp, Inc.</t>
  </si>
  <si>
    <t>$253.22M</t>
  </si>
  <si>
    <t>Trudie</t>
  </si>
  <si>
    <t>Ribbon</t>
  </si>
  <si>
    <t>216.194.13.212</t>
  </si>
  <si>
    <t>28.73.26.122</t>
  </si>
  <si>
    <t>HMNY</t>
  </si>
  <si>
    <t>Helios and Matheson Analytics Inc</t>
  </si>
  <si>
    <t>$14.65M</t>
  </si>
  <si>
    <t>Valentin</t>
  </si>
  <si>
    <t>Balwin</t>
  </si>
  <si>
    <t>12.21.1.109</t>
  </si>
  <si>
    <t>11.233.57.251</t>
  </si>
  <si>
    <t>AIC</t>
  </si>
  <si>
    <t>Arlington Asset Investment Corp</t>
  </si>
  <si>
    <t>Finance/Investors Services</t>
  </si>
  <si>
    <t>Bree</t>
  </si>
  <si>
    <t>Height</t>
  </si>
  <si>
    <t>28.107.166.18</t>
  </si>
  <si>
    <t>199.229.12.169</t>
  </si>
  <si>
    <t>MDIV</t>
  </si>
  <si>
    <t>First Trust Multi-Asset Diversified Income Index Fund</t>
  </si>
  <si>
    <t>$887.04M</t>
  </si>
  <si>
    <t>Valina</t>
  </si>
  <si>
    <t>Ralston</t>
  </si>
  <si>
    <t>164.192.224.122</t>
  </si>
  <si>
    <t>215.106.130.31</t>
  </si>
  <si>
    <t>FBM</t>
  </si>
  <si>
    <t>Foundation Building Materials, Inc.</t>
  </si>
  <si>
    <t>RETAIL: Building Materials</t>
  </si>
  <si>
    <t>$589.4M</t>
  </si>
  <si>
    <t>Zorana</t>
  </si>
  <si>
    <t>Worsley</t>
  </si>
  <si>
    <t>253.244.242.239</t>
  </si>
  <si>
    <t>122.93.231.121</t>
  </si>
  <si>
    <t>IBCP</t>
  </si>
  <si>
    <t>Independent Bank Corporation</t>
  </si>
  <si>
    <t>$452.26M</t>
  </si>
  <si>
    <t>Carola</t>
  </si>
  <si>
    <t>Vanichkin</t>
  </si>
  <si>
    <t>61.82.193.120</t>
  </si>
  <si>
    <t>33.173.223.156</t>
  </si>
  <si>
    <t>APF</t>
  </si>
  <si>
    <t>Morgan Stanley Asia-Pacific Fund, Inc.</t>
  </si>
  <si>
    <t>$224.53M</t>
  </si>
  <si>
    <t>Analiese</t>
  </si>
  <si>
    <t>Vigrass</t>
  </si>
  <si>
    <t>202.194.144.72</t>
  </si>
  <si>
    <t>4.199.196.192</t>
  </si>
  <si>
    <t>OHAI</t>
  </si>
  <si>
    <t>OHA Investment Corporation</t>
  </si>
  <si>
    <t>$24.59M</t>
  </si>
  <si>
    <t>Chick</t>
  </si>
  <si>
    <t>Kopacek</t>
  </si>
  <si>
    <t>163.94.38.6</t>
  </si>
  <si>
    <t>115.110.56.63</t>
  </si>
  <si>
    <t>ARI</t>
  </si>
  <si>
    <t>Apollo Commercial Real Estate Finance</t>
  </si>
  <si>
    <t>$2B</t>
  </si>
  <si>
    <t>Tootsie</t>
  </si>
  <si>
    <t>Spennock</t>
  </si>
  <si>
    <t>80.135.219.159</t>
  </si>
  <si>
    <t>135.198.53.194</t>
  </si>
  <si>
    <t>PIO</t>
  </si>
  <si>
    <t>PowerShares Global Water Portfolio</t>
  </si>
  <si>
    <t>$191.36M</t>
  </si>
  <si>
    <t>Raphaela</t>
  </si>
  <si>
    <t>O'Fearguise</t>
  </si>
  <si>
    <t>254.175.94.213</t>
  </si>
  <si>
    <t>128.253.157.63</t>
  </si>
  <si>
    <t>SPSC</t>
  </si>
  <si>
    <t>SPS Commerce, Inc.</t>
  </si>
  <si>
    <t>Yule</t>
  </si>
  <si>
    <t>Bambrick</t>
  </si>
  <si>
    <t>10.182.107.65</t>
  </si>
  <si>
    <t>159.149.162.253</t>
  </si>
  <si>
    <t>TTS</t>
  </si>
  <si>
    <t>Tile Shop Hldgs, Inc.</t>
  </si>
  <si>
    <t>Adelaide</t>
  </si>
  <si>
    <t>Style</t>
  </si>
  <si>
    <t>46.101.151.167</t>
  </si>
  <si>
    <t>140.90.145.114</t>
  </si>
  <si>
    <t>AXTA</t>
  </si>
  <si>
    <t>Axalta Coating Systems Ltd.</t>
  </si>
  <si>
    <t>Paints/Coatings</t>
  </si>
  <si>
    <t>$8.17B</t>
  </si>
  <si>
    <t>Barbaraanne</t>
  </si>
  <si>
    <t>Hagergham</t>
  </si>
  <si>
    <t>2.180.235.115</t>
  </si>
  <si>
    <t>236.123.247.118</t>
  </si>
  <si>
    <t>PULM</t>
  </si>
  <si>
    <t>Pulmatrix, Inc.</t>
  </si>
  <si>
    <t>$45.78M</t>
  </si>
  <si>
    <t>Errol</t>
  </si>
  <si>
    <t>Feyer</t>
  </si>
  <si>
    <t>55.195.42.199</t>
  </si>
  <si>
    <t>196.151.9.66</t>
  </si>
  <si>
    <t>Whitney</t>
  </si>
  <si>
    <t>Giddons</t>
  </si>
  <si>
    <t>148.159.81.56</t>
  </si>
  <si>
    <t>46.47.107.238</t>
  </si>
  <si>
    <t>EYEGW</t>
  </si>
  <si>
    <t>Eyegate Pharmaceuticals, Inc.</t>
  </si>
  <si>
    <t>Calhoun</t>
  </si>
  <si>
    <t>Ruggles</t>
  </si>
  <si>
    <t>200.53.164.73</t>
  </si>
  <si>
    <t>0.52.195.109</t>
  </si>
  <si>
    <t>SMSI</t>
  </si>
  <si>
    <t>Smith Micro Software, Inc.</t>
  </si>
  <si>
    <t>$16.06M</t>
  </si>
  <si>
    <t>Chaddy</t>
  </si>
  <si>
    <t>Jacobsen</t>
  </si>
  <si>
    <t>62.248.247.25</t>
  </si>
  <si>
    <t>165.34.122.246</t>
  </si>
  <si>
    <t>PE</t>
  </si>
  <si>
    <t>Parsley Energy, Inc.</t>
  </si>
  <si>
    <t>$8.13B</t>
  </si>
  <si>
    <t>Melonie</t>
  </si>
  <si>
    <t>Copcutt</t>
  </si>
  <si>
    <t>217.56.142.113</t>
  </si>
  <si>
    <t>46.1.12.22</t>
  </si>
  <si>
    <t>BBY</t>
  </si>
  <si>
    <t>Best Buy Co., Inc.</t>
  </si>
  <si>
    <t>Consumer Electronics/Video Chains</t>
  </si>
  <si>
    <t>$16.97B</t>
  </si>
  <si>
    <t>Wynn</t>
  </si>
  <si>
    <t>Euler</t>
  </si>
  <si>
    <t>226.115.33.37</t>
  </si>
  <si>
    <t>12.170.74.254</t>
  </si>
  <si>
    <t>MTEX</t>
  </si>
  <si>
    <t>Mannatech, Incorporated</t>
  </si>
  <si>
    <t>$36.87M</t>
  </si>
  <si>
    <t>Eugenia</t>
  </si>
  <si>
    <t>Simoneton</t>
  </si>
  <si>
    <t>203.211.129.124</t>
  </si>
  <si>
    <t>112.11.205.118</t>
  </si>
  <si>
    <t>ECPG</t>
  </si>
  <si>
    <t>Encore Capital Group Inc</t>
  </si>
  <si>
    <t>$996.04M</t>
  </si>
  <si>
    <t>Meade</t>
  </si>
  <si>
    <t>Britten</t>
  </si>
  <si>
    <t>104.117.42.141</t>
  </si>
  <si>
    <t>192.246.117.156</t>
  </si>
  <si>
    <t>AGX</t>
  </si>
  <si>
    <t>Argan, Inc.</t>
  </si>
  <si>
    <t>Engineering &amp; Construction</t>
  </si>
  <si>
    <t>$947.48M</t>
  </si>
  <si>
    <t>Jillana</t>
  </si>
  <si>
    <t>Ciottoi</t>
  </si>
  <si>
    <t>108.93.205.99</t>
  </si>
  <si>
    <t>161.132.43.97</t>
  </si>
  <si>
    <t>Matt</t>
  </si>
  <si>
    <t>Saura</t>
  </si>
  <si>
    <t>3.225.88.56</t>
  </si>
  <si>
    <t>85.97.189.231</t>
  </si>
  <si>
    <t>Heather</t>
  </si>
  <si>
    <t>Hann</t>
  </si>
  <si>
    <t>220.20.194.1</t>
  </si>
  <si>
    <t>135.181.60.22</t>
  </si>
  <si>
    <t>SCHW^C</t>
  </si>
  <si>
    <t>The Charles Schwab Corporation</t>
  </si>
  <si>
    <t>Boonie</t>
  </si>
  <si>
    <t>Dickings</t>
  </si>
  <si>
    <t>2.4.43.92</t>
  </si>
  <si>
    <t>161.214.211.68</t>
  </si>
  <si>
    <t>NFX</t>
  </si>
  <si>
    <t>Newfield Exploration Company</t>
  </si>
  <si>
    <t>$5.84B</t>
  </si>
  <si>
    <t>Codie</t>
  </si>
  <si>
    <t>Ogilvie</t>
  </si>
  <si>
    <t>251.32.145.236</t>
  </si>
  <si>
    <t>196.82.137.134</t>
  </si>
  <si>
    <t>COH</t>
  </si>
  <si>
    <t>Coach, Inc.</t>
  </si>
  <si>
    <t>$13B</t>
  </si>
  <si>
    <t>Adams</t>
  </si>
  <si>
    <t>Scneider</t>
  </si>
  <si>
    <t>211.3.170.23</t>
  </si>
  <si>
    <t>19.87.68.204</t>
  </si>
  <si>
    <t>CMC</t>
  </si>
  <si>
    <t>Commercial Metals Company</t>
  </si>
  <si>
    <t>Kelvin</t>
  </si>
  <si>
    <t>Pedrielli</t>
  </si>
  <si>
    <t>221.177.36.40</t>
  </si>
  <si>
    <t>201.75.231.223</t>
  </si>
  <si>
    <t>CI</t>
  </si>
  <si>
    <t>Cigna Corporation</t>
  </si>
  <si>
    <t>$43.29B</t>
  </si>
  <si>
    <t>Maridel</t>
  </si>
  <si>
    <t>Tallent</t>
  </si>
  <si>
    <t>19.89.211.181</t>
  </si>
  <si>
    <t>10.180.184.93</t>
  </si>
  <si>
    <t>ERF</t>
  </si>
  <si>
    <t>Enerplus Corporation</t>
  </si>
  <si>
    <t>$1.95B</t>
  </si>
  <si>
    <t>Grove</t>
  </si>
  <si>
    <t>Cotelard</t>
  </si>
  <si>
    <t>169.56.122.96</t>
  </si>
  <si>
    <t>253.111.179.201</t>
  </si>
  <si>
    <t>ATHX</t>
  </si>
  <si>
    <t>Athersys, Inc.</t>
  </si>
  <si>
    <t>$158.07M</t>
  </si>
  <si>
    <t>Lilith</t>
  </si>
  <si>
    <t>Skentelbury</t>
  </si>
  <si>
    <t>45.53.114.84</t>
  </si>
  <si>
    <t>90.204.232.214</t>
  </si>
  <si>
    <t>FCE.A</t>
  </si>
  <si>
    <t>Forest City Realty Trust, Inc.</t>
  </si>
  <si>
    <t>Dorotea</t>
  </si>
  <si>
    <t>Tanti</t>
  </si>
  <si>
    <t>207.122.200.123</t>
  </si>
  <si>
    <t>88.110.21.130</t>
  </si>
  <si>
    <t>CRDS</t>
  </si>
  <si>
    <t>Crossroads Systems, Inc.</t>
  </si>
  <si>
    <t>$2.32M</t>
  </si>
  <si>
    <t>Kristoffer</t>
  </si>
  <si>
    <t>Prando</t>
  </si>
  <si>
    <t>214.149.173.95</t>
  </si>
  <si>
    <t>214.225.179.88</t>
  </si>
  <si>
    <t>VAC</t>
  </si>
  <si>
    <t>Marriot Vacations Worldwide Corporation</t>
  </si>
  <si>
    <t>$3.28B</t>
  </si>
  <si>
    <t>Susannah</t>
  </si>
  <si>
    <t>Janning</t>
  </si>
  <si>
    <t>22.237.177.66</t>
  </si>
  <si>
    <t>75.176.17.210</t>
  </si>
  <si>
    <t>Jaye</t>
  </si>
  <si>
    <t>Surgeoner</t>
  </si>
  <si>
    <t>152.37.92.79</t>
  </si>
  <si>
    <t>156.217.94.137</t>
  </si>
  <si>
    <t>STI^E</t>
  </si>
  <si>
    <t>SunTrust Banks, Inc.</t>
  </si>
  <si>
    <t>Leonard</t>
  </si>
  <si>
    <t>Perin</t>
  </si>
  <si>
    <t>105.136.51.142</t>
  </si>
  <si>
    <t>225.51.108.165</t>
  </si>
  <si>
    <t>FSLR</t>
  </si>
  <si>
    <t>First Solar, Inc.</t>
  </si>
  <si>
    <t>$3.74B</t>
  </si>
  <si>
    <t>Wendi</t>
  </si>
  <si>
    <t>Neesam</t>
  </si>
  <si>
    <t>147.182.23.213</t>
  </si>
  <si>
    <t>79.136.36.15</t>
  </si>
  <si>
    <t>EMES</t>
  </si>
  <si>
    <t>Emerge Energy Services LP</t>
  </si>
  <si>
    <t>Mining &amp; Quarrying of Nonmetallic Minerals (No Fuels)</t>
  </si>
  <si>
    <t>$264.33M</t>
  </si>
  <si>
    <t>Storm</t>
  </si>
  <si>
    <t>Josefson</t>
  </si>
  <si>
    <t>169.248.6.32</t>
  </si>
  <si>
    <t>192.121.250.16</t>
  </si>
  <si>
    <t>STRS</t>
  </si>
  <si>
    <t>Stratus Properties Inc.</t>
  </si>
  <si>
    <t>$227.14M</t>
  </si>
  <si>
    <t>Sheppey</t>
  </si>
  <si>
    <t>83.173.70.215</t>
  </si>
  <si>
    <t>6.94.220.121</t>
  </si>
  <si>
    <t>SPOK</t>
  </si>
  <si>
    <t>Spok Holdings, Inc.</t>
  </si>
  <si>
    <t>$371.61M</t>
  </si>
  <si>
    <t>Arthur</t>
  </si>
  <si>
    <t>Kubatsch</t>
  </si>
  <si>
    <t>239.95.90.233</t>
  </si>
  <si>
    <t>206.206.175.93</t>
  </si>
  <si>
    <t>TVIX</t>
  </si>
  <si>
    <t>VelocityShares Daily 2x VIX Short-Term ETN</t>
  </si>
  <si>
    <t>$198.29M</t>
  </si>
  <si>
    <t>Glori</t>
  </si>
  <si>
    <t>Kynd</t>
  </si>
  <si>
    <t>21.1.253.175</t>
  </si>
  <si>
    <t>101.119.57.118</t>
  </si>
  <si>
    <t>WPXP</t>
  </si>
  <si>
    <t>WPX Energy, Inc.</t>
  </si>
  <si>
    <t>Allene</t>
  </si>
  <si>
    <t>Peterken</t>
  </si>
  <si>
    <t>73.9.181.158</t>
  </si>
  <si>
    <t>122.190.62.97</t>
  </si>
  <si>
    <t>AGN</t>
  </si>
  <si>
    <t>Allergan plc.</t>
  </si>
  <si>
    <t>$79.09B</t>
  </si>
  <si>
    <t>Carolin</t>
  </si>
  <si>
    <t>Hush</t>
  </si>
  <si>
    <t>87.120.100.88</t>
  </si>
  <si>
    <t>138.96.47.160</t>
  </si>
  <si>
    <t>AIB</t>
  </si>
  <si>
    <t>Apollo Investment Corporation</t>
  </si>
  <si>
    <t>Finlay</t>
  </si>
  <si>
    <t>Pinckney</t>
  </si>
  <si>
    <t>160.97.244.61</t>
  </si>
  <si>
    <t>195.160.164.197</t>
  </si>
  <si>
    <t>ECA</t>
  </si>
  <si>
    <t>Encana Corporation</t>
  </si>
  <si>
    <t>$8.55B</t>
  </si>
  <si>
    <t>Janka</t>
  </si>
  <si>
    <t>Harsent</t>
  </si>
  <si>
    <t>160.49.162.89</t>
  </si>
  <si>
    <t>234.163.233.32</t>
  </si>
  <si>
    <t>Blinnie</t>
  </si>
  <si>
    <t>Skyppe</t>
  </si>
  <si>
    <t>133.180.171.48</t>
  </si>
  <si>
    <t>253.148.169.100</t>
  </si>
  <si>
    <t>ORIT</t>
  </si>
  <si>
    <t>Oritani Financial Corp.</t>
  </si>
  <si>
    <t>$791.4M</t>
  </si>
  <si>
    <t>Linc</t>
  </si>
  <si>
    <t>Reisk</t>
  </si>
  <si>
    <t>231.226.134.231</t>
  </si>
  <si>
    <t>63.193.5.29</t>
  </si>
  <si>
    <t>TIVO</t>
  </si>
  <si>
    <t>TiVo Corporation</t>
  </si>
  <si>
    <t>Multi-Sector Companies</t>
  </si>
  <si>
    <t>$2.25B</t>
  </si>
  <si>
    <t>Davie</t>
  </si>
  <si>
    <t>Studdeard</t>
  </si>
  <si>
    <t>56.38.187.250</t>
  </si>
  <si>
    <t>71.78.242.17</t>
  </si>
  <si>
    <t>IGR</t>
  </si>
  <si>
    <t>CBRE Clarion Global Real Estate Income Fund</t>
  </si>
  <si>
    <t>$908.24M</t>
  </si>
  <si>
    <t>Forester</t>
  </si>
  <si>
    <t>Trewartha</t>
  </si>
  <si>
    <t>228.251.230.74</t>
  </si>
  <si>
    <t>155.163.41.189</t>
  </si>
  <si>
    <t>GWR</t>
  </si>
  <si>
    <t>Genesee &amp; Wyoming, Inc.</t>
  </si>
  <si>
    <t>$4.18B</t>
  </si>
  <si>
    <t>Crawford</t>
  </si>
  <si>
    <t>Hindsberg</t>
  </si>
  <si>
    <t>53.30.136.100</t>
  </si>
  <si>
    <t>26.1.94.239</t>
  </si>
  <si>
    <t>KRC^H</t>
  </si>
  <si>
    <t>Kilroy Realty Corporation</t>
  </si>
  <si>
    <t>Armin</t>
  </si>
  <si>
    <t>Shank</t>
  </si>
  <si>
    <t>135.34.11.233</t>
  </si>
  <si>
    <t>123.247.253.151</t>
  </si>
  <si>
    <t>COTV</t>
  </si>
  <si>
    <t>Cotiviti Holdings, Inc.</t>
  </si>
  <si>
    <t>$3.5B</t>
  </si>
  <si>
    <t>Kimberlyn</t>
  </si>
  <si>
    <t>Sebright</t>
  </si>
  <si>
    <t>224.93.133.133</t>
  </si>
  <si>
    <t>154.99.201.27</t>
  </si>
  <si>
    <t>TNP</t>
  </si>
  <si>
    <t>Tsakos Energy Navigation Ltd</t>
  </si>
  <si>
    <t>$366.58M</t>
  </si>
  <si>
    <t>Rockwell</t>
  </si>
  <si>
    <t>Droogan</t>
  </si>
  <si>
    <t>240.31.92.93</t>
  </si>
  <si>
    <t>87.79.159.168</t>
  </si>
  <si>
    <t>CPTAG</t>
  </si>
  <si>
    <t>Capitala Finance Corp.</t>
  </si>
  <si>
    <t>Terri</t>
  </si>
  <si>
    <t>Kornel</t>
  </si>
  <si>
    <t>241.192.36.185</t>
  </si>
  <si>
    <t>36.197.168.199</t>
  </si>
  <si>
    <t>VICR</t>
  </si>
  <si>
    <t>Vicor Corporation</t>
  </si>
  <si>
    <t>$756.67M</t>
  </si>
  <si>
    <t>Shepherd</t>
  </si>
  <si>
    <t>Bendin</t>
  </si>
  <si>
    <t>130.13.178.236</t>
  </si>
  <si>
    <t>214.178.99.125</t>
  </si>
  <si>
    <t>Gael</t>
  </si>
  <si>
    <t>Izakov</t>
  </si>
  <si>
    <t>254.119.192.182</t>
  </si>
  <si>
    <t>201.26.1.126</t>
  </si>
  <si>
    <t>Seth</t>
  </si>
  <si>
    <t>Batch</t>
  </si>
  <si>
    <t>179.108.29.142</t>
  </si>
  <si>
    <t>72.19.40.247</t>
  </si>
  <si>
    <t>HAL</t>
  </si>
  <si>
    <t>Halliburton Company</t>
  </si>
  <si>
    <t>Oilfield Services/Equipment</t>
  </si>
  <si>
    <t>$38.42B</t>
  </si>
  <si>
    <t>Salem</t>
  </si>
  <si>
    <t>Wahlberg</t>
  </si>
  <si>
    <t>150.138.249.39</t>
  </si>
  <si>
    <t>212.63.97.190</t>
  </si>
  <si>
    <t>CNSL</t>
  </si>
  <si>
    <t>Consolidated Communications Holdings, Inc.</t>
  </si>
  <si>
    <t>Raina</t>
  </si>
  <si>
    <t>Eldin</t>
  </si>
  <si>
    <t>34.141.141.52</t>
  </si>
  <si>
    <t>183.93.57.194</t>
  </si>
  <si>
    <t>Zorine</t>
  </si>
  <si>
    <t>Plank</t>
  </si>
  <si>
    <t>132.154.11.111</t>
  </si>
  <si>
    <t>131.153.224.35</t>
  </si>
  <si>
    <t>BFR</t>
  </si>
  <si>
    <t>BBVA Banco Frances S.A.</t>
  </si>
  <si>
    <t>$3.47B</t>
  </si>
  <si>
    <t>Farly</t>
  </si>
  <si>
    <t>Vispo</t>
  </si>
  <si>
    <t>129.140.69.126</t>
  </si>
  <si>
    <t>14.91.75.204</t>
  </si>
  <si>
    <t>TGT</t>
  </si>
  <si>
    <t>Target Corporation</t>
  </si>
  <si>
    <t>$29.03B</t>
  </si>
  <si>
    <t>Corissa</t>
  </si>
  <si>
    <t>Tawn</t>
  </si>
  <si>
    <t>1.81.253.191</t>
  </si>
  <si>
    <t>12.144.62.154</t>
  </si>
  <si>
    <t>BLX</t>
  </si>
  <si>
    <t>Banco Latinoamericano de Comercio Exterior, S.A.</t>
  </si>
  <si>
    <t>Alexine</t>
  </si>
  <si>
    <t>MacGiany</t>
  </si>
  <si>
    <t>204.160.172.233</t>
  </si>
  <si>
    <t>27.109.210.22</t>
  </si>
  <si>
    <t>UTL</t>
  </si>
  <si>
    <t>UNITIL Corporation</t>
  </si>
  <si>
    <t>$710.24M</t>
  </si>
  <si>
    <t>Salim</t>
  </si>
  <si>
    <t>Prenty</t>
  </si>
  <si>
    <t>213.250.81.169</t>
  </si>
  <si>
    <t>187.74.60.167</t>
  </si>
  <si>
    <t>WILC</t>
  </si>
  <si>
    <t>G. Willi-Food International,  Ltd.</t>
  </si>
  <si>
    <t>Food Distributors</t>
  </si>
  <si>
    <t>$92.42M</t>
  </si>
  <si>
    <t>Hurry</t>
  </si>
  <si>
    <t>72.242.206.122</t>
  </si>
  <si>
    <t>143.167.188.223</t>
  </si>
  <si>
    <t>IDSY</t>
  </si>
  <si>
    <t>I.D. Systems, Inc.</t>
  </si>
  <si>
    <t>$87.7M</t>
  </si>
  <si>
    <t>Croux</t>
  </si>
  <si>
    <t>202.117.24.53</t>
  </si>
  <si>
    <t>33.5.87.7</t>
  </si>
  <si>
    <t>Stopforth</t>
  </si>
  <si>
    <t>107.81.193.39</t>
  </si>
  <si>
    <t>159.2.39.5</t>
  </si>
  <si>
    <t>Merry</t>
  </si>
  <si>
    <t>Gussie</t>
  </si>
  <si>
    <t>38.201.248.41</t>
  </si>
  <si>
    <t>98.61.217.217</t>
  </si>
  <si>
    <t>MS^K</t>
  </si>
  <si>
    <t>Morgan Stanley</t>
  </si>
  <si>
    <t>Barnabas</t>
  </si>
  <si>
    <t>Slayny</t>
  </si>
  <si>
    <t>138.66.164.62</t>
  </si>
  <si>
    <t>127.26.30.220</t>
  </si>
  <si>
    <t>GTIM</t>
  </si>
  <si>
    <t>Good Times Restaurants Inc.</t>
  </si>
  <si>
    <t>$41.81M</t>
  </si>
  <si>
    <t>Stanford</t>
  </si>
  <si>
    <t>Osinin</t>
  </si>
  <si>
    <t>154.220.79.99</t>
  </si>
  <si>
    <t>192.218.242.158</t>
  </si>
  <si>
    <t>FYX</t>
  </si>
  <si>
    <t>First Trust Small Cap Core AlphaDEX Fund</t>
  </si>
  <si>
    <t>$488.7M</t>
  </si>
  <si>
    <t>Lynna</t>
  </si>
  <si>
    <t>Lowndsbrough</t>
  </si>
  <si>
    <t>149.180.13.163</t>
  </si>
  <si>
    <t>197.96.150.101</t>
  </si>
  <si>
    <t>IGF</t>
  </si>
  <si>
    <t>iShares Global Infrastructure ETF</t>
  </si>
  <si>
    <t>$1.71B</t>
  </si>
  <si>
    <t>Wood</t>
  </si>
  <si>
    <t>McCrostie</t>
  </si>
  <si>
    <t>128.80.43.232</t>
  </si>
  <si>
    <t>237.188.188.255</t>
  </si>
  <si>
    <t>SHSP</t>
  </si>
  <si>
    <t>SharpSpring, Inc.</t>
  </si>
  <si>
    <t>$37.65M</t>
  </si>
  <si>
    <t>Lennard</t>
  </si>
  <si>
    <t>Oddy</t>
  </si>
  <si>
    <t>118.163.255.218</t>
  </si>
  <si>
    <t>184.228.241.22</t>
  </si>
  <si>
    <t>HDNG</t>
  </si>
  <si>
    <t>Hardinge Inc.</t>
  </si>
  <si>
    <t>$162.72M</t>
  </si>
  <si>
    <t>Adele</t>
  </si>
  <si>
    <t>Parrott</t>
  </si>
  <si>
    <t>102.110.57.175</t>
  </si>
  <si>
    <t>210.57.75.128</t>
  </si>
  <si>
    <t>CSPI</t>
  </si>
  <si>
    <t>CSP Inc.</t>
  </si>
  <si>
    <t>$42.78M</t>
  </si>
  <si>
    <t>Dennet</t>
  </si>
  <si>
    <t>Gantz</t>
  </si>
  <si>
    <t>233.129.229.66</t>
  </si>
  <si>
    <t>41.32.144.209</t>
  </si>
  <si>
    <t>BCOR</t>
  </si>
  <si>
    <t>Blucora, Inc.</t>
  </si>
  <si>
    <t>$909.02M</t>
  </si>
  <si>
    <t>Skip</t>
  </si>
  <si>
    <t>Vanyushkin</t>
  </si>
  <si>
    <t>22.167.154.35</t>
  </si>
  <si>
    <t>246.97.51.97</t>
  </si>
  <si>
    <t>VR</t>
  </si>
  <si>
    <t>Validus Holdings, Ltd.</t>
  </si>
  <si>
    <t>$4.21B</t>
  </si>
  <si>
    <t>Jaynell</t>
  </si>
  <si>
    <t>Scafe</t>
  </si>
  <si>
    <t>166.222.69.252</t>
  </si>
  <si>
    <t>137.86.158.66</t>
  </si>
  <si>
    <t>PACW</t>
  </si>
  <si>
    <t>PacWest Bancorp</t>
  </si>
  <si>
    <t>$5.87B</t>
  </si>
  <si>
    <t>Royson</t>
  </si>
  <si>
    <t>157.229.57.68</t>
  </si>
  <si>
    <t>177.248.223.54</t>
  </si>
  <si>
    <t>SBNYW</t>
  </si>
  <si>
    <t>Signature Bank</t>
  </si>
  <si>
    <t>Linnea</t>
  </si>
  <si>
    <t>Kuscha</t>
  </si>
  <si>
    <t>2.42.4.27</t>
  </si>
  <si>
    <t>217.121.236.124</t>
  </si>
  <si>
    <t>JHA</t>
  </si>
  <si>
    <t>Nuveen High Income 2020 Target Term Fund</t>
  </si>
  <si>
    <t>$296.92M</t>
  </si>
  <si>
    <t>Stefa</t>
  </si>
  <si>
    <t>Linney</t>
  </si>
  <si>
    <t>255.151.192.241</t>
  </si>
  <si>
    <t>201.128.40.154</t>
  </si>
  <si>
    <t>ESLT</t>
  </si>
  <si>
    <t>Elbit Systems Ltd.</t>
  </si>
  <si>
    <t>$5.29B</t>
  </si>
  <si>
    <t>Truman</t>
  </si>
  <si>
    <t>Zealey</t>
  </si>
  <si>
    <t>226.19.12.229</t>
  </si>
  <si>
    <t>47.38.164.237</t>
  </si>
  <si>
    <t>BMI</t>
  </si>
  <si>
    <t>Badger Meter, Inc.</t>
  </si>
  <si>
    <t>$1.16B</t>
  </si>
  <si>
    <t>Felicio</t>
  </si>
  <si>
    <t>31.16.217.76</t>
  </si>
  <si>
    <t>177.105.232.248</t>
  </si>
  <si>
    <t>Ilse</t>
  </si>
  <si>
    <t>Sarvar</t>
  </si>
  <si>
    <t>185.177.167.71</t>
  </si>
  <si>
    <t>46.101.177.238</t>
  </si>
  <si>
    <t>OSG</t>
  </si>
  <si>
    <t>Overseas Shipholding Group, Inc.</t>
  </si>
  <si>
    <t>$192.45M</t>
  </si>
  <si>
    <t>Patten</t>
  </si>
  <si>
    <t>191.188.236.243</t>
  </si>
  <si>
    <t>61.110.206.109</t>
  </si>
  <si>
    <t>FEUZ</t>
  </si>
  <si>
    <t>First Trust Eurozone AlphaDEX ETF</t>
  </si>
  <si>
    <t>$9.76M</t>
  </si>
  <si>
    <t>Andreuzzi</t>
  </si>
  <si>
    <t>177.109.88.177</t>
  </si>
  <si>
    <t>85.11.111.50</t>
  </si>
  <si>
    <t>IPCC</t>
  </si>
  <si>
    <t>Infinity Property and Casualty Corporation</t>
  </si>
  <si>
    <t>$1.05B</t>
  </si>
  <si>
    <t>Konstantin</t>
  </si>
  <si>
    <t>Giannoni</t>
  </si>
  <si>
    <t>233.63.184.75</t>
  </si>
  <si>
    <t>110.115.38.184</t>
  </si>
  <si>
    <t>SRPT</t>
  </si>
  <si>
    <t>Sarepta Therapeutics, Inc.</t>
  </si>
  <si>
    <t>$1.78B</t>
  </si>
  <si>
    <t>Rolland</t>
  </si>
  <si>
    <t>Blyth</t>
  </si>
  <si>
    <t>109.77.162.183</t>
  </si>
  <si>
    <t>241.248.182.16</t>
  </si>
  <si>
    <t>COF^D</t>
  </si>
  <si>
    <t>Capital One Financial Corporation</t>
  </si>
  <si>
    <t>Wolfie</t>
  </si>
  <si>
    <t>Lurriman</t>
  </si>
  <si>
    <t>253.141.199.226</t>
  </si>
  <si>
    <t>183.180.22.119</t>
  </si>
  <si>
    <t>Nalani</t>
  </si>
  <si>
    <t>Bakhrushin</t>
  </si>
  <si>
    <t>6.122.241.15</t>
  </si>
  <si>
    <t>250.104.245.19</t>
  </si>
  <si>
    <t>SPEX</t>
  </si>
  <si>
    <t>Spherix Incorporated</t>
  </si>
  <si>
    <t>Sigismundo</t>
  </si>
  <si>
    <t>Brereton</t>
  </si>
  <si>
    <t>7.75.243.35</t>
  </si>
  <si>
    <t>86.219.6.91</t>
  </si>
  <si>
    <t>WRB</t>
  </si>
  <si>
    <t>W.R. Berkley Corporation</t>
  </si>
  <si>
    <t>$8.51B</t>
  </si>
  <si>
    <t>Catie</t>
  </si>
  <si>
    <t>Allmond</t>
  </si>
  <si>
    <t>116.48.215.209</t>
  </si>
  <si>
    <t>253.161.86.71</t>
  </si>
  <si>
    <t>CGIX</t>
  </si>
  <si>
    <t>Cancer Genetics, Inc.</t>
  </si>
  <si>
    <t>$72.13M</t>
  </si>
  <si>
    <t>Sarena</t>
  </si>
  <si>
    <t>Jado</t>
  </si>
  <si>
    <t>126.85.149.25</t>
  </si>
  <si>
    <t>21.22.109.125</t>
  </si>
  <si>
    <t>WLH</t>
  </si>
  <si>
    <t>Lyon William Homes</t>
  </si>
  <si>
    <t>$719.19M</t>
  </si>
  <si>
    <t>Berti</t>
  </si>
  <si>
    <t>McCaskill</t>
  </si>
  <si>
    <t>172.86.191.9</t>
  </si>
  <si>
    <t>234.140.147.2</t>
  </si>
  <si>
    <t>IDXX</t>
  </si>
  <si>
    <t>IDEXX Laboratories, Inc.</t>
  </si>
  <si>
    <t>$14.16B</t>
  </si>
  <si>
    <t>Jessalyn</t>
  </si>
  <si>
    <t>Semper</t>
  </si>
  <si>
    <t>181.111.204.44</t>
  </si>
  <si>
    <t>5.193.28.145</t>
  </si>
  <si>
    <t>HMTA</t>
  </si>
  <si>
    <t>HomeTown Bankshares Corporation</t>
  </si>
  <si>
    <t>$60.41M</t>
  </si>
  <si>
    <t>Faers</t>
  </si>
  <si>
    <t>46.163.166.100</t>
  </si>
  <si>
    <t>31.66.154.88</t>
  </si>
  <si>
    <t>CMLS</t>
  </si>
  <si>
    <t>Cumulus Media Inc.</t>
  </si>
  <si>
    <t>Broadcasting</t>
  </si>
  <si>
    <t>$14.07M</t>
  </si>
  <si>
    <t>Genvieve</t>
  </si>
  <si>
    <t>Iglesias</t>
  </si>
  <si>
    <t>49.25.103.166</t>
  </si>
  <si>
    <t>30.234.86.40</t>
  </si>
  <si>
    <t>INGN</t>
  </si>
  <si>
    <t>Inogen, Inc</t>
  </si>
  <si>
    <t>$1.9B</t>
  </si>
  <si>
    <t>Davide</t>
  </si>
  <si>
    <t>Freda</t>
  </si>
  <si>
    <t>44.37.16.185</t>
  </si>
  <si>
    <t>132.170.115.126</t>
  </si>
  <si>
    <t>ADMP</t>
  </si>
  <si>
    <t>Adamis Pharmaceuticals Corporation</t>
  </si>
  <si>
    <t>$143.33M</t>
  </si>
  <si>
    <t>Catlin</t>
  </si>
  <si>
    <t>Starte</t>
  </si>
  <si>
    <t>242.89.98.124</t>
  </si>
  <si>
    <t>208.2.86.69</t>
  </si>
  <si>
    <t>CERC</t>
  </si>
  <si>
    <t>Cerecor Inc.</t>
  </si>
  <si>
    <t>$7.18M</t>
  </si>
  <si>
    <t>Willard</t>
  </si>
  <si>
    <t>Hubbucks</t>
  </si>
  <si>
    <t>78.12.16.60</t>
  </si>
  <si>
    <t>224.83.95.28</t>
  </si>
  <si>
    <t>LKSD</t>
  </si>
  <si>
    <t>LSC Communications, Inc.</t>
  </si>
  <si>
    <t>Publishing</t>
  </si>
  <si>
    <t>$742.65M</t>
  </si>
  <si>
    <t>Ollie</t>
  </si>
  <si>
    <t>Nilges</t>
  </si>
  <si>
    <t>73.120.97.175</t>
  </si>
  <si>
    <t>167.12.216.14</t>
  </si>
  <si>
    <t>PPP</t>
  </si>
  <si>
    <t>Primero Mining Corp</t>
  </si>
  <si>
    <t>$64.88M</t>
  </si>
  <si>
    <t>Granville</t>
  </si>
  <si>
    <t>Blague</t>
  </si>
  <si>
    <t>105.73.134.110</t>
  </si>
  <si>
    <t>249.157.144.142</t>
  </si>
  <si>
    <t>ABCO</t>
  </si>
  <si>
    <t>The Advisory Board Company</t>
  </si>
  <si>
    <t>$2.09B</t>
  </si>
  <si>
    <t>Derek</t>
  </si>
  <si>
    <t>Stutt</t>
  </si>
  <si>
    <t>172.66.222.155</t>
  </si>
  <si>
    <t>73.185.144.205</t>
  </si>
  <si>
    <t>AMBCW</t>
  </si>
  <si>
    <t>Ambac Financial Group, Inc.</t>
  </si>
  <si>
    <t>Nikita</t>
  </si>
  <si>
    <t>Mendenhall</t>
  </si>
  <si>
    <t>170.54.236.19</t>
  </si>
  <si>
    <t>74.248.194.55</t>
  </si>
  <si>
    <t>IROQ</t>
  </si>
  <si>
    <t>IF Bancorp, Inc.</t>
  </si>
  <si>
    <t>$77.63M</t>
  </si>
  <si>
    <t>Faye</t>
  </si>
  <si>
    <t>Hortop</t>
  </si>
  <si>
    <t>126.239.30.7</t>
  </si>
  <si>
    <t>138.253.153.97</t>
  </si>
  <si>
    <t>OB</t>
  </si>
  <si>
    <t>OneBeacon Insurance Group, Ltd.</t>
  </si>
  <si>
    <t>$1.72B</t>
  </si>
  <si>
    <t>Garrett</t>
  </si>
  <si>
    <t>O'Neary</t>
  </si>
  <si>
    <t>139.127.120.241</t>
  </si>
  <si>
    <t>148.74.151.219</t>
  </si>
  <si>
    <t>Rosemaria</t>
  </si>
  <si>
    <t>Maskew</t>
  </si>
  <si>
    <t>238.204.156.123</t>
  </si>
  <si>
    <t>222.83.66.71</t>
  </si>
  <si>
    <t>CHSCM</t>
  </si>
  <si>
    <t>CHS Inc</t>
  </si>
  <si>
    <t>Farming/Seeds/Milling</t>
  </si>
  <si>
    <t>$542.67M</t>
  </si>
  <si>
    <t>Christalle</t>
  </si>
  <si>
    <t>Thorsby</t>
  </si>
  <si>
    <t>200.60.117.206</t>
  </si>
  <si>
    <t>72.103.197.10</t>
  </si>
  <si>
    <t>CMA.WS</t>
  </si>
  <si>
    <t>Comerica Incorporated</t>
  </si>
  <si>
    <t>Iormina</t>
  </si>
  <si>
    <t>Nutbean</t>
  </si>
  <si>
    <t>152.187.213.110</t>
  </si>
  <si>
    <t>219.232.37.214</t>
  </si>
  <si>
    <t>ACXM</t>
  </si>
  <si>
    <t>Acxiom Corporation</t>
  </si>
  <si>
    <t>$2.06B</t>
  </si>
  <si>
    <t>Suermeier</t>
  </si>
  <si>
    <t>28.123.108.213</t>
  </si>
  <si>
    <t>113.132.13.203</t>
  </si>
  <si>
    <t>SLB</t>
  </si>
  <si>
    <t>Schlumberger N.V.</t>
  </si>
  <si>
    <t>$95.29B</t>
  </si>
  <si>
    <t>Greg</t>
  </si>
  <si>
    <t>Osler</t>
  </si>
  <si>
    <t>130.24.249.50</t>
  </si>
  <si>
    <t>78.244.211.69</t>
  </si>
  <si>
    <t>SAN^B</t>
  </si>
  <si>
    <t>Danella</t>
  </si>
  <si>
    <t>Hazzard</t>
  </si>
  <si>
    <t>205.208.131.158</t>
  </si>
  <si>
    <t>110.198.183.117</t>
  </si>
  <si>
    <t>PCOM</t>
  </si>
  <si>
    <t>Points International, Ltd.</t>
  </si>
  <si>
    <t>$126.39M</t>
  </si>
  <si>
    <t>Deni</t>
  </si>
  <si>
    <t>Astles</t>
  </si>
  <si>
    <t>0.137.135.194</t>
  </si>
  <si>
    <t>177.195.21.222</t>
  </si>
  <si>
    <t>Torrin</t>
  </si>
  <si>
    <t>Twelves</t>
  </si>
  <si>
    <t>78.234.254.155</t>
  </si>
  <si>
    <t>52.77.187.14</t>
  </si>
  <si>
    <t>PNQI</t>
  </si>
  <si>
    <t>PowerShares Nasdaq Internet Portfolio</t>
  </si>
  <si>
    <t>$388.09M</t>
  </si>
  <si>
    <t>Dennie</t>
  </si>
  <si>
    <t>Cossington</t>
  </si>
  <si>
    <t>113.126.212.20</t>
  </si>
  <si>
    <t>168.78.2.195</t>
  </si>
  <si>
    <t>MYD</t>
  </si>
  <si>
    <t>Blackrock MuniYield Fund, Inc.</t>
  </si>
  <si>
    <t>$703.23M</t>
  </si>
  <si>
    <t>Berget</t>
  </si>
  <si>
    <t>Trorey</t>
  </si>
  <si>
    <t>52.168.146.145</t>
  </si>
  <si>
    <t>222.22.133.54</t>
  </si>
  <si>
    <t>KORS</t>
  </si>
  <si>
    <t>Michael Kors Holdings Limited</t>
  </si>
  <si>
    <t>$5.39B</t>
  </si>
  <si>
    <t>Phillip</t>
  </si>
  <si>
    <t>O'Dare</t>
  </si>
  <si>
    <t>121.145.214.212</t>
  </si>
  <si>
    <t>44.217.99.210</t>
  </si>
  <si>
    <t>TCBIW</t>
  </si>
  <si>
    <t>Texas Capital Bancshares, Inc.</t>
  </si>
  <si>
    <t>Iggy</t>
  </si>
  <si>
    <t>Phillp</t>
  </si>
  <si>
    <t>148.95.244.6</t>
  </si>
  <si>
    <t>25.233.167.2</t>
  </si>
  <si>
    <t>JRVR</t>
  </si>
  <si>
    <t>James River Group Holdings, Ltd.</t>
  </si>
  <si>
    <t>$1.18B</t>
  </si>
  <si>
    <t>Pendleberry</t>
  </si>
  <si>
    <t>127.49.202.155</t>
  </si>
  <si>
    <t>18.88.242.164</t>
  </si>
  <si>
    <t>NUV</t>
  </si>
  <si>
    <t>Nuveen AMT-Free Municipal Value Fund</t>
  </si>
  <si>
    <t>Audry</t>
  </si>
  <si>
    <t>Dowden</t>
  </si>
  <si>
    <t>125.31.108.200</t>
  </si>
  <si>
    <t>9.3.33.159</t>
  </si>
  <si>
    <t>LBF</t>
  </si>
  <si>
    <t>Scudder Global High Income Fund, Inc.</t>
  </si>
  <si>
    <t>$56.46M</t>
  </si>
  <si>
    <t>Clark</t>
  </si>
  <si>
    <t>Sherland</t>
  </si>
  <si>
    <t>60.229.217.184</t>
  </si>
  <si>
    <t>199.96.208.78</t>
  </si>
  <si>
    <t>SMM</t>
  </si>
  <si>
    <t>Salient Midstream &amp; MLP Fund</t>
  </si>
  <si>
    <t>$199.02M</t>
  </si>
  <si>
    <t>Harry</t>
  </si>
  <si>
    <t>Edgeller</t>
  </si>
  <si>
    <t>55.168.67.64</t>
  </si>
  <si>
    <t>183.142.59.6</t>
  </si>
  <si>
    <t>Lona</t>
  </si>
  <si>
    <t>Anderton</t>
  </si>
  <si>
    <t>27.30.3.249</t>
  </si>
  <si>
    <t>35.93.27.202</t>
  </si>
  <si>
    <t>SVU</t>
  </si>
  <si>
    <t>SuperValu Inc.</t>
  </si>
  <si>
    <t>$864.67M</t>
  </si>
  <si>
    <t>Hermann</t>
  </si>
  <si>
    <t>Sampson</t>
  </si>
  <si>
    <t>214.66.154.235</t>
  </si>
  <si>
    <t>31.163.217.203</t>
  </si>
  <si>
    <t>TU</t>
  </si>
  <si>
    <t>TELUS Corporation</t>
  </si>
  <si>
    <t>$20.42B</t>
  </si>
  <si>
    <t>Hatti</t>
  </si>
  <si>
    <t>Crankshaw</t>
  </si>
  <si>
    <t>243.218.208.2</t>
  </si>
  <si>
    <t>116.69.75.124</t>
  </si>
  <si>
    <t>Emmett</t>
  </si>
  <si>
    <t>Iles</t>
  </si>
  <si>
    <t>249.247.44.141</t>
  </si>
  <si>
    <t>241.125.49.93</t>
  </si>
  <si>
    <t>CRESY</t>
  </si>
  <si>
    <t>Cresud S.A.C.I.F. y A.</t>
  </si>
  <si>
    <t>$951.53M</t>
  </si>
  <si>
    <t>Byram</t>
  </si>
  <si>
    <t>Featonby</t>
  </si>
  <si>
    <t>67.154.76.17</t>
  </si>
  <si>
    <t>153.221.36.220</t>
  </si>
  <si>
    <t>VVC</t>
  </si>
  <si>
    <t>Vectren Corporation</t>
  </si>
  <si>
    <t>$5.15B</t>
  </si>
  <si>
    <t>Hogan</t>
  </si>
  <si>
    <t>Antoons</t>
  </si>
  <si>
    <t>55.152.80.100</t>
  </si>
  <si>
    <t>249.205.198.57</t>
  </si>
  <si>
    <t>AVID</t>
  </si>
  <si>
    <t>Avid Technology, Inc.</t>
  </si>
  <si>
    <t>$205.59M</t>
  </si>
  <si>
    <t>Wilhelm</t>
  </si>
  <si>
    <t>Nowell</t>
  </si>
  <si>
    <t>40.58.61.201</t>
  </si>
  <si>
    <t>195.87.202.186</t>
  </si>
  <si>
    <t>DIOD</t>
  </si>
  <si>
    <t>Diodes Incorporated</t>
  </si>
  <si>
    <t>$1.22B</t>
  </si>
  <si>
    <t>Josiah</t>
  </si>
  <si>
    <t>Ingman</t>
  </si>
  <si>
    <t>197.76.110.15</t>
  </si>
  <si>
    <t>32.192.38.151</t>
  </si>
  <si>
    <t>STZ.B</t>
  </si>
  <si>
    <t>Constellation Brands Inc</t>
  </si>
  <si>
    <t>Torie</t>
  </si>
  <si>
    <t>Bickell</t>
  </si>
  <si>
    <t>170.33.175.202</t>
  </si>
  <si>
    <t>169.199.246.63</t>
  </si>
  <si>
    <t>PSB^T</t>
  </si>
  <si>
    <t>PS Business Parks, Inc.</t>
  </si>
  <si>
    <t>Blown</t>
  </si>
  <si>
    <t>64.138.76.180</t>
  </si>
  <si>
    <t>44.4.164.131</t>
  </si>
  <si>
    <t>LUB</t>
  </si>
  <si>
    <t>Luby's, Inc.</t>
  </si>
  <si>
    <t>$88.73M</t>
  </si>
  <si>
    <t>Alice</t>
  </si>
  <si>
    <t>Wooderson</t>
  </si>
  <si>
    <t>148.98.173.121</t>
  </si>
  <si>
    <t>109.144.221.112</t>
  </si>
  <si>
    <t>ABUS</t>
  </si>
  <si>
    <t>Arbutus Biopharma Corporation</t>
  </si>
  <si>
    <t>$198.09M</t>
  </si>
  <si>
    <t>Gerard</t>
  </si>
  <si>
    <t>Huot</t>
  </si>
  <si>
    <t>179.42.181.174</t>
  </si>
  <si>
    <t>100.28.90.46</t>
  </si>
  <si>
    <t>RGEN</t>
  </si>
  <si>
    <t>Repligen Corporation</t>
  </si>
  <si>
    <t>Jasen</t>
  </si>
  <si>
    <t>Druhan</t>
  </si>
  <si>
    <t>210.139.246.200</t>
  </si>
  <si>
    <t>119.244.220.74</t>
  </si>
  <si>
    <t>DWLV</t>
  </si>
  <si>
    <t>PowerShares DWA Momentum &amp; Low Volatility Rotation Portfolio</t>
  </si>
  <si>
    <t>$4.2M</t>
  </si>
  <si>
    <t>Erina</t>
  </si>
  <si>
    <t>Dimitrijevic</t>
  </si>
  <si>
    <t>144.214.31.6</t>
  </si>
  <si>
    <t>59.228.210.148</t>
  </si>
  <si>
    <t>DLB</t>
  </si>
  <si>
    <t>Dolby Laboratories</t>
  </si>
  <si>
    <t>$5.04B</t>
  </si>
  <si>
    <t>Chiarra</t>
  </si>
  <si>
    <t>Pettegre</t>
  </si>
  <si>
    <t>130.85.27.63</t>
  </si>
  <si>
    <t>128.21.72.89</t>
  </si>
  <si>
    <t>TI</t>
  </si>
  <si>
    <t>Telecom Italia S.P.A.</t>
  </si>
  <si>
    <t>$19.89B</t>
  </si>
  <si>
    <t>Waverley</t>
  </si>
  <si>
    <t>Achromov</t>
  </si>
  <si>
    <t>104.164.131.188</t>
  </si>
  <si>
    <t>208.111.130.157</t>
  </si>
  <si>
    <t>MRTN</t>
  </si>
  <si>
    <t>Marten Transport, Ltd.</t>
  </si>
  <si>
    <t>Trucking Freight/Courier Services</t>
  </si>
  <si>
    <t>$905.46M</t>
  </si>
  <si>
    <t>Hilde</t>
  </si>
  <si>
    <t>Soden</t>
  </si>
  <si>
    <t>148.242.71.219</t>
  </si>
  <si>
    <t>18.106.82.13</t>
  </si>
  <si>
    <t>GERN</t>
  </si>
  <si>
    <t>Geron Corporation</t>
  </si>
  <si>
    <t>$420.22M</t>
  </si>
  <si>
    <t>Xenos</t>
  </si>
  <si>
    <t>Threlkeld</t>
  </si>
  <si>
    <t>106.122.91.1</t>
  </si>
  <si>
    <t>76.160.111.225</t>
  </si>
  <si>
    <t>CEA</t>
  </si>
  <si>
    <t>China Eastern Airlines Corporation Ltd.</t>
  </si>
  <si>
    <t>$8.42B</t>
  </si>
  <si>
    <t>Connor</t>
  </si>
  <si>
    <t>Ligertwood</t>
  </si>
  <si>
    <t>49.98.170.148</t>
  </si>
  <si>
    <t>74.184.169.199</t>
  </si>
  <si>
    <t>LCI</t>
  </si>
  <si>
    <t>Lannett Co Inc</t>
  </si>
  <si>
    <t>$688.77M</t>
  </si>
  <si>
    <t>Ronald</t>
  </si>
  <si>
    <t>Minogue</t>
  </si>
  <si>
    <t>68.24.167.78</t>
  </si>
  <si>
    <t>169.55.18.66</t>
  </si>
  <si>
    <t>BW</t>
  </si>
  <si>
    <t>Babcock</t>
  </si>
  <si>
    <t>$558.63M</t>
  </si>
  <si>
    <t>Ahmad</t>
  </si>
  <si>
    <t>Minghella</t>
  </si>
  <si>
    <t>187.68.47.203</t>
  </si>
  <si>
    <t>236.31.128.109</t>
  </si>
  <si>
    <t>BLK</t>
  </si>
  <si>
    <t>BlackRock, Inc.</t>
  </si>
  <si>
    <t>$67.98B</t>
  </si>
  <si>
    <t>Mattie</t>
  </si>
  <si>
    <t>Ritchley</t>
  </si>
  <si>
    <t>133.181.141.162</t>
  </si>
  <si>
    <t>244.47.75.126</t>
  </si>
  <si>
    <t>PID</t>
  </si>
  <si>
    <t>PowerShares International Dividend Achievers Portfolio</t>
  </si>
  <si>
    <t>$802.72M</t>
  </si>
  <si>
    <t>Geordie</t>
  </si>
  <si>
    <t>Antonovic</t>
  </si>
  <si>
    <t>223.63.173.59</t>
  </si>
  <si>
    <t>109.2.66.245</t>
  </si>
  <si>
    <t>GSK</t>
  </si>
  <si>
    <t>GlaxoSmithKline PLC</t>
  </si>
  <si>
    <t>$107.75B</t>
  </si>
  <si>
    <t>Dalston</t>
  </si>
  <si>
    <t>Mariel</t>
  </si>
  <si>
    <t>143.43.227.66</t>
  </si>
  <si>
    <t>90.57.116.49</t>
  </si>
  <si>
    <t>SIEN</t>
  </si>
  <si>
    <t>Sientra, Inc.</t>
  </si>
  <si>
    <t>$154.26M</t>
  </si>
  <si>
    <t>Garold</t>
  </si>
  <si>
    <t>Fuzzens</t>
  </si>
  <si>
    <t>229.64.196.230</t>
  </si>
  <si>
    <t>243.6.195.184</t>
  </si>
  <si>
    <t>CRWS</t>
  </si>
  <si>
    <t>Crown Crafts, Inc.</t>
  </si>
  <si>
    <t>Textiles</t>
  </si>
  <si>
    <t>$71.74M</t>
  </si>
  <si>
    <t>Zitella</t>
  </si>
  <si>
    <t>Pierton</t>
  </si>
  <si>
    <t>85.211.159.41</t>
  </si>
  <si>
    <t>144.75.211.149</t>
  </si>
  <si>
    <t>NWBI</t>
  </si>
  <si>
    <t>Northwest Bancshares, Inc.</t>
  </si>
  <si>
    <t>Gualterio</t>
  </si>
  <si>
    <t>MacDearmid</t>
  </si>
  <si>
    <t>158.183.152.244</t>
  </si>
  <si>
    <t>242.4.61.247</t>
  </si>
  <si>
    <t>ZG</t>
  </si>
  <si>
    <t>Zillow Group, Inc.</t>
  </si>
  <si>
    <t>$8.39B</t>
  </si>
  <si>
    <t>Mitchell</t>
  </si>
  <si>
    <t>Terrell</t>
  </si>
  <si>
    <t>159.8.119.207</t>
  </si>
  <si>
    <t>234.234.165.209</t>
  </si>
  <si>
    <t>HTGC</t>
  </si>
  <si>
    <t>Hercules Capital, Inc.</t>
  </si>
  <si>
    <t>Kilian</t>
  </si>
  <si>
    <t>Gostick</t>
  </si>
  <si>
    <t>180.129.204.131</t>
  </si>
  <si>
    <t>85.101.162.241</t>
  </si>
  <si>
    <t>BME</t>
  </si>
  <si>
    <t>Blackrock Health Sciences Trust</t>
  </si>
  <si>
    <t>$305.71M</t>
  </si>
  <si>
    <t>Abbe</t>
  </si>
  <si>
    <t>232.154.66.40</t>
  </si>
  <si>
    <t>210.71.107.193</t>
  </si>
  <si>
    <t>IHC</t>
  </si>
  <si>
    <t>Independence Holding Company</t>
  </si>
  <si>
    <t>$330.01M</t>
  </si>
  <si>
    <t>Rikki</t>
  </si>
  <si>
    <t>Threlfall</t>
  </si>
  <si>
    <t>74.13.117.121</t>
  </si>
  <si>
    <t>42.6.154.254</t>
  </si>
  <si>
    <t>TXT</t>
  </si>
  <si>
    <t>Textron Inc.</t>
  </si>
  <si>
    <t>Aerospace</t>
  </si>
  <si>
    <t>$12.7B</t>
  </si>
  <si>
    <t>Delano</t>
  </si>
  <si>
    <t>Fenna</t>
  </si>
  <si>
    <t>215.190.217.122</t>
  </si>
  <si>
    <t>33.159.211.12</t>
  </si>
  <si>
    <t>PAG</t>
  </si>
  <si>
    <t>Penske Automotive Group, Inc.</t>
  </si>
  <si>
    <t>$3.56B</t>
  </si>
  <si>
    <t>Joy</t>
  </si>
  <si>
    <t>Skippings</t>
  </si>
  <si>
    <t>108.168.252.180</t>
  </si>
  <si>
    <t>243.50.212.116</t>
  </si>
  <si>
    <t>PG</t>
  </si>
  <si>
    <t>Procter &amp; Gamble Company (The)</t>
  </si>
  <si>
    <t>$229.32B</t>
  </si>
  <si>
    <t>Eugene</t>
  </si>
  <si>
    <t>Coldham</t>
  </si>
  <si>
    <t>230.177.159.173</t>
  </si>
  <si>
    <t>45.117.207.144</t>
  </si>
  <si>
    <t>PMBC</t>
  </si>
  <si>
    <t>Pacific Mercantile Bancorp</t>
  </si>
  <si>
    <t>$198.16M</t>
  </si>
  <si>
    <t>Hamel</t>
  </si>
  <si>
    <t>Organer</t>
  </si>
  <si>
    <t>240.108.90.216</t>
  </si>
  <si>
    <t>114.80.237.1</t>
  </si>
  <si>
    <t>RGSE</t>
  </si>
  <si>
    <t>Real Goods Solar, Inc.</t>
  </si>
  <si>
    <t>$6.14M</t>
  </si>
  <si>
    <t>Iain</t>
  </si>
  <si>
    <t>Delos</t>
  </si>
  <si>
    <t>141.71.118.209</t>
  </si>
  <si>
    <t>143.101.23.150</t>
  </si>
  <si>
    <t>AVHI</t>
  </si>
  <si>
    <t>A V Homes, Inc.</t>
  </si>
  <si>
    <t>$410.69M</t>
  </si>
  <si>
    <t>Gunther</t>
  </si>
  <si>
    <t>Hughesdon</t>
  </si>
  <si>
    <t>98.11.248.73</t>
  </si>
  <si>
    <t>202.235.197.176</t>
  </si>
  <si>
    <t>HT^D</t>
  </si>
  <si>
    <t>Jarrel</t>
  </si>
  <si>
    <t>104.7.221.209</t>
  </si>
  <si>
    <t>165.171.218.183</t>
  </si>
  <si>
    <t>LLIT</t>
  </si>
  <si>
    <t>Lianluo Smart Limited</t>
  </si>
  <si>
    <t>$20.95M</t>
  </si>
  <si>
    <t>Sula</t>
  </si>
  <si>
    <t>Vassar</t>
  </si>
  <si>
    <t>138.17.35.253</t>
  </si>
  <si>
    <t>171.6.69.103</t>
  </si>
  <si>
    <t>NXP</t>
  </si>
  <si>
    <t>Nuveen Select Tax Free Income Portfolio</t>
  </si>
  <si>
    <t>$239.77M</t>
  </si>
  <si>
    <t>Klara</t>
  </si>
  <si>
    <t>Leader</t>
  </si>
  <si>
    <t>188.136.148.37</t>
  </si>
  <si>
    <t>59.133.164.140</t>
  </si>
  <si>
    <t>WAFDW</t>
  </si>
  <si>
    <t>Washington Federal, Inc.</t>
  </si>
  <si>
    <t>Niall</t>
  </si>
  <si>
    <t>Blanpein</t>
  </si>
  <si>
    <t>206.118.185.188</t>
  </si>
  <si>
    <t>231.194.209.56</t>
  </si>
  <si>
    <t>ENTA</t>
  </si>
  <si>
    <t>Enanta Pharmaceuticals, Inc.</t>
  </si>
  <si>
    <t>$647.69M</t>
  </si>
  <si>
    <t>Kirbie</t>
  </si>
  <si>
    <t>Edgerton</t>
  </si>
  <si>
    <t>229.137.174.29</t>
  </si>
  <si>
    <t>28.174.127.154</t>
  </si>
  <si>
    <t>Gusty</t>
  </si>
  <si>
    <t>Stanning</t>
  </si>
  <si>
    <t>22.81.194.147</t>
  </si>
  <si>
    <t>66.122.71.71</t>
  </si>
  <si>
    <t>VIRT</t>
  </si>
  <si>
    <t>Virtu Financial, Inc.</t>
  </si>
  <si>
    <t>$2.38B</t>
  </si>
  <si>
    <t>Arnuad</t>
  </si>
  <si>
    <t>MacNeice</t>
  </si>
  <si>
    <t>120.19.30.179</t>
  </si>
  <si>
    <t>223.232.138.188</t>
  </si>
  <si>
    <t>MBUU</t>
  </si>
  <si>
    <t>Malibu Boats, Inc.</t>
  </si>
  <si>
    <t>$444.68M</t>
  </si>
  <si>
    <t>Olag</t>
  </si>
  <si>
    <t>Palfree</t>
  </si>
  <si>
    <t>11.16.182.229</t>
  </si>
  <si>
    <t>108.147.179.208</t>
  </si>
  <si>
    <t>ATRA</t>
  </si>
  <si>
    <t>Atara Biotherapeutics, Inc.</t>
  </si>
  <si>
    <t>$371.14M</t>
  </si>
  <si>
    <t>Levey</t>
  </si>
  <si>
    <t>Ovanesian</t>
  </si>
  <si>
    <t>35.46.119.21</t>
  </si>
  <si>
    <t>131.249.157.2</t>
  </si>
  <si>
    <t>MDP</t>
  </si>
  <si>
    <t>Meredith Corporation</t>
  </si>
  <si>
    <t>$2.65B</t>
  </si>
  <si>
    <t>Gare</t>
  </si>
  <si>
    <t>Ogilby</t>
  </si>
  <si>
    <t>102.215.32.20</t>
  </si>
  <si>
    <t>216.152.233.218</t>
  </si>
  <si>
    <t>ATO</t>
  </si>
  <si>
    <t>Atmos Energy Corporation</t>
  </si>
  <si>
    <t>$9.01B</t>
  </si>
  <si>
    <t>Orran</t>
  </si>
  <si>
    <t>Barff</t>
  </si>
  <si>
    <t>167.190.190.86</t>
  </si>
  <si>
    <t>97.17.224.6</t>
  </si>
  <si>
    <t>MSGN</t>
  </si>
  <si>
    <t>MSG Networks Inc.</t>
  </si>
  <si>
    <t>$1.66B</t>
  </si>
  <si>
    <t>Rich</t>
  </si>
  <si>
    <t>192.183.168.39</t>
  </si>
  <si>
    <t>87.154.189.192</t>
  </si>
  <si>
    <t>WSM</t>
  </si>
  <si>
    <t>Williams-Sonoma, Inc.</t>
  </si>
  <si>
    <t>$4.16B</t>
  </si>
  <si>
    <t>Priscilla</t>
  </si>
  <si>
    <t>Marran</t>
  </si>
  <si>
    <t>120.119.169.44</t>
  </si>
  <si>
    <t>206.21.16.49</t>
  </si>
  <si>
    <t>Aymer</t>
  </si>
  <si>
    <t>Frowen</t>
  </si>
  <si>
    <t>102.220.104.245</t>
  </si>
  <si>
    <t>85.22.90.228</t>
  </si>
  <si>
    <t>STBA</t>
  </si>
  <si>
    <t>S&amp;T Bancorp, Inc.</t>
  </si>
  <si>
    <t>$1.24B</t>
  </si>
  <si>
    <t>Harold</t>
  </si>
  <si>
    <t>Niesing</t>
  </si>
  <si>
    <t>82.29.222.7</t>
  </si>
  <si>
    <t>229.182.195.124</t>
  </si>
  <si>
    <t>FHY</t>
  </si>
  <si>
    <t>First Trust Strategic High Income Fund II</t>
  </si>
  <si>
    <t>$112.34M</t>
  </si>
  <si>
    <t>Bondie</t>
  </si>
  <si>
    <t>Tinsey</t>
  </si>
  <si>
    <t>186.112.40.9</t>
  </si>
  <si>
    <t>139.202.71.231</t>
  </si>
  <si>
    <t>PNC.WS</t>
  </si>
  <si>
    <t>PNC Financial Services Group, Inc. (The)</t>
  </si>
  <si>
    <t>Manon</t>
  </si>
  <si>
    <t>Muslim</t>
  </si>
  <si>
    <t>219.14.31.128</t>
  </si>
  <si>
    <t>79.246.38.31</t>
  </si>
  <si>
    <t>SRET</t>
  </si>
  <si>
    <t>Global X SuperDividend REIT ETF</t>
  </si>
  <si>
    <t>$3.09M</t>
  </si>
  <si>
    <t>Gordy</t>
  </si>
  <si>
    <t>Webben</t>
  </si>
  <si>
    <t>251.68.161.80</t>
  </si>
  <si>
    <t>207.67.92.82</t>
  </si>
  <si>
    <t>RFTA</t>
  </si>
  <si>
    <t>Olenolin</t>
  </si>
  <si>
    <t>Heisham</t>
  </si>
  <si>
    <t>45.184.165.90</t>
  </si>
  <si>
    <t>219.63.60.37</t>
  </si>
  <si>
    <t>TAST</t>
  </si>
  <si>
    <t>Carrols Restaurant Group, Inc.</t>
  </si>
  <si>
    <t>$450.72M</t>
  </si>
  <si>
    <t>Banane</t>
  </si>
  <si>
    <t>221.220.198.208</t>
  </si>
  <si>
    <t>163.222.144.228</t>
  </si>
  <si>
    <t>RSO^A</t>
  </si>
  <si>
    <t>Resource Capital Corp.</t>
  </si>
  <si>
    <t>Tally</t>
  </si>
  <si>
    <t>Proby</t>
  </si>
  <si>
    <t>246.50.104.217</t>
  </si>
  <si>
    <t>112.208.77.112</t>
  </si>
  <si>
    <t>CDI</t>
  </si>
  <si>
    <t>CDI Corporation</t>
  </si>
  <si>
    <t>$108.41M</t>
  </si>
  <si>
    <t>Alane</t>
  </si>
  <si>
    <t>Karus</t>
  </si>
  <si>
    <t>159.51.44.117</t>
  </si>
  <si>
    <t>72.223.92.69</t>
  </si>
  <si>
    <t>TWTR</t>
  </si>
  <si>
    <t>Twitter, Inc.</t>
  </si>
  <si>
    <t>$12.18B</t>
  </si>
  <si>
    <t>Lynnea</t>
  </si>
  <si>
    <t>Wilcocks</t>
  </si>
  <si>
    <t>109.217.52.17</t>
  </si>
  <si>
    <t>10.12.59.130</t>
  </si>
  <si>
    <t>CSTM</t>
  </si>
  <si>
    <t>Constellium N.V.</t>
  </si>
  <si>
    <t>$702.12M</t>
  </si>
  <si>
    <t>Jorey</t>
  </si>
  <si>
    <t>Dilliston</t>
  </si>
  <si>
    <t>51.49.103.227</t>
  </si>
  <si>
    <t>247.205.253.113</t>
  </si>
  <si>
    <t>VEAC</t>
  </si>
  <si>
    <t>Vantage Energy Acquisition Corp.</t>
  </si>
  <si>
    <t>$674.13M</t>
  </si>
  <si>
    <t>Conrado</t>
  </si>
  <si>
    <t>Isted</t>
  </si>
  <si>
    <t>240.192.87.172</t>
  </si>
  <si>
    <t>72.149.14.135</t>
  </si>
  <si>
    <t>Goddart</t>
  </si>
  <si>
    <t>Hugill</t>
  </si>
  <si>
    <t>239.141.194.97</t>
  </si>
  <si>
    <t>113.217.145.6</t>
  </si>
  <si>
    <t>NXEOU</t>
  </si>
  <si>
    <t>Thelma</t>
  </si>
  <si>
    <t>Wyeld</t>
  </si>
  <si>
    <t>179.197.87.232</t>
  </si>
  <si>
    <t>63.220.103.115</t>
  </si>
  <si>
    <t>PLAY</t>
  </si>
  <si>
    <t>Dave &amp; Buster's Entertainment, Inc.</t>
  </si>
  <si>
    <t>$2.84B</t>
  </si>
  <si>
    <t>Lacey</t>
  </si>
  <si>
    <t>Deeks</t>
  </si>
  <si>
    <t>205.30.226.135</t>
  </si>
  <si>
    <t>222.209.177.17</t>
  </si>
  <si>
    <t>MHF</t>
  </si>
  <si>
    <t>Western Asset Municipal High Income Fund, Inc.</t>
  </si>
  <si>
    <t>$160.52M</t>
  </si>
  <si>
    <t>Charlotte</t>
  </si>
  <si>
    <t>Duetsche</t>
  </si>
  <si>
    <t>116.86.237.185</t>
  </si>
  <si>
    <t>8.188.153.182</t>
  </si>
  <si>
    <t>IBP</t>
  </si>
  <si>
    <t>Installed Building Products, Inc.</t>
  </si>
  <si>
    <t>Jenn</t>
  </si>
  <si>
    <t>Dunstall</t>
  </si>
  <si>
    <t>177.135.2.233</t>
  </si>
  <si>
    <t>88.4.180.16</t>
  </si>
  <si>
    <t>XRF</t>
  </si>
  <si>
    <t>China Rapid Finance Limited</t>
  </si>
  <si>
    <t>$441.95M</t>
  </si>
  <si>
    <t>Delmer</t>
  </si>
  <si>
    <t>Swalwell</t>
  </si>
  <si>
    <t>15.85.224.89</t>
  </si>
  <si>
    <t>37.253.49.236</t>
  </si>
  <si>
    <t>SNHY</t>
  </si>
  <si>
    <t>Sun Hydraulics Corporation</t>
  </si>
  <si>
    <t>Jobey</t>
  </si>
  <si>
    <t>Pleasants</t>
  </si>
  <si>
    <t>243.143.106.24</t>
  </si>
  <si>
    <t>87.109.247.182</t>
  </si>
  <si>
    <t>DO</t>
  </si>
  <si>
    <t>Diamond Offshore Drilling, Inc.</t>
  </si>
  <si>
    <t>$1.61B</t>
  </si>
  <si>
    <t>Tomlin</t>
  </si>
  <si>
    <t>Niess</t>
  </si>
  <si>
    <t>35.216.1.201</t>
  </si>
  <si>
    <t>168.245.25.84</t>
  </si>
  <si>
    <t>SCAC</t>
  </si>
  <si>
    <t>$315.63M</t>
  </si>
  <si>
    <t>Ferdinand</t>
  </si>
  <si>
    <t>Oscroft</t>
  </si>
  <si>
    <t>252.32.159.113</t>
  </si>
  <si>
    <t>134.110.154.227</t>
  </si>
  <si>
    <t>IGI</t>
  </si>
  <si>
    <t>Western Asset Investment Grade Defined Opportunity Trust Inc.</t>
  </si>
  <si>
    <t>$225.71M</t>
  </si>
  <si>
    <t>Dehlia</t>
  </si>
  <si>
    <t>Tolcharde</t>
  </si>
  <si>
    <t>86.242.213.55</t>
  </si>
  <si>
    <t>177.72.180.101</t>
  </si>
  <si>
    <t>FCEF</t>
  </si>
  <si>
    <t>First Trust CEF Income Opportunity ETF</t>
  </si>
  <si>
    <t>$28.08M</t>
  </si>
  <si>
    <t>Sven</t>
  </si>
  <si>
    <t>Dyer</t>
  </si>
  <si>
    <t>159.84.174.172</t>
  </si>
  <si>
    <t>224.194.231.140</t>
  </si>
  <si>
    <t>NUM</t>
  </si>
  <si>
    <t>Nuveen Michigan Quality Municipal Income Fund</t>
  </si>
  <si>
    <t>$286.36M</t>
  </si>
  <si>
    <t>Jesse</t>
  </si>
  <si>
    <t>Schohier</t>
  </si>
  <si>
    <t>213.241.160.168</t>
  </si>
  <si>
    <t>200.36.22.174</t>
  </si>
  <si>
    <t>KE</t>
  </si>
  <si>
    <t>Kimball Electronics, Inc.</t>
  </si>
  <si>
    <t>$496.43M</t>
  </si>
  <si>
    <t>Rhys</t>
  </si>
  <si>
    <t>Gemelli</t>
  </si>
  <si>
    <t>109.132.123.18</t>
  </si>
  <si>
    <t>189.64.170.253</t>
  </si>
  <si>
    <t>BGT</t>
  </si>
  <si>
    <t>Blackrock Global</t>
  </si>
  <si>
    <t>$334.83M</t>
  </si>
  <si>
    <t>Giuditta</t>
  </si>
  <si>
    <t>Bunney</t>
  </si>
  <si>
    <t>233.13.193.250</t>
  </si>
  <si>
    <t>34.113.142.216</t>
  </si>
  <si>
    <t>FDT</t>
  </si>
  <si>
    <t>First Trust Developed Markets Ex-US AlphaDEX Fund</t>
  </si>
  <si>
    <t>$458.32M</t>
  </si>
  <si>
    <t>Joletta</t>
  </si>
  <si>
    <t>Beiderbecke</t>
  </si>
  <si>
    <t>17.31.81.61</t>
  </si>
  <si>
    <t>131.199.13.117</t>
  </si>
  <si>
    <t>GES</t>
  </si>
  <si>
    <t>Guess?, Inc.</t>
  </si>
  <si>
    <t>$974.73M</t>
  </si>
  <si>
    <t>McGhie</t>
  </si>
  <si>
    <t>95.54.127.159</t>
  </si>
  <si>
    <t>205.80.240.114</t>
  </si>
  <si>
    <t>CODI</t>
  </si>
  <si>
    <t>Compass Diversified Holdings</t>
  </si>
  <si>
    <t>$1.02B</t>
  </si>
  <si>
    <t>Menard</t>
  </si>
  <si>
    <t>Guild</t>
  </si>
  <si>
    <t>28.37.72.7</t>
  </si>
  <si>
    <t>22.64.123.131</t>
  </si>
  <si>
    <t>HTLF</t>
  </si>
  <si>
    <t>Heartland Financial USA, Inc.</t>
  </si>
  <si>
    <t>$1.25B</t>
  </si>
  <si>
    <t>Dniren</t>
  </si>
  <si>
    <t>Shippard</t>
  </si>
  <si>
    <t>50.10.123.66</t>
  </si>
  <si>
    <t>178.73.91.175</t>
  </si>
  <si>
    <t>SRCLP</t>
  </si>
  <si>
    <t>Stericycle, Inc.</t>
  </si>
  <si>
    <t>Claudia</t>
  </si>
  <si>
    <t>Ladson</t>
  </si>
  <si>
    <t>138.53.61.215</t>
  </si>
  <si>
    <t>209.254.203.128</t>
  </si>
  <si>
    <t>OFED</t>
  </si>
  <si>
    <t>Oconee Federal Financial Corp.</t>
  </si>
  <si>
    <t>$161.77M</t>
  </si>
  <si>
    <t>Aurelia</t>
  </si>
  <si>
    <t>Swindall</t>
  </si>
  <si>
    <t>33.102.92.76</t>
  </si>
  <si>
    <t>84.120.71.29</t>
  </si>
  <si>
    <t>WNEB</t>
  </si>
  <si>
    <t>Western New England Bancorp, Inc.</t>
  </si>
  <si>
    <t>$332.53M</t>
  </si>
  <si>
    <t>Reuven</t>
  </si>
  <si>
    <t>Rattery</t>
  </si>
  <si>
    <t>107.20.197.154</t>
  </si>
  <si>
    <t>193.14.15.99</t>
  </si>
  <si>
    <t>Julio</t>
  </si>
  <si>
    <t>Pettigrew</t>
  </si>
  <si>
    <t>60.241.85.134</t>
  </si>
  <si>
    <t>250.135.84.228</t>
  </si>
  <si>
    <t>LSXMK</t>
  </si>
  <si>
    <t>Liberty Media Corporation</t>
  </si>
  <si>
    <t>$13.88B</t>
  </si>
  <si>
    <t>Marietta</t>
  </si>
  <si>
    <t>Le Hucquet</t>
  </si>
  <si>
    <t>185.68.241.51</t>
  </si>
  <si>
    <t>226.68.91.210</t>
  </si>
  <si>
    <t>BNSO</t>
  </si>
  <si>
    <t>Bonso Electronics International, Inc.</t>
  </si>
  <si>
    <t>$12.63M</t>
  </si>
  <si>
    <t>Ives</t>
  </si>
  <si>
    <t>Hearsey</t>
  </si>
  <si>
    <t>121.146.19.155</t>
  </si>
  <si>
    <t>40.108.192.118</t>
  </si>
  <si>
    <t>OSUR</t>
  </si>
  <si>
    <t>OraSure Technologies, Inc.</t>
  </si>
  <si>
    <t>$862.98M</t>
  </si>
  <si>
    <t>Esra</t>
  </si>
  <si>
    <t>MacKaile</t>
  </si>
  <si>
    <t>212.12.202.146</t>
  </si>
  <si>
    <t>58.65.55.164</t>
  </si>
  <si>
    <t>SR</t>
  </si>
  <si>
    <t>Spire Inc.</t>
  </si>
  <si>
    <t>Killie</t>
  </si>
  <si>
    <t>Vakhrushev</t>
  </si>
  <si>
    <t>221.31.147.22</t>
  </si>
  <si>
    <t>203.174.49.157</t>
  </si>
  <si>
    <t>VEDL</t>
  </si>
  <si>
    <t>Vedanta  Limited</t>
  </si>
  <si>
    <t>$10.79B</t>
  </si>
  <si>
    <t>Shelba</t>
  </si>
  <si>
    <t>Eakle</t>
  </si>
  <si>
    <t>186.117.113.191</t>
  </si>
  <si>
    <t>40.225.37.154</t>
  </si>
  <si>
    <t>FRED</t>
  </si>
  <si>
    <t>Fred's, Inc.</t>
  </si>
  <si>
    <t>$408.67M</t>
  </si>
  <si>
    <t>Sunny</t>
  </si>
  <si>
    <t>Clynmans</t>
  </si>
  <si>
    <t>239.16.115.178</t>
  </si>
  <si>
    <t>21.169.65.149</t>
  </si>
  <si>
    <t>EMR</t>
  </si>
  <si>
    <t>Emerson Electric Company</t>
  </si>
  <si>
    <t>$39.11B</t>
  </si>
  <si>
    <t>Rachel</t>
  </si>
  <si>
    <t>Pollack</t>
  </si>
  <si>
    <t>127.31.159.125</t>
  </si>
  <si>
    <t>18.146.175.43</t>
  </si>
  <si>
    <t>BHLB</t>
  </si>
  <si>
    <t>Berkshire Hills Bancorp, Inc.</t>
  </si>
  <si>
    <t>Banks</t>
  </si>
  <si>
    <t>Cash</t>
  </si>
  <si>
    <t>Twist</t>
  </si>
  <si>
    <t>110.223.246.251</t>
  </si>
  <si>
    <t>54.237.179.242</t>
  </si>
  <si>
    <t>INVA</t>
  </si>
  <si>
    <t>Innoviva, Inc.</t>
  </si>
  <si>
    <t>$1.31B</t>
  </si>
  <si>
    <t>Ardene</t>
  </si>
  <si>
    <t>Drewery</t>
  </si>
  <si>
    <t>135.80.2.115</t>
  </si>
  <si>
    <t>184.255.174.96</t>
  </si>
  <si>
    <t>MIY</t>
  </si>
  <si>
    <t>Blackrock MuniYield Michigan Quality Fund, Inc.</t>
  </si>
  <si>
    <t>$415.87M</t>
  </si>
  <si>
    <t>Lindsay</t>
  </si>
  <si>
    <t>Longbone</t>
  </si>
  <si>
    <t>242.107.20.42</t>
  </si>
  <si>
    <t>185.168.179.224</t>
  </si>
  <si>
    <t>GFNSL</t>
  </si>
  <si>
    <t>Carleton</t>
  </si>
  <si>
    <t>Coen</t>
  </si>
  <si>
    <t>171.152.9.101</t>
  </si>
  <si>
    <t>248.40.64.106</t>
  </si>
  <si>
    <t>VIDI</t>
  </si>
  <si>
    <t>Vident International Equity Fund</t>
  </si>
  <si>
    <t>Karly</t>
  </si>
  <si>
    <t>Ginger</t>
  </si>
  <si>
    <t>178.190.30.22</t>
  </si>
  <si>
    <t>112.37.36.11</t>
  </si>
  <si>
    <t>PHM</t>
  </si>
  <si>
    <t>PulteGroup, Inc.</t>
  </si>
  <si>
    <t>$7.58B</t>
  </si>
  <si>
    <t>Partrick</t>
  </si>
  <si>
    <t>27.41.177.167</t>
  </si>
  <si>
    <t>212.100.52.212</t>
  </si>
  <si>
    <t>BHK</t>
  </si>
  <si>
    <t>Blackrock Core Bond Trust</t>
  </si>
  <si>
    <t>$741.61M</t>
  </si>
  <si>
    <t>Monah</t>
  </si>
  <si>
    <t>Wesley</t>
  </si>
  <si>
    <t>250.5.197.16</t>
  </si>
  <si>
    <t>191.6.234.160</t>
  </si>
  <si>
    <t>ENV</t>
  </si>
  <si>
    <t>Envestnet, Inc</t>
  </si>
  <si>
    <t>$1.67B</t>
  </si>
  <si>
    <t>McCurt</t>
  </si>
  <si>
    <t>131.63.92.70</t>
  </si>
  <si>
    <t>102.247.148.186</t>
  </si>
  <si>
    <t>SAFM</t>
  </si>
  <si>
    <t>Sanderson Farms, Inc.</t>
  </si>
  <si>
    <t>Meat/Poultry/Fish</t>
  </si>
  <si>
    <t>$2.88B</t>
  </si>
  <si>
    <t>Alyson</t>
  </si>
  <si>
    <t>Halwood</t>
  </si>
  <si>
    <t>225.202.185.11</t>
  </si>
  <si>
    <t>68.155.201.71</t>
  </si>
  <si>
    <t>PETS</t>
  </si>
  <si>
    <t>PetMed Express, Inc.</t>
  </si>
  <si>
    <t>$785.51M</t>
  </si>
  <si>
    <t>Camel</t>
  </si>
  <si>
    <t>Gowdy</t>
  </si>
  <si>
    <t>60.161.167.237</t>
  </si>
  <si>
    <t>248.47.112.83</t>
  </si>
  <si>
    <t>APLP</t>
  </si>
  <si>
    <t>Archrock Partners, L.P.</t>
  </si>
  <si>
    <t>$930.51M</t>
  </si>
  <si>
    <t>Ewell</t>
  </si>
  <si>
    <t>Jannasch</t>
  </si>
  <si>
    <t>38.77.109.201</t>
  </si>
  <si>
    <t>29.121.231.191</t>
  </si>
  <si>
    <t>ESSA</t>
  </si>
  <si>
    <t>ESSA Bancorp, Inc.</t>
  </si>
  <si>
    <t>$175.65M</t>
  </si>
  <si>
    <t>Bobina</t>
  </si>
  <si>
    <t>Burdoun</t>
  </si>
  <si>
    <t>123.167.125.28</t>
  </si>
  <si>
    <t>8.233.241.216</t>
  </si>
  <si>
    <t>AGRO</t>
  </si>
  <si>
    <t>Adecoagro S.A.</t>
  </si>
  <si>
    <t>$1.21B</t>
  </si>
  <si>
    <t>Alexandrina</t>
  </si>
  <si>
    <t>Munt</t>
  </si>
  <si>
    <t>131.221.136.34</t>
  </si>
  <si>
    <t>215.226.68.175</t>
  </si>
  <si>
    <t>WTI</t>
  </si>
  <si>
    <t>W&amp;T Offshore, Inc.</t>
  </si>
  <si>
    <t>$284.99M</t>
  </si>
  <si>
    <t>Gregorius</t>
  </si>
  <si>
    <t>Ladewig</t>
  </si>
  <si>
    <t>4.193.204.182</t>
  </si>
  <si>
    <t>66.48.184.245</t>
  </si>
  <si>
    <t>PRTK</t>
  </si>
  <si>
    <t xml:space="preserve">Paratek Pharmaceuticals, Inc. </t>
  </si>
  <si>
    <t>$618.42M</t>
  </si>
  <si>
    <t>Stenner</t>
  </si>
  <si>
    <t>26.16.61.32</t>
  </si>
  <si>
    <t>206.224.35.171</t>
  </si>
  <si>
    <t>CUBI^E</t>
  </si>
  <si>
    <t>Customers Bancorp, Inc</t>
  </si>
  <si>
    <t>Ennis</t>
  </si>
  <si>
    <t>Ketchell</t>
  </si>
  <si>
    <t>26.75.132.251</t>
  </si>
  <si>
    <t>81.135.102.227</t>
  </si>
  <si>
    <t xml:space="preserve">MORE          </t>
  </si>
  <si>
    <t>Monogram Residential Trust, Inc.</t>
  </si>
  <si>
    <t>$1.68B</t>
  </si>
  <si>
    <t>Fallon</t>
  </si>
  <si>
    <t>Corsor</t>
  </si>
  <si>
    <t>232.20.103.196</t>
  </si>
  <si>
    <t>245.246.125.102</t>
  </si>
  <si>
    <t>EFX</t>
  </si>
  <si>
    <t>Equifax, Inc.</t>
  </si>
  <si>
    <t>$17.14B</t>
  </si>
  <si>
    <t>Karyl</t>
  </si>
  <si>
    <t>Sturley</t>
  </si>
  <si>
    <t>15.152.177.98</t>
  </si>
  <si>
    <t>6.190.77.112</t>
  </si>
  <si>
    <t>Barthel</t>
  </si>
  <si>
    <t>Skeemor</t>
  </si>
  <si>
    <t>151.227.52.238</t>
  </si>
  <si>
    <t>92.243.126.142</t>
  </si>
  <si>
    <t>FANH</t>
  </si>
  <si>
    <t>Fanhua Inc.</t>
  </si>
  <si>
    <t>Specialty Insurers</t>
  </si>
  <si>
    <t>$554.47M</t>
  </si>
  <si>
    <t>Kristine</t>
  </si>
  <si>
    <t>Aksell</t>
  </si>
  <si>
    <t>26.73.17.8</t>
  </si>
  <si>
    <t>92.238.75.120</t>
  </si>
  <si>
    <t>Madel</t>
  </si>
  <si>
    <t>Babber</t>
  </si>
  <si>
    <t>238.227.12.14</t>
  </si>
  <si>
    <t>159.46.149.72</t>
  </si>
  <si>
    <t>STT^E</t>
  </si>
  <si>
    <t>State Street Corporation</t>
  </si>
  <si>
    <t>Pam</t>
  </si>
  <si>
    <t>Petyanin</t>
  </si>
  <si>
    <t>161.93.88.65</t>
  </si>
  <si>
    <t>108.137.120.203</t>
  </si>
  <si>
    <t>KTEC</t>
  </si>
  <si>
    <t>Key Technology, Inc.</t>
  </si>
  <si>
    <t>$87.57M</t>
  </si>
  <si>
    <t>Florencia</t>
  </si>
  <si>
    <t>McGairl</t>
  </si>
  <si>
    <t>31.131.164.207</t>
  </si>
  <si>
    <t>40.159.69.212</t>
  </si>
  <si>
    <t>LTM</t>
  </si>
  <si>
    <t>LATAM Airlines Group S.A.</t>
  </si>
  <si>
    <t>$6.79B</t>
  </si>
  <si>
    <t>Jaquith</t>
  </si>
  <si>
    <t>Attrill</t>
  </si>
  <si>
    <t>169.36.127.254</t>
  </si>
  <si>
    <t>185.136.176.225</t>
  </si>
  <si>
    <t>JBN</t>
  </si>
  <si>
    <t>Select Asset Inc.</t>
  </si>
  <si>
    <t>Heloise</t>
  </si>
  <si>
    <t>Broxholme</t>
  </si>
  <si>
    <t>250.40.135.5</t>
  </si>
  <si>
    <t>141.106.163.46</t>
  </si>
  <si>
    <t>CXH</t>
  </si>
  <si>
    <t>Colonial Investment Grade Municipal Trust</t>
  </si>
  <si>
    <t>$116.91M</t>
  </si>
  <si>
    <t>Trudey</t>
  </si>
  <si>
    <t>Harbert</t>
  </si>
  <si>
    <t>159.25.243.106</t>
  </si>
  <si>
    <t>7.161.33.232</t>
  </si>
  <si>
    <t>OLLI</t>
  </si>
  <si>
    <t>Ollie's Bargain Outlet Holdings, Inc.</t>
  </si>
  <si>
    <t>Gayle</t>
  </si>
  <si>
    <t>Korn</t>
  </si>
  <si>
    <t>195.113.142.206</t>
  </si>
  <si>
    <t>196.128.60.235</t>
  </si>
  <si>
    <t>NEE^I</t>
  </si>
  <si>
    <t>NextEra Energy, Inc.</t>
  </si>
  <si>
    <t>Emberton</t>
  </si>
  <si>
    <t>118.127.86.99</t>
  </si>
  <si>
    <t>239.121.116.107</t>
  </si>
  <si>
    <t>PAHC</t>
  </si>
  <si>
    <t>Phibro Animal Health Corporation</t>
  </si>
  <si>
    <t>$1.43B</t>
  </si>
  <si>
    <t>Waylin</t>
  </si>
  <si>
    <t>Reap</t>
  </si>
  <si>
    <t>153.121.213.17</t>
  </si>
  <si>
    <t>59.228.51.114</t>
  </si>
  <si>
    <t>LULU</t>
  </si>
  <si>
    <t>lululemon athletica inc.</t>
  </si>
  <si>
    <t>$7.24B</t>
  </si>
  <si>
    <t>Weber</t>
  </si>
  <si>
    <t>Bosson</t>
  </si>
  <si>
    <t>33.242.80.114</t>
  </si>
  <si>
    <t>21.82.248.71</t>
  </si>
  <si>
    <t>STAG^B</t>
  </si>
  <si>
    <t>Stag Industrial, Inc.</t>
  </si>
  <si>
    <t>Debee</t>
  </si>
  <si>
    <t>Cranfield</t>
  </si>
  <si>
    <t>201.151.176.65</t>
  </si>
  <si>
    <t>25.15.51.78</t>
  </si>
  <si>
    <t>ZBK</t>
  </si>
  <si>
    <t>Zions Bancorporation</t>
  </si>
  <si>
    <t>Donavon</t>
  </si>
  <si>
    <t>Shuttlewood</t>
  </si>
  <si>
    <t>147.181.98.181</t>
  </si>
  <si>
    <t>94.112.231.89</t>
  </si>
  <si>
    <t>MKTX</t>
  </si>
  <si>
    <t>MarketAxess Holdings, Inc.</t>
  </si>
  <si>
    <t>$7.72B</t>
  </si>
  <si>
    <t>Chandra</t>
  </si>
  <si>
    <t>Duthie</t>
  </si>
  <si>
    <t>159.103.122.16</t>
  </si>
  <si>
    <t>94.29.197.191</t>
  </si>
  <si>
    <t>DCM</t>
  </si>
  <si>
    <t>NTT DOCOMO, Inc</t>
  </si>
  <si>
    <t>$96.67B</t>
  </si>
  <si>
    <t>Niki</t>
  </si>
  <si>
    <t>Stranieri</t>
  </si>
  <si>
    <t>193.213.237.226</t>
  </si>
  <si>
    <t>21.202.200.107</t>
  </si>
  <si>
    <t>Robinet</t>
  </si>
  <si>
    <t>D'Orsay</t>
  </si>
  <si>
    <t>92.221.163.154</t>
  </si>
  <si>
    <t>252.215.133.97</t>
  </si>
  <si>
    <t>TRVG</t>
  </si>
  <si>
    <t>trivago N.V.</t>
  </si>
  <si>
    <t>$4.38B</t>
  </si>
  <si>
    <t>Guthrie</t>
  </si>
  <si>
    <t>Batkin</t>
  </si>
  <si>
    <t>247.173.171.77</t>
  </si>
  <si>
    <t>237.159.233.171</t>
  </si>
  <si>
    <t>ADSW</t>
  </si>
  <si>
    <t>Advanced Disposal Services, Inc.</t>
  </si>
  <si>
    <t>$2.1B</t>
  </si>
  <si>
    <t>Vivien</t>
  </si>
  <si>
    <t>Hutsby</t>
  </si>
  <si>
    <t>77.90.143.250</t>
  </si>
  <si>
    <t>126.23.17.184</t>
  </si>
  <si>
    <t>NAZ</t>
  </si>
  <si>
    <t>Nuveen Arizona Quality Municipal Income Fund</t>
  </si>
  <si>
    <t>$167.96M</t>
  </si>
  <si>
    <t>Bo</t>
  </si>
  <si>
    <t>Decent</t>
  </si>
  <si>
    <t>234.249.43.85</t>
  </si>
  <si>
    <t>199.25.93.115</t>
  </si>
  <si>
    <t>ACM</t>
  </si>
  <si>
    <t>AECOM</t>
  </si>
  <si>
    <t>$5.08B</t>
  </si>
  <si>
    <t>Merrill</t>
  </si>
  <si>
    <t>Loffill</t>
  </si>
  <si>
    <t>166.206.241.191</t>
  </si>
  <si>
    <t>156.99.107.152</t>
  </si>
  <si>
    <t>SSKN</t>
  </si>
  <si>
    <t>Strata Skin Sciences, Inc.</t>
  </si>
  <si>
    <t>$6.36M</t>
  </si>
  <si>
    <t>Tresa</t>
  </si>
  <si>
    <t>Guirau</t>
  </si>
  <si>
    <t>130.116.6.44</t>
  </si>
  <si>
    <t>12.155.68.28</t>
  </si>
  <si>
    <t>CAF</t>
  </si>
  <si>
    <t>Morgan Stanley China A Share Fund Inc.</t>
  </si>
  <si>
    <t>$474.83M</t>
  </si>
  <si>
    <t>Wendell</t>
  </si>
  <si>
    <t>Athow</t>
  </si>
  <si>
    <t>200.103.95.167</t>
  </si>
  <si>
    <t>194.133.123.228</t>
  </si>
  <si>
    <t>PLXP</t>
  </si>
  <si>
    <t>PLx Pharma Inc.</t>
  </si>
  <si>
    <t>$1.04M</t>
  </si>
  <si>
    <t>Nike</t>
  </si>
  <si>
    <t>Milington</t>
  </si>
  <si>
    <t>61.247.10.95</t>
  </si>
  <si>
    <t>91.62.219.8</t>
  </si>
  <si>
    <t>ACP</t>
  </si>
  <si>
    <t>Avenue Income Credit Strategies Fund</t>
  </si>
  <si>
    <t>$185.39M</t>
  </si>
  <si>
    <t>Chastity</t>
  </si>
  <si>
    <t>Squibbs</t>
  </si>
  <si>
    <t>86.143.197.131</t>
  </si>
  <si>
    <t>164.218.15.66</t>
  </si>
  <si>
    <t>CFR</t>
  </si>
  <si>
    <t>$6.19B</t>
  </si>
  <si>
    <t>Baryram</t>
  </si>
  <si>
    <t>Birth</t>
  </si>
  <si>
    <t>2.252.47.104</t>
  </si>
  <si>
    <t>75.181.80.239</t>
  </si>
  <si>
    <t>PLT</t>
  </si>
  <si>
    <t>Plantronics, Inc.</t>
  </si>
  <si>
    <t>$1.8B</t>
  </si>
  <si>
    <t>Gerome</t>
  </si>
  <si>
    <t>Ferronel</t>
  </si>
  <si>
    <t>45.58.82.111</t>
  </si>
  <si>
    <t>8.140.78.136</t>
  </si>
  <si>
    <t>HIL</t>
  </si>
  <si>
    <t>Hill International, Inc.</t>
  </si>
  <si>
    <t>$251.61M</t>
  </si>
  <si>
    <t>McMillam</t>
  </si>
  <si>
    <t>244.232.57.150</t>
  </si>
  <si>
    <t>214.77.22.230</t>
  </si>
  <si>
    <t>THR</t>
  </si>
  <si>
    <t>Thermon Group Holdings, Inc.</t>
  </si>
  <si>
    <t>$608.57M</t>
  </si>
  <si>
    <t>Parnell</t>
  </si>
  <si>
    <t>Fardy</t>
  </si>
  <si>
    <t>21.37.177.254</t>
  </si>
  <si>
    <t>64.114.102.63</t>
  </si>
  <si>
    <t>FI</t>
  </si>
  <si>
    <t>Frank's International N.V.</t>
  </si>
  <si>
    <t>Wileen</t>
  </si>
  <si>
    <t>Do</t>
  </si>
  <si>
    <t>215.202.175.72</t>
  </si>
  <si>
    <t>5.204.137.197</t>
  </si>
  <si>
    <t>CSML</t>
  </si>
  <si>
    <t>IQ Chaikin U.S. Small Cap ETF</t>
  </si>
  <si>
    <t>$74.69M</t>
  </si>
  <si>
    <t>Tracie</t>
  </si>
  <si>
    <t>Reboulet</t>
  </si>
  <si>
    <t>246.155.251.216</t>
  </si>
  <si>
    <t>74.230.49.60</t>
  </si>
  <si>
    <t>RDS.A</t>
  </si>
  <si>
    <t>Royal Dutch Shell PLC</t>
  </si>
  <si>
    <t>Twila</t>
  </si>
  <si>
    <t>Canon</t>
  </si>
  <si>
    <t>7.239.0.166</t>
  </si>
  <si>
    <t>36.124.96.251</t>
  </si>
  <si>
    <t>ATHM</t>
  </si>
  <si>
    <t>Autohome Inc.</t>
  </si>
  <si>
    <t>$5.07B</t>
  </si>
  <si>
    <t>Thorny</t>
  </si>
  <si>
    <t>Parke</t>
  </si>
  <si>
    <t>3.235.140.192</t>
  </si>
  <si>
    <t>175.250.87.121</t>
  </si>
  <si>
    <t>CHW</t>
  </si>
  <si>
    <t>Calamos Global Dynamic Income Fund</t>
  </si>
  <si>
    <t>$499.2M</t>
  </si>
  <si>
    <t>Karole</t>
  </si>
  <si>
    <t>Ivamy</t>
  </si>
  <si>
    <t>12.185.254.15</t>
  </si>
  <si>
    <t>63.85.215.28</t>
  </si>
  <si>
    <t>MAN</t>
  </si>
  <si>
    <t>ManpowerGroup</t>
  </si>
  <si>
    <t>$7.22B</t>
  </si>
  <si>
    <t>Darline</t>
  </si>
  <si>
    <t>Chuck</t>
  </si>
  <si>
    <t>148.16.90.178</t>
  </si>
  <si>
    <t>228.72.191.88</t>
  </si>
  <si>
    <t>SNC</t>
  </si>
  <si>
    <t>State National Companies, Inc.</t>
  </si>
  <si>
    <t>$736.77M</t>
  </si>
  <si>
    <t>Juliann</t>
  </si>
  <si>
    <t>Wemes</t>
  </si>
  <si>
    <t>14.242.206.19</t>
  </si>
  <si>
    <t>131.169.246.224</t>
  </si>
  <si>
    <t>ACIU</t>
  </si>
  <si>
    <t>AC Immune SA</t>
  </si>
  <si>
    <t>$484.41M</t>
  </si>
  <si>
    <t>Ham</t>
  </si>
  <si>
    <t>Eddies</t>
  </si>
  <si>
    <t>34.217.224.233</t>
  </si>
  <si>
    <t>81.98.3.88</t>
  </si>
  <si>
    <t>FRC^D</t>
  </si>
  <si>
    <t>FIRST REPUBLIC BANK</t>
  </si>
  <si>
    <t>Amerigo</t>
  </si>
  <si>
    <t>Orrocks</t>
  </si>
  <si>
    <t>179.47.113.202</t>
  </si>
  <si>
    <t>172.87.218.228</t>
  </si>
  <si>
    <t>OCRX</t>
  </si>
  <si>
    <t>Ocera Therapeutics, Inc.</t>
  </si>
  <si>
    <t>$25.45M</t>
  </si>
  <si>
    <t>Fergyson</t>
  </si>
  <si>
    <t>101.24.74.34</t>
  </si>
  <si>
    <t>203.67.245.91</t>
  </si>
  <si>
    <t>VIRC</t>
  </si>
  <si>
    <t>Virco Manufacturing Corporation</t>
  </si>
  <si>
    <t>$70.59M</t>
  </si>
  <si>
    <t>Malanie</t>
  </si>
  <si>
    <t>O'Gready</t>
  </si>
  <si>
    <t>52.233.103.230</t>
  </si>
  <si>
    <t>190.29.103.75</t>
  </si>
  <si>
    <t>SQNS</t>
  </si>
  <si>
    <t>Sequans Communications S.A.</t>
  </si>
  <si>
    <t>$299.74M</t>
  </si>
  <si>
    <t>Rahel</t>
  </si>
  <si>
    <t>Sellar</t>
  </si>
  <si>
    <t>220.51.241.140</t>
  </si>
  <si>
    <t>234.171.101.137</t>
  </si>
  <si>
    <t>SQBG</t>
  </si>
  <si>
    <t>Sequential Brands Group, Inc.</t>
  </si>
  <si>
    <t>$237.5M</t>
  </si>
  <si>
    <t>Ignacius</t>
  </si>
  <si>
    <t>Ghiroldi</t>
  </si>
  <si>
    <t>129.151.101.84</t>
  </si>
  <si>
    <t>126.65.82.45</t>
  </si>
  <si>
    <t>PMM</t>
  </si>
  <si>
    <t>Putnam Managed Municipal Income Trust</t>
  </si>
  <si>
    <t>$406.45M</t>
  </si>
  <si>
    <t>Elias</t>
  </si>
  <si>
    <t>Fidgett</t>
  </si>
  <si>
    <t>250.70.112.143</t>
  </si>
  <si>
    <t>209.207.253.121</t>
  </si>
  <si>
    <t>CAMP</t>
  </si>
  <si>
    <t>CalAmp Corp.</t>
  </si>
  <si>
    <t>$685.07M</t>
  </si>
  <si>
    <t>Giffard</t>
  </si>
  <si>
    <t>Endecott</t>
  </si>
  <si>
    <t>131.241.147.254</t>
  </si>
  <si>
    <t>182.113.67.231</t>
  </si>
  <si>
    <t>FNSR</t>
  </si>
  <si>
    <t>Finisar Corporation</t>
  </si>
  <si>
    <t>$3.1B</t>
  </si>
  <si>
    <t>Dianemarie</t>
  </si>
  <si>
    <t>Bonnett</t>
  </si>
  <si>
    <t>144.93.171.144</t>
  </si>
  <si>
    <t>196.46.253.232</t>
  </si>
  <si>
    <t>LNT</t>
  </si>
  <si>
    <t>Alliant Energy Corporation</t>
  </si>
  <si>
    <t>$9.61B</t>
  </si>
  <si>
    <t>Ulrikaumeko</t>
  </si>
  <si>
    <t>Lewty</t>
  </si>
  <si>
    <t>17.176.169.160</t>
  </si>
  <si>
    <t>4.12.241.14</t>
  </si>
  <si>
    <t>DEST</t>
  </si>
  <si>
    <t>Destination Maternity Corporation</t>
  </si>
  <si>
    <t>$64.48M</t>
  </si>
  <si>
    <t>Rosalie</t>
  </si>
  <si>
    <t>Genever</t>
  </si>
  <si>
    <t>231.56.176.140</t>
  </si>
  <si>
    <t>232.119.117.171</t>
  </si>
  <si>
    <t>IEUS</t>
  </si>
  <si>
    <t>iShares MSCI Europe Small-Cap ETF</t>
  </si>
  <si>
    <t>$126.72M</t>
  </si>
  <si>
    <t>Patty</t>
  </si>
  <si>
    <t>Wane</t>
  </si>
  <si>
    <t>215.129.98.134</t>
  </si>
  <si>
    <t>230.142.80.154</t>
  </si>
  <si>
    <t>CHUBA</t>
  </si>
  <si>
    <t>CommerceHub, Inc.</t>
  </si>
  <si>
    <t>$725.75M</t>
  </si>
  <si>
    <t>Tybalt</t>
  </si>
  <si>
    <t>Longmuir</t>
  </si>
  <si>
    <t>164.187.13.250</t>
  </si>
  <si>
    <t>210.178.184.155</t>
  </si>
  <si>
    <t>CIM^B</t>
  </si>
  <si>
    <t>Conni</t>
  </si>
  <si>
    <t>McGeouch</t>
  </si>
  <si>
    <t>215.139.220.28</t>
  </si>
  <si>
    <t>148.76.78.162</t>
  </si>
  <si>
    <t>EVG</t>
  </si>
  <si>
    <t>Eaton Vance Short Diversified Income Fund</t>
  </si>
  <si>
    <t>$252.83M</t>
  </si>
  <si>
    <t>Amii</t>
  </si>
  <si>
    <t>Ditchfield</t>
  </si>
  <si>
    <t>79.76.128.219</t>
  </si>
  <si>
    <t>158.248.20.34</t>
  </si>
  <si>
    <t>CLI</t>
  </si>
  <si>
    <t>Mack-Cali Realty Corporation</t>
  </si>
  <si>
    <t>$2.54B</t>
  </si>
  <si>
    <t>Jessie</t>
  </si>
  <si>
    <t>Pahl</t>
  </si>
  <si>
    <t>32.213.194.132</t>
  </si>
  <si>
    <t>84.35.239.212</t>
  </si>
  <si>
    <t>MITK</t>
  </si>
  <si>
    <t>Mitek Systems, Inc.</t>
  </si>
  <si>
    <t>$280.33M</t>
  </si>
  <si>
    <t>Ramsay</t>
  </si>
  <si>
    <t>Featenby</t>
  </si>
  <si>
    <t>152.5.176.94</t>
  </si>
  <si>
    <t>193.90.199.217</t>
  </si>
  <si>
    <t>NYMTO</t>
  </si>
  <si>
    <t>New York Mortgage Trust, Inc.</t>
  </si>
  <si>
    <t>Vinni</t>
  </si>
  <si>
    <t>Brent</t>
  </si>
  <si>
    <t>144.153.85.21</t>
  </si>
  <si>
    <t>90.36.12.187</t>
  </si>
  <si>
    <t>STI.WS.B</t>
  </si>
  <si>
    <t>Mignon</t>
  </si>
  <si>
    <t>Musto</t>
  </si>
  <si>
    <t>118.138.143.243</t>
  </si>
  <si>
    <t>19.143.150.163</t>
  </si>
  <si>
    <t>RXN^A</t>
  </si>
  <si>
    <t>Rexnord Corporation</t>
  </si>
  <si>
    <t>Farlay</t>
  </si>
  <si>
    <t>Jeromson</t>
  </si>
  <si>
    <t>6.129.68.53</t>
  </si>
  <si>
    <t>185.245.169.214</t>
  </si>
  <si>
    <t>CHK^D</t>
  </si>
  <si>
    <t>Chesapeake Energy Corporation</t>
  </si>
  <si>
    <t>Christine</t>
  </si>
  <si>
    <t>Mayling</t>
  </si>
  <si>
    <t>62.136.212.111</t>
  </si>
  <si>
    <t>196.210.213.116</t>
  </si>
  <si>
    <t>FIZZ</t>
  </si>
  <si>
    <t>National Beverage Corp.</t>
  </si>
  <si>
    <t>Vernor</t>
  </si>
  <si>
    <t>O'Dee</t>
  </si>
  <si>
    <t>58.55.55.28</t>
  </si>
  <si>
    <t>145.213.249.36</t>
  </si>
  <si>
    <t>AM</t>
  </si>
  <si>
    <t>Antero Midstream Partners LP</t>
  </si>
  <si>
    <t>$6.02B</t>
  </si>
  <si>
    <t>Rosabel</t>
  </si>
  <si>
    <t>McInulty</t>
  </si>
  <si>
    <t>37.42.150.160</t>
  </si>
  <si>
    <t>57.29.25.90</t>
  </si>
  <si>
    <t>KBH</t>
  </si>
  <si>
    <t>KB Home</t>
  </si>
  <si>
    <t>$1.84B</t>
  </si>
  <si>
    <t>Franchot</t>
  </si>
  <si>
    <t>Bowerbank</t>
  </si>
  <si>
    <t>111.126.11.57</t>
  </si>
  <si>
    <t>119.93.42.121</t>
  </si>
  <si>
    <t>RYAM^A</t>
  </si>
  <si>
    <t>Rayonier Advanced Materials Inc.</t>
  </si>
  <si>
    <t>Benedicto</t>
  </si>
  <si>
    <t>Airs</t>
  </si>
  <si>
    <t>197.52.195.143</t>
  </si>
  <si>
    <t>124.187.98.91</t>
  </si>
  <si>
    <t>HUNTW</t>
  </si>
  <si>
    <t>Hunter Maritime Acquisition Corp.</t>
  </si>
  <si>
    <t>Oil Refining/Marketing</t>
  </si>
  <si>
    <t>Talbert</t>
  </si>
  <si>
    <t>Paget</t>
  </si>
  <si>
    <t>51.15.114.123</t>
  </si>
  <si>
    <t>12.199.191.253</t>
  </si>
  <si>
    <t>VZ</t>
  </si>
  <si>
    <t>Verizon Communications Inc.</t>
  </si>
  <si>
    <t>$190.22B</t>
  </si>
  <si>
    <t>Felipe</t>
  </si>
  <si>
    <t>Turbayne</t>
  </si>
  <si>
    <t>143.225.234.191</t>
  </si>
  <si>
    <t>27.131.169.50</t>
  </si>
  <si>
    <t>XPER</t>
  </si>
  <si>
    <t>Xperi Corporation</t>
  </si>
  <si>
    <t>$1.49B</t>
  </si>
  <si>
    <t>Winthrop</t>
  </si>
  <si>
    <t>Shenton</t>
  </si>
  <si>
    <t>195.61.158.42</t>
  </si>
  <si>
    <t>231.85.5.93</t>
  </si>
  <si>
    <t>DLX</t>
  </si>
  <si>
    <t>Deluxe Corporation</t>
  </si>
  <si>
    <t>$3.46B</t>
  </si>
  <si>
    <t>Vanni</t>
  </si>
  <si>
    <t>111.214.149.226</t>
  </si>
  <si>
    <t>150.237.40.87</t>
  </si>
  <si>
    <t>CHH</t>
  </si>
  <si>
    <t>Choice Hotels International, Inc.</t>
  </si>
  <si>
    <t>$3.75B</t>
  </si>
  <si>
    <t>Olimpia</t>
  </si>
  <si>
    <t>Thake</t>
  </si>
  <si>
    <t>27.97.216.82</t>
  </si>
  <si>
    <t>238.101.221.0</t>
  </si>
  <si>
    <t>AI</t>
  </si>
  <si>
    <t>$352.64M</t>
  </si>
  <si>
    <t>Dag</t>
  </si>
  <si>
    <t>Patkin</t>
  </si>
  <si>
    <t>207.15.204.152</t>
  </si>
  <si>
    <t>18.34.14.57</t>
  </si>
  <si>
    <t>AKRX</t>
  </si>
  <si>
    <t>Akorn, Inc.</t>
  </si>
  <si>
    <t>Rosalinde</t>
  </si>
  <si>
    <t>Lant</t>
  </si>
  <si>
    <t>125.185.101.157</t>
  </si>
  <si>
    <t>137.144.59.14</t>
  </si>
  <si>
    <t>NSR</t>
  </si>
  <si>
    <t>Neustar, Inc.</t>
  </si>
  <si>
    <t>$1.87B</t>
  </si>
  <si>
    <t>Bren</t>
  </si>
  <si>
    <t>Comberbeach</t>
  </si>
  <si>
    <t>206.214.80.17</t>
  </si>
  <si>
    <t>27.54.8.180</t>
  </si>
  <si>
    <t>CIO^A</t>
  </si>
  <si>
    <t>City Office REIT, Inc.</t>
  </si>
  <si>
    <t>Malissa</t>
  </si>
  <si>
    <t>Coddrington</t>
  </si>
  <si>
    <t>24.73.45.60</t>
  </si>
  <si>
    <t>189.46.117.138</t>
  </si>
  <si>
    <t>VEC</t>
  </si>
  <si>
    <t>Vectrus, Inc.</t>
  </si>
  <si>
    <t>$340.82M</t>
  </si>
  <si>
    <t>Stephanus</t>
  </si>
  <si>
    <t>Mandel</t>
  </si>
  <si>
    <t>255.121.62.120</t>
  </si>
  <si>
    <t>114.90.204.112</t>
  </si>
  <si>
    <t>SFR</t>
  </si>
  <si>
    <t>Colony Starwood Homes</t>
  </si>
  <si>
    <t>$4.37B</t>
  </si>
  <si>
    <t>Perotti</t>
  </si>
  <si>
    <t>128.148.16.190</t>
  </si>
  <si>
    <t>23.33.153.225</t>
  </si>
  <si>
    <t>DHXM</t>
  </si>
  <si>
    <t>DHX Media Ltd.</t>
  </si>
  <si>
    <t>$122.51M</t>
  </si>
  <si>
    <t>Charlena</t>
  </si>
  <si>
    <t>McMurty</t>
  </si>
  <si>
    <t>48.5.19.143</t>
  </si>
  <si>
    <t>125.9.70.35</t>
  </si>
  <si>
    <t>GBCI</t>
  </si>
  <si>
    <t>Glacier Bancorp, Inc.</t>
  </si>
  <si>
    <t>$2.8B</t>
  </si>
  <si>
    <t>Isak</t>
  </si>
  <si>
    <t>Slater</t>
  </si>
  <si>
    <t>244.197.173.48</t>
  </si>
  <si>
    <t>178.124.103.75</t>
  </si>
  <si>
    <t>GPC</t>
  </si>
  <si>
    <t>Genuine Parts Company</t>
  </si>
  <si>
    <t>$14.09B</t>
  </si>
  <si>
    <t>Darn</t>
  </si>
  <si>
    <t>Hague</t>
  </si>
  <si>
    <t>186.112.43.66</t>
  </si>
  <si>
    <t>22.154.28.254</t>
  </si>
  <si>
    <t>NAUH</t>
  </si>
  <si>
    <t>National American University Holdings, Inc.</t>
  </si>
  <si>
    <t>$63.95M</t>
  </si>
  <si>
    <t>Bron</t>
  </si>
  <si>
    <t>Wigg</t>
  </si>
  <si>
    <t>24.246.200.217</t>
  </si>
  <si>
    <t>184.179.219.193</t>
  </si>
  <si>
    <t>GTY</t>
  </si>
  <si>
    <t>Getty Realty Corporation</t>
  </si>
  <si>
    <t>$896.38M</t>
  </si>
  <si>
    <t>Hamil</t>
  </si>
  <si>
    <t>Tomsa</t>
  </si>
  <si>
    <t>4.64.123.16</t>
  </si>
  <si>
    <t>166.133.198.57</t>
  </si>
  <si>
    <t>TST</t>
  </si>
  <si>
    <t>TheStreet, Inc.</t>
  </si>
  <si>
    <t>$30.31M</t>
  </si>
  <si>
    <t>Karlie</t>
  </si>
  <si>
    <t>Gostall</t>
  </si>
  <si>
    <t>239.47.228.163</t>
  </si>
  <si>
    <t>134.232.17.92</t>
  </si>
  <si>
    <t>ALL^C</t>
  </si>
  <si>
    <t>Allstate Corporation (The)</t>
  </si>
  <si>
    <t>Fayina</t>
  </si>
  <si>
    <t>Selwin</t>
  </si>
  <si>
    <t>189.199.30.227</t>
  </si>
  <si>
    <t>60.88.87.159</t>
  </si>
  <si>
    <t>RMCF</t>
  </si>
  <si>
    <t>Rocky Mountain Chocolate Factory, Inc.</t>
  </si>
  <si>
    <t>Specialty Foods</t>
  </si>
  <si>
    <t>$68.38M</t>
  </si>
  <si>
    <t>Dufore</t>
  </si>
  <si>
    <t>229.48.198.38</t>
  </si>
  <si>
    <t>245.163.15.20</t>
  </si>
  <si>
    <t>FCPT</t>
  </si>
  <si>
    <t>Four Corners Property Trust, Inc.</t>
  </si>
  <si>
    <t>Shel</t>
  </si>
  <si>
    <t>Kinsman</t>
  </si>
  <si>
    <t>97.25.247.77</t>
  </si>
  <si>
    <t>232.137.30.147</t>
  </si>
  <si>
    <t>TEVA</t>
  </si>
  <si>
    <t>Teva Pharmaceutical Industries Limited</t>
  </si>
  <si>
    <t>$31.41B</t>
  </si>
  <si>
    <t>Tad</t>
  </si>
  <si>
    <t>Fransemai</t>
  </si>
  <si>
    <t>112.18.3.214</t>
  </si>
  <si>
    <t>89.96.75.57</t>
  </si>
  <si>
    <t>TREX</t>
  </si>
  <si>
    <t>Trex Company, Inc.</t>
  </si>
  <si>
    <t>$1.99B</t>
  </si>
  <si>
    <t>Yale</t>
  </si>
  <si>
    <t>Wynch</t>
  </si>
  <si>
    <t>1.38.115.231</t>
  </si>
  <si>
    <t>154.79.47.171</t>
  </si>
  <si>
    <t>Bunni</t>
  </si>
  <si>
    <t>Pogg</t>
  </si>
  <si>
    <t>177.232.102.242</t>
  </si>
  <si>
    <t>33.194.142.157</t>
  </si>
  <si>
    <t>SHLX</t>
  </si>
  <si>
    <t>Shell Midstream Partners, L.P.</t>
  </si>
  <si>
    <t>$5.1B</t>
  </si>
  <si>
    <t>Samett</t>
  </si>
  <si>
    <t>155.246.81.87</t>
  </si>
  <si>
    <t>198.107.118.125</t>
  </si>
  <si>
    <t>AF</t>
  </si>
  <si>
    <t>Astoria Financial Corporation</t>
  </si>
  <si>
    <t>Kenn</t>
  </si>
  <si>
    <t>Camelin</t>
  </si>
  <si>
    <t>132.136.201.50</t>
  </si>
  <si>
    <t>96.25.213.142</t>
  </si>
  <si>
    <t>TGA</t>
  </si>
  <si>
    <t>Transglobe Energy Corp</t>
  </si>
  <si>
    <t>Clywd</t>
  </si>
  <si>
    <t>Rosenzwig</t>
  </si>
  <si>
    <t>169.136.245.101</t>
  </si>
  <si>
    <t>120.39.231.138</t>
  </si>
  <si>
    <t>WRB^D</t>
  </si>
  <si>
    <t>Nanine</t>
  </si>
  <si>
    <t>Oherlihy</t>
  </si>
  <si>
    <t>27.156.52.31</t>
  </si>
  <si>
    <t>118.210.27.199</t>
  </si>
  <si>
    <t>CIR</t>
  </si>
  <si>
    <t>CIRCOR International, Inc.</t>
  </si>
  <si>
    <t>$1.08B</t>
  </si>
  <si>
    <t>Jacobo</t>
  </si>
  <si>
    <t>Donalson</t>
  </si>
  <si>
    <t>134.129.255.243</t>
  </si>
  <si>
    <t>169.161.202.205</t>
  </si>
  <si>
    <t>TGNA</t>
  </si>
  <si>
    <t>TEGNA Inc.</t>
  </si>
  <si>
    <t>$3.26B</t>
  </si>
  <si>
    <t>Ariella</t>
  </si>
  <si>
    <t>Beed</t>
  </si>
  <si>
    <t>186.150.169.98</t>
  </si>
  <si>
    <t>33.196.4.118</t>
  </si>
  <si>
    <t>DEPO</t>
  </si>
  <si>
    <t>Depomed, Inc.</t>
  </si>
  <si>
    <t>$592.24M</t>
  </si>
  <si>
    <t>Ebenezer</t>
  </si>
  <si>
    <t>Durtnel</t>
  </si>
  <si>
    <t>109.161.140.9</t>
  </si>
  <si>
    <t>100.255.135.57</t>
  </si>
  <si>
    <t>KLAC</t>
  </si>
  <si>
    <t>KLA-Tencor Corporation</t>
  </si>
  <si>
    <t>$15.32B</t>
  </si>
  <si>
    <t>Bertrando</t>
  </si>
  <si>
    <t>Spenton</t>
  </si>
  <si>
    <t>89.175.157.188</t>
  </si>
  <si>
    <t>246.189.138.238</t>
  </si>
  <si>
    <t>FMO</t>
  </si>
  <si>
    <t>Fiduciary/Claymore MLP Opportunity Fund</t>
  </si>
  <si>
    <t>$446.85M</t>
  </si>
  <si>
    <t>John</t>
  </si>
  <si>
    <t>Hasser</t>
  </si>
  <si>
    <t>248.150.118.112</t>
  </si>
  <si>
    <t>186.7.197.2</t>
  </si>
  <si>
    <t>BKFS</t>
  </si>
  <si>
    <t>Black Knight Financial Services, Inc.</t>
  </si>
  <si>
    <t>$6.01B</t>
  </si>
  <si>
    <t>Emmerich</t>
  </si>
  <si>
    <t>Scamaden</t>
  </si>
  <si>
    <t>119.149.205.31</t>
  </si>
  <si>
    <t>61.173.80.147</t>
  </si>
  <si>
    <t>TLF</t>
  </si>
  <si>
    <t>Tandy Leather Factory, Inc.</t>
  </si>
  <si>
    <t>$76.52M</t>
  </si>
  <si>
    <t>Ruth</t>
  </si>
  <si>
    <t>McGlaughn</t>
  </si>
  <si>
    <t>127.228.33.178</t>
  </si>
  <si>
    <t>187.18.151.15</t>
  </si>
  <si>
    <t>BMY</t>
  </si>
  <si>
    <t>Bristol-Myers Squibb Company</t>
  </si>
  <si>
    <t>$89.72B</t>
  </si>
  <si>
    <t>Griffy</t>
  </si>
  <si>
    <t>Balentyne</t>
  </si>
  <si>
    <t>241.155.19.148</t>
  </si>
  <si>
    <t>201.169.109.102</t>
  </si>
  <si>
    <t>EXK</t>
  </si>
  <si>
    <t>Endeavour Silver Corporation</t>
  </si>
  <si>
    <t>$370.33M</t>
  </si>
  <si>
    <t>Meara</t>
  </si>
  <si>
    <t>Learmount</t>
  </si>
  <si>
    <t>176.104.2.0</t>
  </si>
  <si>
    <t>197.208.205.3</t>
  </si>
  <si>
    <t>AEMD</t>
  </si>
  <si>
    <t>Aethlon Medical, Inc.</t>
  </si>
  <si>
    <t>$18.56M</t>
  </si>
  <si>
    <t>Wallas</t>
  </si>
  <si>
    <t>Kembery</t>
  </si>
  <si>
    <t>9.240.108.151</t>
  </si>
  <si>
    <t>82.143.49.131</t>
  </si>
  <si>
    <t>FISI</t>
  </si>
  <si>
    <t>Financial Institutions, Inc.</t>
  </si>
  <si>
    <t>$443.54M</t>
  </si>
  <si>
    <t>Licha</t>
  </si>
  <si>
    <t>Lanchester</t>
  </si>
  <si>
    <t>184.146.3.219</t>
  </si>
  <si>
    <t>52.166.101.86</t>
  </si>
  <si>
    <t>Darrigone</t>
  </si>
  <si>
    <t>25.168.140.79</t>
  </si>
  <si>
    <t>102.100.191.211</t>
  </si>
  <si>
    <t>MTW</t>
  </si>
  <si>
    <t>Manitowoc Company, Inc. (The)</t>
  </si>
  <si>
    <t>$836.2M</t>
  </si>
  <si>
    <t>Bendick</t>
  </si>
  <si>
    <t>Szymoni</t>
  </si>
  <si>
    <t>223.255.158.233</t>
  </si>
  <si>
    <t>107.38.42.24</t>
  </si>
  <si>
    <t>KNX</t>
  </si>
  <si>
    <t>Knight Transportation, Inc.</t>
  </si>
  <si>
    <t>$2.86B</t>
  </si>
  <si>
    <t>Omar</t>
  </si>
  <si>
    <t>Mitchinson</t>
  </si>
  <si>
    <t>209.3.206.123</t>
  </si>
  <si>
    <t>87.117.148.97</t>
  </si>
  <si>
    <t>PRFT</t>
  </si>
  <si>
    <t>Perficient, Inc.</t>
  </si>
  <si>
    <t>$612.6M</t>
  </si>
  <si>
    <t>Reynard</t>
  </si>
  <si>
    <t>Imason</t>
  </si>
  <si>
    <t>17.26.254.245</t>
  </si>
  <si>
    <t>116.127.250.48</t>
  </si>
  <si>
    <t>QGEN</t>
  </si>
  <si>
    <t>Qiagen N.V.</t>
  </si>
  <si>
    <t>Vergil</t>
  </si>
  <si>
    <t>Beynkn</t>
  </si>
  <si>
    <t>9.128.109.180</t>
  </si>
  <si>
    <t>144.242.157.55</t>
  </si>
  <si>
    <t>Rock</t>
  </si>
  <si>
    <t>Loges</t>
  </si>
  <si>
    <t>141.103.189.18</t>
  </si>
  <si>
    <t>219.63.175.98</t>
  </si>
  <si>
    <t>GEH</t>
  </si>
  <si>
    <t>General Electric Capital Corporation</t>
  </si>
  <si>
    <t>Marrilee</t>
  </si>
  <si>
    <t>Pietrowicz</t>
  </si>
  <si>
    <t>154.96.116.208</t>
  </si>
  <si>
    <t>159.52.243.116</t>
  </si>
  <si>
    <t>KAACW</t>
  </si>
  <si>
    <t>Kayne Anderson Acquisition Corp.</t>
  </si>
  <si>
    <t>Kale</t>
  </si>
  <si>
    <t>Chatten</t>
  </si>
  <si>
    <t>2.230.59.87</t>
  </si>
  <si>
    <t>160.182.136.87</t>
  </si>
  <si>
    <t>Domeniga</t>
  </si>
  <si>
    <t>Purselow</t>
  </si>
  <si>
    <t>202.124.216.79</t>
  </si>
  <si>
    <t>240.202.223.24</t>
  </si>
  <si>
    <t>RAVN</t>
  </si>
  <si>
    <t>Raven Industries, Inc.</t>
  </si>
  <si>
    <t>$1.26B</t>
  </si>
  <si>
    <t>Neate</t>
  </si>
  <si>
    <t>53.244.209.185</t>
  </si>
  <si>
    <t>18.152.222.234</t>
  </si>
  <si>
    <t>MNP</t>
  </si>
  <si>
    <t>Western Asset Municipal Partners Fund, Inc.</t>
  </si>
  <si>
    <t>$153.37M</t>
  </si>
  <si>
    <t>Wilshire</t>
  </si>
  <si>
    <t>201.83.164.137</t>
  </si>
  <si>
    <t>164.81.178.101</t>
  </si>
  <si>
    <t>FLC</t>
  </si>
  <si>
    <t>Flaherty &amp; Crumrine Total Return Fund Inc</t>
  </si>
  <si>
    <t>$220.5M</t>
  </si>
  <si>
    <t>Eudora</t>
  </si>
  <si>
    <t>Hellyar</t>
  </si>
  <si>
    <t>158.174.188.133</t>
  </si>
  <si>
    <t>192.172.172.242</t>
  </si>
  <si>
    <t>PFM</t>
  </si>
  <si>
    <t>PowerShares Dividend Achievers Portfolio</t>
  </si>
  <si>
    <t>$317.19M</t>
  </si>
  <si>
    <t>Dalis</t>
  </si>
  <si>
    <t>Lofts</t>
  </si>
  <si>
    <t>179.140.209.148</t>
  </si>
  <si>
    <t>14.220.38.32</t>
  </si>
  <si>
    <t>BDE</t>
  </si>
  <si>
    <t>Black Diamond, Inc.</t>
  </si>
  <si>
    <t>Recreational Products/Toys</t>
  </si>
  <si>
    <t>$195.09M</t>
  </si>
  <si>
    <t>Ame</t>
  </si>
  <si>
    <t>Salliss</t>
  </si>
  <si>
    <t>222.215.216.6</t>
  </si>
  <si>
    <t>80.183.209.82</t>
  </si>
  <si>
    <t>EAT</t>
  </si>
  <si>
    <t>Brinker International, Inc.</t>
  </si>
  <si>
    <t>$1.85B</t>
  </si>
  <si>
    <t>Chrystel</t>
  </si>
  <si>
    <t>Grady</t>
  </si>
  <si>
    <t>220.209.112.36</t>
  </si>
  <si>
    <t>164.96.0.139</t>
  </si>
  <si>
    <t>Shellie</t>
  </si>
  <si>
    <t>Banasiak</t>
  </si>
  <si>
    <t>161.99.132.149</t>
  </si>
  <si>
    <t>192.86.51.46</t>
  </si>
  <si>
    <t>PHD</t>
  </si>
  <si>
    <t>Pioneer Floating Rate Trust</t>
  </si>
  <si>
    <t>$293.39M</t>
  </si>
  <si>
    <t>Vyky</t>
  </si>
  <si>
    <t>Hedges</t>
  </si>
  <si>
    <t>232.138.127.72</t>
  </si>
  <si>
    <t>180.172.88.126</t>
  </si>
  <si>
    <t>AQXP</t>
  </si>
  <si>
    <t>Aquinox Pharmaceuticals, Inc.</t>
  </si>
  <si>
    <t>$313.17M</t>
  </si>
  <si>
    <t>Gabrila</t>
  </si>
  <si>
    <t>Berk</t>
  </si>
  <si>
    <t>134.237.41.204</t>
  </si>
  <si>
    <t>204.37.108.94</t>
  </si>
  <si>
    <t>TOWR</t>
  </si>
  <si>
    <t>Tower International, Inc.</t>
  </si>
  <si>
    <t>$446.68M</t>
  </si>
  <si>
    <t>Nap</t>
  </si>
  <si>
    <t>Cargo</t>
  </si>
  <si>
    <t>168.14.91.1</t>
  </si>
  <si>
    <t>6.8.52.187</t>
  </si>
  <si>
    <t>YPF</t>
  </si>
  <si>
    <t>YPF Sociedad Anonima</t>
  </si>
  <si>
    <t>Integrated oil Companies</t>
  </si>
  <si>
    <t>Marius</t>
  </si>
  <si>
    <t>Champ</t>
  </si>
  <si>
    <t>171.31.48.89</t>
  </si>
  <si>
    <t>41.132.117.177</t>
  </si>
  <si>
    <t>Lusa</t>
  </si>
  <si>
    <t>Akett</t>
  </si>
  <si>
    <t>76.115.11.31</t>
  </si>
  <si>
    <t>25.182.79.194</t>
  </si>
  <si>
    <t>ORLY</t>
  </si>
  <si>
    <t>O'Reilly Automotive, Inc.</t>
  </si>
  <si>
    <t>Other Specialty Stores</t>
  </si>
  <si>
    <t>$21.06B</t>
  </si>
  <si>
    <t>Kaspar</t>
  </si>
  <si>
    <t>Ivy</t>
  </si>
  <si>
    <t>72.234.200.12</t>
  </si>
  <si>
    <t>4.120.3.247</t>
  </si>
  <si>
    <t>SHI</t>
  </si>
  <si>
    <t>SINOPEC Shangai Petrochemical Company, Ltd.</t>
  </si>
  <si>
    <t>$5.65B</t>
  </si>
  <si>
    <t>Lynnett</t>
  </si>
  <si>
    <t>Glandon</t>
  </si>
  <si>
    <t>62.61.174.14</t>
  </si>
  <si>
    <t>93.49.218.130</t>
  </si>
  <si>
    <t>GPE^A</t>
  </si>
  <si>
    <t>Georgia Power Company</t>
  </si>
  <si>
    <t>Benny</t>
  </si>
  <si>
    <t>Wintersgill</t>
  </si>
  <si>
    <t>110.61.210.131</t>
  </si>
  <si>
    <t>229.75.189.230</t>
  </si>
  <si>
    <t>CATM</t>
  </si>
  <si>
    <t>Cardtronics plc</t>
  </si>
  <si>
    <t>$1.52B</t>
  </si>
  <si>
    <t>Ruben</t>
  </si>
  <si>
    <t>Berth</t>
  </si>
  <si>
    <t>139.59.76.59</t>
  </si>
  <si>
    <t>106.116.204.5</t>
  </si>
  <si>
    <t>TIL</t>
  </si>
  <si>
    <t>Till Capital Ltd.</t>
  </si>
  <si>
    <t>$13.15M</t>
  </si>
  <si>
    <t>Erhard</t>
  </si>
  <si>
    <t>Siflet</t>
  </si>
  <si>
    <t>204.111.226.82</t>
  </si>
  <si>
    <t>241.158.15.89</t>
  </si>
  <si>
    <t>E</t>
  </si>
  <si>
    <t>ENI S.p.A.</t>
  </si>
  <si>
    <t>$56.64B</t>
  </si>
  <si>
    <t>Cathy</t>
  </si>
  <si>
    <t>Chesser</t>
  </si>
  <si>
    <t>175.149.155.80</t>
  </si>
  <si>
    <t>37.172.107.209</t>
  </si>
  <si>
    <t>Collete</t>
  </si>
  <si>
    <t>Vicker</t>
  </si>
  <si>
    <t>150.74.189.133</t>
  </si>
  <si>
    <t>197.209.92.141</t>
  </si>
  <si>
    <t>ATRO</t>
  </si>
  <si>
    <t>Astronics Corporation</t>
  </si>
  <si>
    <t>$883.27M</t>
  </si>
  <si>
    <t>Celestia</t>
  </si>
  <si>
    <t>Tejada</t>
  </si>
  <si>
    <t>239.150.50.75</t>
  </si>
  <si>
    <t>153.140.124.230</t>
  </si>
  <si>
    <t>ESE</t>
  </si>
  <si>
    <t>ESCO Technologies Inc.</t>
  </si>
  <si>
    <t>$1.54B</t>
  </si>
  <si>
    <t>Renee</t>
  </si>
  <si>
    <t>Gilliard</t>
  </si>
  <si>
    <t>79.46.39.205</t>
  </si>
  <si>
    <t>237.90.64.128</t>
  </si>
  <si>
    <t>JBT</t>
  </si>
  <si>
    <t>John Bean Technologies Corporation</t>
  </si>
  <si>
    <t>$2.89B</t>
  </si>
  <si>
    <t>Kindleside</t>
  </si>
  <si>
    <t>154.170.145.207</t>
  </si>
  <si>
    <t>36.90.122.23</t>
  </si>
  <si>
    <t>AQMS</t>
  </si>
  <si>
    <t>Aqua Metals, Inc.</t>
  </si>
  <si>
    <t>$251.77M</t>
  </si>
  <si>
    <t>Chen</t>
  </si>
  <si>
    <t>Asher</t>
  </si>
  <si>
    <t>216.248.102.91</t>
  </si>
  <si>
    <t>9.83.169.228</t>
  </si>
  <si>
    <t>LDR</t>
  </si>
  <si>
    <t>Landauer, Inc.</t>
  </si>
  <si>
    <t>$513.32M</t>
  </si>
  <si>
    <t>Reg</t>
  </si>
  <si>
    <t>Benedtti</t>
  </si>
  <si>
    <t>209.125.93.49</t>
  </si>
  <si>
    <t>134.105.11.227</t>
  </si>
  <si>
    <t>PPL</t>
  </si>
  <si>
    <t>PPL Corporation</t>
  </si>
  <si>
    <t>$26.98B</t>
  </si>
  <si>
    <t>Germaine</t>
  </si>
  <si>
    <t>Tremolieres</t>
  </si>
  <si>
    <t>138.209.44.233</t>
  </si>
  <si>
    <t>141.163.171.43</t>
  </si>
  <si>
    <t>Julieta</t>
  </si>
  <si>
    <t>Butland</t>
  </si>
  <si>
    <t>53.200.178.39</t>
  </si>
  <si>
    <t>16.168.209.222</t>
  </si>
  <si>
    <t>QSR</t>
  </si>
  <si>
    <t>Restaurant Brands International Inc.</t>
  </si>
  <si>
    <t>$14.34B</t>
  </si>
  <si>
    <t>Grange</t>
  </si>
  <si>
    <t>Dulinty</t>
  </si>
  <si>
    <t>74.246.116.178</t>
  </si>
  <si>
    <t>204.14.52.38</t>
  </si>
  <si>
    <t>ALLY</t>
  </si>
  <si>
    <t>Ally Financial Inc.</t>
  </si>
  <si>
    <t>$9.35B</t>
  </si>
  <si>
    <t>Blackie</t>
  </si>
  <si>
    <t>13.198.75.240</t>
  </si>
  <si>
    <t>191.214.57.110</t>
  </si>
  <si>
    <t>WIX</t>
  </si>
  <si>
    <t>Wix.com Ltd.</t>
  </si>
  <si>
    <t>$3.11B</t>
  </si>
  <si>
    <t>Cayla</t>
  </si>
  <si>
    <t>Prettyjohn</t>
  </si>
  <si>
    <t>255.235.211.226</t>
  </si>
  <si>
    <t>221.162.27.164</t>
  </si>
  <si>
    <t>KALV</t>
  </si>
  <si>
    <t>KalVista Pharmaceuticals, Inc.</t>
  </si>
  <si>
    <t>$73.43M</t>
  </si>
  <si>
    <t>Brownstein</t>
  </si>
  <si>
    <t>156.219.80.63</t>
  </si>
  <si>
    <t>47.123.158.113</t>
  </si>
  <si>
    <t>IVFGC</t>
  </si>
  <si>
    <t>Ivy NextShares</t>
  </si>
  <si>
    <t>Splevings</t>
  </si>
  <si>
    <t>102.142.187.150</t>
  </si>
  <si>
    <t>73.234.240.0</t>
  </si>
  <si>
    <t>HIE</t>
  </si>
  <si>
    <t>Miller/Howard High Income Equity Fund</t>
  </si>
  <si>
    <t>$180.61M</t>
  </si>
  <si>
    <t>Demetra</t>
  </si>
  <si>
    <t>Casley</t>
  </si>
  <si>
    <t>206.244.57.55</t>
  </si>
  <si>
    <t>233.26.79.102</t>
  </si>
  <si>
    <t>PFH</t>
  </si>
  <si>
    <t>Terry</t>
  </si>
  <si>
    <t>MacInerney</t>
  </si>
  <si>
    <t>122.183.90.32</t>
  </si>
  <si>
    <t>115.78.70.169</t>
  </si>
  <si>
    <t>Keir</t>
  </si>
  <si>
    <t>Domm</t>
  </si>
  <si>
    <t>204.113.120.88</t>
  </si>
  <si>
    <t>145.144.151.237</t>
  </si>
  <si>
    <t>IKNX</t>
  </si>
  <si>
    <t>Ikonics Corporation</t>
  </si>
  <si>
    <t>$16.39M</t>
  </si>
  <si>
    <t>Martie</t>
  </si>
  <si>
    <t>Hamelyn</t>
  </si>
  <si>
    <t>106.103.125.51</t>
  </si>
  <si>
    <t>172.248.53.148</t>
  </si>
  <si>
    <t>RMP</t>
  </si>
  <si>
    <t>Rice Midstream Partners LP</t>
  </si>
  <si>
    <t>Kochlin</t>
  </si>
  <si>
    <t>90.252.191.233</t>
  </si>
  <si>
    <t>128.134.49.161</t>
  </si>
  <si>
    <t>HBAN</t>
  </si>
  <si>
    <t>Huntington Bancshares Incorporated</t>
  </si>
  <si>
    <t>$14.37B</t>
  </si>
  <si>
    <t>Koral</t>
  </si>
  <si>
    <t>Iredale</t>
  </si>
  <si>
    <t>203.131.102.148</t>
  </si>
  <si>
    <t>190.29.255.244</t>
  </si>
  <si>
    <t>LEN.B</t>
  </si>
  <si>
    <t>Lennar Corporation</t>
  </si>
  <si>
    <t>Benji</t>
  </si>
  <si>
    <t>Leavold</t>
  </si>
  <si>
    <t>26.51.111.69</t>
  </si>
  <si>
    <t>239.197.57.83</t>
  </si>
  <si>
    <t>AWI</t>
  </si>
  <si>
    <t>Armstrong World Industries Inc</t>
  </si>
  <si>
    <t>$2.35B</t>
  </si>
  <si>
    <t>Rachele</t>
  </si>
  <si>
    <t>Lagadu</t>
  </si>
  <si>
    <t>63.225.207.101</t>
  </si>
  <si>
    <t>83.132.35.12</t>
  </si>
  <si>
    <t>Scott</t>
  </si>
  <si>
    <t>Python</t>
  </si>
  <si>
    <t>130.42.142.22</t>
  </si>
  <si>
    <t>122.46.67.172</t>
  </si>
  <si>
    <t>HGV</t>
  </si>
  <si>
    <t>Hilton Grand Vacations Inc.</t>
  </si>
  <si>
    <t>$3.62B</t>
  </si>
  <si>
    <t>Yousef</t>
  </si>
  <si>
    <t>72.237.100.125</t>
  </si>
  <si>
    <t>38.78.90.150</t>
  </si>
  <si>
    <t>NEO</t>
  </si>
  <si>
    <t>NeoGenomics, Inc.</t>
  </si>
  <si>
    <t>Precision Instruments</t>
  </si>
  <si>
    <t>$650.54M</t>
  </si>
  <si>
    <t>Benedick</t>
  </si>
  <si>
    <t>Chance</t>
  </si>
  <si>
    <t>140.216.189.130</t>
  </si>
  <si>
    <t>157.25.91.76</t>
  </si>
  <si>
    <t>ARGX</t>
  </si>
  <si>
    <t>argenx SE</t>
  </si>
  <si>
    <t>$420.47M</t>
  </si>
  <si>
    <t>Saunderson</t>
  </si>
  <si>
    <t>Mar</t>
  </si>
  <si>
    <t>77.164.215.174</t>
  </si>
  <si>
    <t>220.144.152.102</t>
  </si>
  <si>
    <t>HY</t>
  </si>
  <si>
    <t>Hyster-Yale Materials Handling, Inc.</t>
  </si>
  <si>
    <t>Rudolph</t>
  </si>
  <si>
    <t>Willis</t>
  </si>
  <si>
    <t>166.158.111.103</t>
  </si>
  <si>
    <t>93.144.176.10</t>
  </si>
  <si>
    <t>AWF</t>
  </si>
  <si>
    <t>Alliance World Dollar Government Fund II</t>
  </si>
  <si>
    <t>$1.11B</t>
  </si>
  <si>
    <t>Delphinia</t>
  </si>
  <si>
    <t>Cissen</t>
  </si>
  <si>
    <t>132.119.91.132</t>
  </si>
  <si>
    <t>85.36.109.208</t>
  </si>
  <si>
    <t>WSTL</t>
  </si>
  <si>
    <t>Westell Technologies, Inc.</t>
  </si>
  <si>
    <t>$10.72M</t>
  </si>
  <si>
    <t>Pia</t>
  </si>
  <si>
    <t>Kemetz</t>
  </si>
  <si>
    <t>74.108.150.234</t>
  </si>
  <si>
    <t>59.217.38.255</t>
  </si>
  <si>
    <t>HTH</t>
  </si>
  <si>
    <t>Hilltop Holdings Inc.</t>
  </si>
  <si>
    <t>$2.6B</t>
  </si>
  <si>
    <t>Blondy</t>
  </si>
  <si>
    <t>Randalston</t>
  </si>
  <si>
    <t>58.183.199.12</t>
  </si>
  <si>
    <t>202.151.73.238</t>
  </si>
  <si>
    <t>GNCA</t>
  </si>
  <si>
    <t>Genocea Biosciences, Inc.</t>
  </si>
  <si>
    <t>$155.64M</t>
  </si>
  <si>
    <t>Valida</t>
  </si>
  <si>
    <t>Bernli</t>
  </si>
  <si>
    <t>222.243.229.195</t>
  </si>
  <si>
    <t>88.187.124.74</t>
  </si>
  <si>
    <t>BST</t>
  </si>
  <si>
    <t>BlackRock Science and Technology Trust</t>
  </si>
  <si>
    <t>$503.27M</t>
  </si>
  <si>
    <t>Marc</t>
  </si>
  <si>
    <t>Sibley</t>
  </si>
  <si>
    <t>25.79.223.38</t>
  </si>
  <si>
    <t>89.232.154.10</t>
  </si>
  <si>
    <t>TTC</t>
  </si>
  <si>
    <t>Toro Company (The)</t>
  </si>
  <si>
    <t>Tools/Hardware</t>
  </si>
  <si>
    <t>$7.81B</t>
  </si>
  <si>
    <t>Ad</t>
  </si>
  <si>
    <t>Papierz</t>
  </si>
  <si>
    <t>80.168.213.128</t>
  </si>
  <si>
    <t>42.188.39.125</t>
  </si>
  <si>
    <t>CTXS</t>
  </si>
  <si>
    <t>Citrix Systems, Inc.</t>
  </si>
  <si>
    <t>$12.08B</t>
  </si>
  <si>
    <t>Dore</t>
  </si>
  <si>
    <t>Aronstam</t>
  </si>
  <si>
    <t>74.201.119.170</t>
  </si>
  <si>
    <t>234.85.225.106</t>
  </si>
  <si>
    <t>Ailina</t>
  </si>
  <si>
    <t>Surcombe</t>
  </si>
  <si>
    <t>163.87.12.64</t>
  </si>
  <si>
    <t>79.194.134.176</t>
  </si>
  <si>
    <t>LMIA</t>
  </si>
  <si>
    <t>LMI Aerospace, Inc.</t>
  </si>
  <si>
    <t>$191.03M</t>
  </si>
  <si>
    <t>Pringley</t>
  </si>
  <si>
    <t>30.66.227.251</t>
  </si>
  <si>
    <t>193.83.128.6</t>
  </si>
  <si>
    <t>FBZ</t>
  </si>
  <si>
    <t>First Trust Brazil AlphaDEX Fund</t>
  </si>
  <si>
    <t>$25.39M</t>
  </si>
  <si>
    <t>Skye</t>
  </si>
  <si>
    <t>Hakeworth</t>
  </si>
  <si>
    <t>77.191.209.182</t>
  </si>
  <si>
    <t>160.189.119.11</t>
  </si>
  <si>
    <t>Marchall</t>
  </si>
  <si>
    <t>Tomlett</t>
  </si>
  <si>
    <t>133.114.63.229</t>
  </si>
  <si>
    <t>26.185.180.64</t>
  </si>
  <si>
    <t>LYV</t>
  </si>
  <si>
    <t>Live Nation Entertainment, Inc.</t>
  </si>
  <si>
    <t>$7.49B</t>
  </si>
  <si>
    <t>Abraham</t>
  </si>
  <si>
    <t>Fackney</t>
  </si>
  <si>
    <t>28.163.234.9</t>
  </si>
  <si>
    <t>74.75.44.46</t>
  </si>
  <si>
    <t>FTW</t>
  </si>
  <si>
    <t>First Trust Taiwan AlphaDEX Fund</t>
  </si>
  <si>
    <t>$3.5M</t>
  </si>
  <si>
    <t>Rickie</t>
  </si>
  <si>
    <t>Sarsons</t>
  </si>
  <si>
    <t>139.14.17.60</t>
  </si>
  <si>
    <t>85.241.20.105</t>
  </si>
  <si>
    <t>TRU</t>
  </si>
  <si>
    <t>TransUnion</t>
  </si>
  <si>
    <t>$7.93B</t>
  </si>
  <si>
    <t>Mirna</t>
  </si>
  <si>
    <t>Howselee</t>
  </si>
  <si>
    <t>58.250.6.88</t>
  </si>
  <si>
    <t>198.222.225.78</t>
  </si>
  <si>
    <t>Cicely</t>
  </si>
  <si>
    <t>Leipold</t>
  </si>
  <si>
    <t>251.153.93.203</t>
  </si>
  <si>
    <t>219.90.188.132</t>
  </si>
  <si>
    <t>ABR^A</t>
  </si>
  <si>
    <t>Arbor Realty Trust</t>
  </si>
  <si>
    <t>Maren</t>
  </si>
  <si>
    <t>Knivett</t>
  </si>
  <si>
    <t>110.141.136.17</t>
  </si>
  <si>
    <t>73.108.160.48</t>
  </si>
  <si>
    <t>NDLS</t>
  </si>
  <si>
    <t>Noodles &amp; Company</t>
  </si>
  <si>
    <t>$154.07M</t>
  </si>
  <si>
    <t>Swash</t>
  </si>
  <si>
    <t>97.85.174.7</t>
  </si>
  <si>
    <t>112.59.254.11</t>
  </si>
  <si>
    <t>COWN</t>
  </si>
  <si>
    <t>Cowen Inc.</t>
  </si>
  <si>
    <t>$475.98M</t>
  </si>
  <si>
    <t>Madelon</t>
  </si>
  <si>
    <t>McGahy</t>
  </si>
  <si>
    <t>45.26.135.131</t>
  </si>
  <si>
    <t>136.91.227.219</t>
  </si>
  <si>
    <t>PSTI</t>
  </si>
  <si>
    <t>Pluristem Therapeutics, Inc.</t>
  </si>
  <si>
    <t>$121.38M</t>
  </si>
  <si>
    <t>Kiellor</t>
  </si>
  <si>
    <t>208.245.178.36</t>
  </si>
  <si>
    <t>164.67.195.204</t>
  </si>
  <si>
    <t>TSLA</t>
  </si>
  <si>
    <t xml:space="preserve">Tesla, Inc. </t>
  </si>
  <si>
    <t>$61.01B</t>
  </si>
  <si>
    <t>Erick</t>
  </si>
  <si>
    <t>Dillinton</t>
  </si>
  <si>
    <t>163.128.50.233</t>
  </si>
  <si>
    <t>116.127.203.184</t>
  </si>
  <si>
    <t>TTP</t>
  </si>
  <si>
    <t>Tortoise Pipeline &amp; Energy Fund, Inc.</t>
  </si>
  <si>
    <t>$186.31M</t>
  </si>
  <si>
    <t>Osborn</t>
  </si>
  <si>
    <t>Boyack</t>
  </si>
  <si>
    <t>194.126.157.13</t>
  </si>
  <si>
    <t>184.58.2.239</t>
  </si>
  <si>
    <t>KAP</t>
  </si>
  <si>
    <t>KCAP Financial, Inc.</t>
  </si>
  <si>
    <t>Reynold</t>
  </si>
  <si>
    <t>Paddick</t>
  </si>
  <si>
    <t>132.25.72.155</t>
  </si>
  <si>
    <t>126.42.231.15</t>
  </si>
  <si>
    <t>RKDA</t>
  </si>
  <si>
    <t>Arcadia Biosciences, Inc.</t>
  </si>
  <si>
    <t>$26.03M</t>
  </si>
  <si>
    <t>Nedda</t>
  </si>
  <si>
    <t>Sleight</t>
  </si>
  <si>
    <t>12.12.201.125</t>
  </si>
  <si>
    <t>68.134.175.204</t>
  </si>
  <si>
    <t>Ettie</t>
  </si>
  <si>
    <t>Callery</t>
  </si>
  <si>
    <t>207.244.20.58</t>
  </si>
  <si>
    <t>27.91.112.152</t>
  </si>
  <si>
    <t>STAG^C</t>
  </si>
  <si>
    <t>Jemima</t>
  </si>
  <si>
    <t>Cortese</t>
  </si>
  <si>
    <t>87.18.165.172</t>
  </si>
  <si>
    <t>75.77.219.169</t>
  </si>
  <si>
    <t>RBCAA</t>
  </si>
  <si>
    <t>Republic Bancorp, Inc.</t>
  </si>
  <si>
    <t>$747.14M</t>
  </si>
  <si>
    <t>Camila</t>
  </si>
  <si>
    <t>Lambden</t>
  </si>
  <si>
    <t>28.202.175.91</t>
  </si>
  <si>
    <t>220.174.39.113</t>
  </si>
  <si>
    <t>Andre</t>
  </si>
  <si>
    <t>Blackwood</t>
  </si>
  <si>
    <t>116.105.217.228</t>
  </si>
  <si>
    <t>94.103.15.163</t>
  </si>
  <si>
    <t>AVX</t>
  </si>
  <si>
    <t>AVX Corporation</t>
  </si>
  <si>
    <t>$2.71B</t>
  </si>
  <si>
    <t>Regen</t>
  </si>
  <si>
    <t>Stocken</t>
  </si>
  <si>
    <t>163.181.29.112</t>
  </si>
  <si>
    <t>238.157.121.192</t>
  </si>
  <si>
    <t>OASM</t>
  </si>
  <si>
    <t>Oasmia Pharmaceutical AB</t>
  </si>
  <si>
    <t>$38.24M</t>
  </si>
  <si>
    <t>Marris</t>
  </si>
  <si>
    <t>Cannavan</t>
  </si>
  <si>
    <t>73.82.57.208</t>
  </si>
  <si>
    <t>179.35.171.170</t>
  </si>
  <si>
    <t>FLIR</t>
  </si>
  <si>
    <t>FLIR Systems, Inc.</t>
  </si>
  <si>
    <t>$4.84B</t>
  </si>
  <si>
    <t>Maxy</t>
  </si>
  <si>
    <t>Wilber</t>
  </si>
  <si>
    <t>201.133.112.155</t>
  </si>
  <si>
    <t>65.242.95.212</t>
  </si>
  <si>
    <t>QCLN</t>
  </si>
  <si>
    <t>First Trust NASDAQ Clean Edge Green Energy Index Fund</t>
  </si>
  <si>
    <t>$61.17M</t>
  </si>
  <si>
    <t>Gussy</t>
  </si>
  <si>
    <t>Raitt</t>
  </si>
  <si>
    <t>129.113.107.2</t>
  </si>
  <si>
    <t>73.157.121.144</t>
  </si>
  <si>
    <t>VRML</t>
  </si>
  <si>
    <t>Vermillion, Inc.</t>
  </si>
  <si>
    <t>$95.91M</t>
  </si>
  <si>
    <t>Dean</t>
  </si>
  <si>
    <t>Boshere</t>
  </si>
  <si>
    <t>201.213.145.3</t>
  </si>
  <si>
    <t>104.108.24.237</t>
  </si>
  <si>
    <t>Winny</t>
  </si>
  <si>
    <t>Airds</t>
  </si>
  <si>
    <t>34.177.28.219</t>
  </si>
  <si>
    <t>98.201.84.97</t>
  </si>
  <si>
    <t>CEVA</t>
  </si>
  <si>
    <t>CEVA, Inc.</t>
  </si>
  <si>
    <t>$979.59M</t>
  </si>
  <si>
    <t>Phaedra</t>
  </si>
  <si>
    <t>Elion</t>
  </si>
  <si>
    <t>189.229.34.108</t>
  </si>
  <si>
    <t>239.171.114.31</t>
  </si>
  <si>
    <t>KIM</t>
  </si>
  <si>
    <t>Kimco Realty Corporation</t>
  </si>
  <si>
    <t>$7.87B</t>
  </si>
  <si>
    <t>Bronnie</t>
  </si>
  <si>
    <t>Yewman</t>
  </si>
  <si>
    <t>7.96.215.78</t>
  </si>
  <si>
    <t>149.14.159.194</t>
  </si>
  <si>
    <t>FTXL</t>
  </si>
  <si>
    <t>First Trust Nasdaq Semiconductor ETF</t>
  </si>
  <si>
    <t>$21.58M</t>
  </si>
  <si>
    <t>Burt</t>
  </si>
  <si>
    <t>Brimblecomb</t>
  </si>
  <si>
    <t>202.245.142.53</t>
  </si>
  <si>
    <t>29.143.9.101</t>
  </si>
  <si>
    <t>CIVB</t>
  </si>
  <si>
    <t xml:space="preserve">Civista Bancshares, Inc. </t>
  </si>
  <si>
    <t>$204.1M</t>
  </si>
  <si>
    <t>Ardeen</t>
  </si>
  <si>
    <t>Antosch</t>
  </si>
  <si>
    <t>134.19.55.83</t>
  </si>
  <si>
    <t>191.104.169.209</t>
  </si>
  <si>
    <t>GM</t>
  </si>
  <si>
    <t>General Motors Company</t>
  </si>
  <si>
    <t>$51.8B</t>
  </si>
  <si>
    <t>Lindi</t>
  </si>
  <si>
    <t>Cottu</t>
  </si>
  <si>
    <t>84.187.7.127</t>
  </si>
  <si>
    <t>220.64.64.47</t>
  </si>
  <si>
    <t>AUDC</t>
  </si>
  <si>
    <t>AudioCodes Ltd.</t>
  </si>
  <si>
    <t>$203.22M</t>
  </si>
  <si>
    <t>Tull</t>
  </si>
  <si>
    <t>Thompkins</t>
  </si>
  <si>
    <t>191.11.211.234</t>
  </si>
  <si>
    <t>206.74.114.222</t>
  </si>
  <si>
    <t>FDUS</t>
  </si>
  <si>
    <t>Fidus Investment Corporation</t>
  </si>
  <si>
    <t>$383.58M</t>
  </si>
  <si>
    <t>Sherri</t>
  </si>
  <si>
    <t>Boykett</t>
  </si>
  <si>
    <t>116.34.69.90</t>
  </si>
  <si>
    <t>118.251.180.153</t>
  </si>
  <si>
    <t>BNTCW</t>
  </si>
  <si>
    <t>Benitec Biopharma Limited</t>
  </si>
  <si>
    <t>Jacqueline</t>
  </si>
  <si>
    <t>Ricci</t>
  </si>
  <si>
    <t>55.162.243.51</t>
  </si>
  <si>
    <t>213.195.112.95</t>
  </si>
  <si>
    <t>XLNX</t>
  </si>
  <si>
    <t>Xilinx, Inc.</t>
  </si>
  <si>
    <t>$16.06B</t>
  </si>
  <si>
    <t>Addicott</t>
  </si>
  <si>
    <t>52.111.161.150</t>
  </si>
  <si>
    <t>188.245.123.206</t>
  </si>
  <si>
    <t>CHA</t>
  </si>
  <si>
    <t>China Telecom Corp Ltd</t>
  </si>
  <si>
    <t>$39.48B</t>
  </si>
  <si>
    <t>Corly</t>
  </si>
  <si>
    <t>Sonnenschein</t>
  </si>
  <si>
    <t>223.101.60.194</t>
  </si>
  <si>
    <t>124.180.231.74</t>
  </si>
  <si>
    <t>GSOL</t>
  </si>
  <si>
    <t>Global Sources Ltd.</t>
  </si>
  <si>
    <t>$488.08M</t>
  </si>
  <si>
    <t>Norbie</t>
  </si>
  <si>
    <t>Charville</t>
  </si>
  <si>
    <t>9.54.97.117</t>
  </si>
  <si>
    <t>46.147.204.54</t>
  </si>
  <si>
    <t>VLY</t>
  </si>
  <si>
    <t>Valley National Bancorp</t>
  </si>
  <si>
    <t>Missie</t>
  </si>
  <si>
    <t>Bonhan</t>
  </si>
  <si>
    <t>45.88.160.157</t>
  </si>
  <si>
    <t>77.147.97.151</t>
  </si>
  <si>
    <t>ETW</t>
  </si>
  <si>
    <t>Eaton Vance Corporation</t>
  </si>
  <si>
    <t>Francklin</t>
  </si>
  <si>
    <t>Hoy</t>
  </si>
  <si>
    <t>208.42.167.51</t>
  </si>
  <si>
    <t>108.81.141.0</t>
  </si>
  <si>
    <t>SGF</t>
  </si>
  <si>
    <t>Aberdeen Singapore Fund, Inc.</t>
  </si>
  <si>
    <t>$84.33M</t>
  </si>
  <si>
    <t>Augy</t>
  </si>
  <si>
    <t>Kidney</t>
  </si>
  <si>
    <t>162.117.96.145</t>
  </si>
  <si>
    <t>34.41.78.255</t>
  </si>
  <si>
    <t>CORE</t>
  </si>
  <si>
    <t>Core-Mark Holding Company, Inc.</t>
  </si>
  <si>
    <t>Dasha</t>
  </si>
  <si>
    <t>Breming</t>
  </si>
  <si>
    <t>209.204.135.249</t>
  </si>
  <si>
    <t>93.38.228.80</t>
  </si>
  <si>
    <t>WLK</t>
  </si>
  <si>
    <t>Westlake Chemical Corporation</t>
  </si>
  <si>
    <t>$8.21B</t>
  </si>
  <si>
    <t>Meaghan</t>
  </si>
  <si>
    <t>Bunston</t>
  </si>
  <si>
    <t>154.186.232.11</t>
  </si>
  <si>
    <t>99.118.142.238</t>
  </si>
  <si>
    <t>MAUI</t>
  </si>
  <si>
    <t>AdvisorShares Market Adaptive Unconstrained Income ETF</t>
  </si>
  <si>
    <t>$1.23M</t>
  </si>
  <si>
    <t>Lars</t>
  </si>
  <si>
    <t>Phettis</t>
  </si>
  <si>
    <t>147.112.108.162</t>
  </si>
  <si>
    <t>173.52.108.94</t>
  </si>
  <si>
    <t>Augustine</t>
  </si>
  <si>
    <t>Bigly</t>
  </si>
  <si>
    <t>74.20.39.147</t>
  </si>
  <si>
    <t>111.144.170.230</t>
  </si>
  <si>
    <t>NRT</t>
  </si>
  <si>
    <t>North European Oil Royality Trust</t>
  </si>
  <si>
    <t>$61.21M</t>
  </si>
  <si>
    <t>Grishakin</t>
  </si>
  <si>
    <t>95.144.153.16</t>
  </si>
  <si>
    <t>21.255.134.157</t>
  </si>
  <si>
    <t>CPSH</t>
  </si>
  <si>
    <t>CPS Technologies Corp.</t>
  </si>
  <si>
    <t>$15.84M</t>
  </si>
  <si>
    <t>Denny</t>
  </si>
  <si>
    <t>Dominetti</t>
  </si>
  <si>
    <t>117.201.173.8</t>
  </si>
  <si>
    <t>158.204.14.68</t>
  </si>
  <si>
    <t>WAIR</t>
  </si>
  <si>
    <t>Wesco Aircraft Holdings, Inc.</t>
  </si>
  <si>
    <t>Wholesale Distributors</t>
  </si>
  <si>
    <t>$1B</t>
  </si>
  <si>
    <t>Rawley</t>
  </si>
  <si>
    <t>Tribe</t>
  </si>
  <si>
    <t>37.26.36.237</t>
  </si>
  <si>
    <t>145.50.87.192</t>
  </si>
  <si>
    <t>Kristian</t>
  </si>
  <si>
    <t>Antoszewski</t>
  </si>
  <si>
    <t>118.36.167.126</t>
  </si>
  <si>
    <t>162.104.164.247</t>
  </si>
  <si>
    <t>CLNE</t>
  </si>
  <si>
    <t>Clean Energy Fuels Corp.</t>
  </si>
  <si>
    <t>$380.76M</t>
  </si>
  <si>
    <t>Philbert</t>
  </si>
  <si>
    <t>Faughey</t>
  </si>
  <si>
    <t>196.23.229.59</t>
  </si>
  <si>
    <t>170.97.97.41</t>
  </si>
  <si>
    <t>Mord</t>
  </si>
  <si>
    <t>Kretchmer</t>
  </si>
  <si>
    <t>79.1.114.130</t>
  </si>
  <si>
    <t>98.46.71.129</t>
  </si>
  <si>
    <t>BF.A</t>
  </si>
  <si>
    <t>Brown Forman Corporation</t>
  </si>
  <si>
    <t>Agnese</t>
  </si>
  <si>
    <t>Legister</t>
  </si>
  <si>
    <t>91.2.134.200</t>
  </si>
  <si>
    <t>160.106.30.23</t>
  </si>
  <si>
    <t>PPSI</t>
  </si>
  <si>
    <t>Pioneer Power Solutions, Inc.</t>
  </si>
  <si>
    <t>$56.68M</t>
  </si>
  <si>
    <t>Shanna</t>
  </si>
  <si>
    <t>Room</t>
  </si>
  <si>
    <t>97.210.252.236</t>
  </si>
  <si>
    <t>91.74.137.67</t>
  </si>
  <si>
    <t>NH</t>
  </si>
  <si>
    <t>NantHealth, Inc.</t>
  </si>
  <si>
    <t>$434.35M</t>
  </si>
  <si>
    <t>Darbie</t>
  </si>
  <si>
    <t>Figin</t>
  </si>
  <si>
    <t>101.255.106.244</t>
  </si>
  <si>
    <t>11.201.17.171</t>
  </si>
  <si>
    <t>TRCO</t>
  </si>
  <si>
    <t>Tribune Media Company</t>
  </si>
  <si>
    <t>$3.57B</t>
  </si>
  <si>
    <t>Karlens</t>
  </si>
  <si>
    <t>Duckers</t>
  </si>
  <si>
    <t>145.31.9.24</t>
  </si>
  <si>
    <t>173.240.211.24</t>
  </si>
  <si>
    <t>DRAM</t>
  </si>
  <si>
    <t>Dataram Corporation</t>
  </si>
  <si>
    <t>$23.54M</t>
  </si>
  <si>
    <t>Evey</t>
  </si>
  <si>
    <t>Otridge</t>
  </si>
  <si>
    <t>167.138.7.112</t>
  </si>
  <si>
    <t>169.13.65.151</t>
  </si>
  <si>
    <t>LOPE</t>
  </si>
  <si>
    <t>Grand Canyon Education, Inc.</t>
  </si>
  <si>
    <t>Iosep</t>
  </si>
  <si>
    <t>Rumens</t>
  </si>
  <si>
    <t>248.60.71.74</t>
  </si>
  <si>
    <t>47.143.230.75</t>
  </si>
  <si>
    <t>GTT</t>
  </si>
  <si>
    <t>GTT Communications, Inc.</t>
  </si>
  <si>
    <t>Leslie</t>
  </si>
  <si>
    <t>Firidolfi</t>
  </si>
  <si>
    <t>183.100.156.26</t>
  </si>
  <si>
    <t>75.237.181.53</t>
  </si>
  <si>
    <t>AJRD</t>
  </si>
  <si>
    <t xml:space="preserve">Aerojet Rocketdyne Holdings, Inc. </t>
  </si>
  <si>
    <t>$1.55B</t>
  </si>
  <si>
    <t>Hilliard</t>
  </si>
  <si>
    <t>Buxsy</t>
  </si>
  <si>
    <t>213.203.80.200</t>
  </si>
  <si>
    <t>12.149.93.83</t>
  </si>
  <si>
    <t>DGRW</t>
  </si>
  <si>
    <t>WisdomTree U.S. Quality Dividend Growth Fund</t>
  </si>
  <si>
    <t>$1.45B</t>
  </si>
  <si>
    <t>Fanthome</t>
  </si>
  <si>
    <t>101.230.163.5</t>
  </si>
  <si>
    <t>73.248.134.165</t>
  </si>
  <si>
    <t>PLSE</t>
  </si>
  <si>
    <t>Pulse Biosciences, Inc</t>
  </si>
  <si>
    <t>$494.01M</t>
  </si>
  <si>
    <t>Sinclare</t>
  </si>
  <si>
    <t>Meller</t>
  </si>
  <si>
    <t>95.48.39.137</t>
  </si>
  <si>
    <t>74.83.243.130</t>
  </si>
  <si>
    <t>EGN</t>
  </si>
  <si>
    <t>Energen Corporation</t>
  </si>
  <si>
    <t>Johan</t>
  </si>
  <si>
    <t>Zecchi</t>
  </si>
  <si>
    <t>120.84.176.136</t>
  </si>
  <si>
    <t>109.60.76.104</t>
  </si>
  <si>
    <t>LNDC</t>
  </si>
  <si>
    <t>Landec Corporation</t>
  </si>
  <si>
    <t>$390.46M</t>
  </si>
  <si>
    <t>Lockwood</t>
  </si>
  <si>
    <t>Sherebrooke</t>
  </si>
  <si>
    <t>68.188.49.25</t>
  </si>
  <si>
    <t>170.198.133.88</t>
  </si>
  <si>
    <t>AGM^A</t>
  </si>
  <si>
    <t>Federal Agricultural Mortgage Corporation</t>
  </si>
  <si>
    <t>Alasteir</t>
  </si>
  <si>
    <t>Embra</t>
  </si>
  <si>
    <t>69.92.114.43</t>
  </si>
  <si>
    <t>12.161.115.213</t>
  </si>
  <si>
    <t>AIQ</t>
  </si>
  <si>
    <t>Alliance HealthCare Services, Inc.</t>
  </si>
  <si>
    <t>$143.51M</t>
  </si>
  <si>
    <t>Jarad</t>
  </si>
  <si>
    <t>Kippling</t>
  </si>
  <si>
    <t>191.136.126.131</t>
  </si>
  <si>
    <t>190.177.138.202</t>
  </si>
  <si>
    <t>HBP</t>
  </si>
  <si>
    <t>Huttig Building Products, Inc.</t>
  </si>
  <si>
    <t>$177.28M</t>
  </si>
  <si>
    <t>Pountain</t>
  </si>
  <si>
    <t>133.154.240.3</t>
  </si>
  <si>
    <t>26.153.145.12</t>
  </si>
  <si>
    <t>Mellicent</t>
  </si>
  <si>
    <t>Jinkin</t>
  </si>
  <si>
    <t>94.125.233.31</t>
  </si>
  <si>
    <t>82.223.145.122</t>
  </si>
  <si>
    <t>ROG</t>
  </si>
  <si>
    <t>Rogers Corporation</t>
  </si>
  <si>
    <t>Ced</t>
  </si>
  <si>
    <t>Stainton</t>
  </si>
  <si>
    <t>141.55.134.232</t>
  </si>
  <si>
    <t>197.150.137.197</t>
  </si>
  <si>
    <t>CINF</t>
  </si>
  <si>
    <t>Cincinnati Financial Corporation</t>
  </si>
  <si>
    <t>$12.15B</t>
  </si>
  <si>
    <t>Frank</t>
  </si>
  <si>
    <t>Rosellini</t>
  </si>
  <si>
    <t>194.253.89.208</t>
  </si>
  <si>
    <t>246.152.141.217</t>
  </si>
  <si>
    <t>MC</t>
  </si>
  <si>
    <t>Moelis &amp; Company</t>
  </si>
  <si>
    <t>$1.01B</t>
  </si>
  <si>
    <t>Renado</t>
  </si>
  <si>
    <t>Kitchinham</t>
  </si>
  <si>
    <t>193.215.179.21</t>
  </si>
  <si>
    <t>159.126.35.38</t>
  </si>
  <si>
    <t>BANC^E</t>
  </si>
  <si>
    <t>Banc of California, Inc.</t>
  </si>
  <si>
    <t>Ray</t>
  </si>
  <si>
    <t>Sircomb</t>
  </si>
  <si>
    <t>69.221.249.62</t>
  </si>
  <si>
    <t>79.215.99.247</t>
  </si>
  <si>
    <t>TER</t>
  </si>
  <si>
    <t>Teradyne, Inc.</t>
  </si>
  <si>
    <t>Agace</t>
  </si>
  <si>
    <t>McMonnies</t>
  </si>
  <si>
    <t>245.176.228.83</t>
  </si>
  <si>
    <t>175.159.182.26</t>
  </si>
  <si>
    <t>STT^G</t>
  </si>
  <si>
    <t>Netti</t>
  </si>
  <si>
    <t>153.175.174.179</t>
  </si>
  <si>
    <t>122.70.8.193</t>
  </si>
  <si>
    <t>ASA</t>
  </si>
  <si>
    <t>ASA Gold and Precious Metals Limited</t>
  </si>
  <si>
    <t>$222.22M</t>
  </si>
  <si>
    <t>Float</t>
  </si>
  <si>
    <t>53.144.223.30</t>
  </si>
  <si>
    <t>123.183.61.220</t>
  </si>
  <si>
    <t>TROV</t>
  </si>
  <si>
    <t>TrovaGene, Inc.</t>
  </si>
  <si>
    <t>$29.24M</t>
  </si>
  <si>
    <t>Nicolea</t>
  </si>
  <si>
    <t>Ahmed</t>
  </si>
  <si>
    <t>216.127.6.217</t>
  </si>
  <si>
    <t>96.163.66.126</t>
  </si>
  <si>
    <t>ESGE</t>
  </si>
  <si>
    <t>iShares MSCI EM ESG Optimized ETF</t>
  </si>
  <si>
    <t>$54.38M</t>
  </si>
  <si>
    <t>Chrismas</t>
  </si>
  <si>
    <t>239.107.81.46</t>
  </si>
  <si>
    <t>49.110.79.124</t>
  </si>
  <si>
    <t>MSCC</t>
  </si>
  <si>
    <t>Microsemi Corporation</t>
  </si>
  <si>
    <t>$5.55B</t>
  </si>
  <si>
    <t>Tallou</t>
  </si>
  <si>
    <t>Beckmann</t>
  </si>
  <si>
    <t>10.104.1.96</t>
  </si>
  <si>
    <t>85.69.195.243</t>
  </si>
  <si>
    <t>COVS</t>
  </si>
  <si>
    <t>Covisint Corporation</t>
  </si>
  <si>
    <t>$99.1M</t>
  </si>
  <si>
    <t>Putnam</t>
  </si>
  <si>
    <t>Iacovolo</t>
  </si>
  <si>
    <t>126.248.134.144</t>
  </si>
  <si>
    <t>119.13.38.225</t>
  </si>
  <si>
    <t>AAOI</t>
  </si>
  <si>
    <t>Applied Optoelectronics, Inc.</t>
  </si>
  <si>
    <t>$1.19B</t>
  </si>
  <si>
    <t>Ibbie</t>
  </si>
  <si>
    <t>Portchmouth</t>
  </si>
  <si>
    <t>187.107.132.194</t>
  </si>
  <si>
    <t>36.85.221.79</t>
  </si>
  <si>
    <t>PES</t>
  </si>
  <si>
    <t>Pioneer Energy Services Corp.</t>
  </si>
  <si>
    <t>$158.42M</t>
  </si>
  <si>
    <t>Ewart</t>
  </si>
  <si>
    <t>Beverley</t>
  </si>
  <si>
    <t>227.59.223.103</t>
  </si>
  <si>
    <t>192.91.25.102</t>
  </si>
  <si>
    <t>KEP</t>
  </si>
  <si>
    <t>Korea Electric Power Corporation</t>
  </si>
  <si>
    <t>$24.6B</t>
  </si>
  <si>
    <t>Paddie</t>
  </si>
  <si>
    <t>Henriquet</t>
  </si>
  <si>
    <t>6.155.101.92</t>
  </si>
  <si>
    <t>253.210.144.46</t>
  </si>
  <si>
    <t>APTS</t>
  </si>
  <si>
    <t>Preferred Apartment Communities, Inc.</t>
  </si>
  <si>
    <t>$497.06M</t>
  </si>
  <si>
    <t>Piggy</t>
  </si>
  <si>
    <t>Mitcham</t>
  </si>
  <si>
    <t>190.24.38.0</t>
  </si>
  <si>
    <t>70.172.29.181</t>
  </si>
  <si>
    <t>KGC</t>
  </si>
  <si>
    <t>Kinross Gold Corporation</t>
  </si>
  <si>
    <t>Bridal</t>
  </si>
  <si>
    <t>190.204.120.74</t>
  </si>
  <si>
    <t>161.210.45.81</t>
  </si>
  <si>
    <t>WVVI</t>
  </si>
  <si>
    <t>$40.16M</t>
  </si>
  <si>
    <t>Braybrooks</t>
  </si>
  <si>
    <t>165.30.61.17</t>
  </si>
  <si>
    <t>55.171.211.15</t>
  </si>
  <si>
    <t>GOL</t>
  </si>
  <si>
    <t>Gol Linhas Aereas Inteligentes S.A.</t>
  </si>
  <si>
    <t>$6.06B</t>
  </si>
  <si>
    <t>Alyosha</t>
  </si>
  <si>
    <t>McKeney</t>
  </si>
  <si>
    <t>51.158.45.187</t>
  </si>
  <si>
    <t>115.223.249.186</t>
  </si>
  <si>
    <t>ZSAN</t>
  </si>
  <si>
    <t>Zosano Pharma Corporation</t>
  </si>
  <si>
    <t>$52.53M</t>
  </si>
  <si>
    <t>Durand</t>
  </si>
  <si>
    <t>Pionter</t>
  </si>
  <si>
    <t>124.182.51.103</t>
  </si>
  <si>
    <t>162.219.128.145</t>
  </si>
  <si>
    <t>MRIN</t>
  </si>
  <si>
    <t>Marin Software Incorporated</t>
  </si>
  <si>
    <t>$47.31M</t>
  </si>
  <si>
    <t>Eugenio</t>
  </si>
  <si>
    <t>Dorsey</t>
  </si>
  <si>
    <t>34.248.211.195</t>
  </si>
  <si>
    <t>88.32.33.225</t>
  </si>
  <si>
    <t>TSS</t>
  </si>
  <si>
    <t>Total System Services, Inc.</t>
  </si>
  <si>
    <t>$10.85B</t>
  </si>
  <si>
    <t>Caldwell</t>
  </si>
  <si>
    <t>Macrow</t>
  </si>
  <si>
    <t>86.64.99.163</t>
  </si>
  <si>
    <t>84.209.107.231</t>
  </si>
  <si>
    <t>AJG</t>
  </si>
  <si>
    <t>Arthur J. Gallagher &amp; Co.</t>
  </si>
  <si>
    <t>$10.59B</t>
  </si>
  <si>
    <t>Alwyn</t>
  </si>
  <si>
    <t>Merwede</t>
  </si>
  <si>
    <t>49.158.175.22</t>
  </si>
  <si>
    <t>9.190.83.132</t>
  </si>
  <si>
    <t>CBS</t>
  </si>
  <si>
    <t>CBS Corporation</t>
  </si>
  <si>
    <t>$25.26B</t>
  </si>
  <si>
    <t>Halette</t>
  </si>
  <si>
    <t>Clemot</t>
  </si>
  <si>
    <t>176.137.238.77</t>
  </si>
  <si>
    <t>88.218.97.80</t>
  </si>
  <si>
    <t>GRX^A</t>
  </si>
  <si>
    <t>The Gabelli Healthcare &amp; Wellness Trust</t>
  </si>
  <si>
    <t>Ax</t>
  </si>
  <si>
    <t>Junifer</t>
  </si>
  <si>
    <t>93.14.221.162</t>
  </si>
  <si>
    <t>36.73.66.236</t>
  </si>
  <si>
    <t>BBOX</t>
  </si>
  <si>
    <t>Black Box Corporation</t>
  </si>
  <si>
    <t>Computer Communications Equipment</t>
  </si>
  <si>
    <t>$117.47M</t>
  </si>
  <si>
    <t>Dacia</t>
  </si>
  <si>
    <t>MacNair</t>
  </si>
  <si>
    <t>239.226.89.219</t>
  </si>
  <si>
    <t>100.61.143.59</t>
  </si>
  <si>
    <t>WK</t>
  </si>
  <si>
    <t>Workiva Inc.</t>
  </si>
  <si>
    <t>$788.23M</t>
  </si>
  <si>
    <t>Shae</t>
  </si>
  <si>
    <t>Kippie</t>
  </si>
  <si>
    <t>203.243.180.168</t>
  </si>
  <si>
    <t>222.173.30.29</t>
  </si>
  <si>
    <t>SNSS</t>
  </si>
  <si>
    <t>Sunesis Pharmaceuticals, Inc.</t>
  </si>
  <si>
    <t>$59.23M</t>
  </si>
  <si>
    <t>Tome</t>
  </si>
  <si>
    <t>Turban</t>
  </si>
  <si>
    <t>141.30.244.161</t>
  </si>
  <si>
    <t>39.166.58.59</t>
  </si>
  <si>
    <t>Madeline</t>
  </si>
  <si>
    <t>Petroselli</t>
  </si>
  <si>
    <t>142.31.206.50</t>
  </si>
  <si>
    <t>129.214.182.134</t>
  </si>
  <si>
    <t>MUH</t>
  </si>
  <si>
    <t>Blackrock MuniHoldings Fund II, Inc.</t>
  </si>
  <si>
    <t>$180.01M</t>
  </si>
  <si>
    <t>Cissy</t>
  </si>
  <si>
    <t>Bootyman</t>
  </si>
  <si>
    <t>167.48.182.10</t>
  </si>
  <si>
    <t>166.151.60.31</t>
  </si>
  <si>
    <t>STRT</t>
  </si>
  <si>
    <t>Strattec Security Corporation</t>
  </si>
  <si>
    <t>$121.47M</t>
  </si>
  <si>
    <t>Orrin</t>
  </si>
  <si>
    <t>Schule</t>
  </si>
  <si>
    <t>182.125.160.103</t>
  </si>
  <si>
    <t>170.233.200.154</t>
  </si>
  <si>
    <t>Kare</t>
  </si>
  <si>
    <t>Churchley</t>
  </si>
  <si>
    <t>10.223.209.185</t>
  </si>
  <si>
    <t>249.224.210.72</t>
  </si>
  <si>
    <t>GS^A</t>
  </si>
  <si>
    <t>Goldman Sachs Group, Inc. (The)</t>
  </si>
  <si>
    <t>Fina</t>
  </si>
  <si>
    <t>Thowes</t>
  </si>
  <si>
    <t>2.57.202.147</t>
  </si>
  <si>
    <t>164.204.62.6</t>
  </si>
  <si>
    <t>FSBW</t>
  </si>
  <si>
    <t>FS Bancorp, Inc.</t>
  </si>
  <si>
    <t>$139.32M</t>
  </si>
  <si>
    <t>Emmalee</t>
  </si>
  <si>
    <t>Coke</t>
  </si>
  <si>
    <t>192.151.160.114</t>
  </si>
  <si>
    <t>210.255.106.120</t>
  </si>
  <si>
    <t>HMN</t>
  </si>
  <si>
    <t>Horace Mann Educators Corporation</t>
  </si>
  <si>
    <t>Clayton</t>
  </si>
  <si>
    <t>Aaronson</t>
  </si>
  <si>
    <t>162.75.171.122</t>
  </si>
  <si>
    <t>187.83.69.124</t>
  </si>
  <si>
    <t>INSW</t>
  </si>
  <si>
    <t>International Seaways, Inc.</t>
  </si>
  <si>
    <t>$580.97M</t>
  </si>
  <si>
    <t>Terri-jo</t>
  </si>
  <si>
    <t>Orris</t>
  </si>
  <si>
    <t>218.152.170.74</t>
  </si>
  <si>
    <t>189.215.36.229</t>
  </si>
  <si>
    <t>MUA</t>
  </si>
  <si>
    <t>Blackrock MuniAssets Fund, Inc.</t>
  </si>
  <si>
    <t>$529.78M</t>
  </si>
  <si>
    <t>Timothee</t>
  </si>
  <si>
    <t>Bodsworth</t>
  </si>
  <si>
    <t>205.242.26.97</t>
  </si>
  <si>
    <t>114.133.67.177</t>
  </si>
  <si>
    <t>FMCIU</t>
  </si>
  <si>
    <t>Forum Merger Corporation</t>
  </si>
  <si>
    <t>Udell</t>
  </si>
  <si>
    <t>Yokel</t>
  </si>
  <si>
    <t>165.9.148.113</t>
  </si>
  <si>
    <t>70.67.102.15</t>
  </si>
  <si>
    <t>HLT</t>
  </si>
  <si>
    <t>Hilton Worldwide Holdings Inc.</t>
  </si>
  <si>
    <t>$21.7B</t>
  </si>
  <si>
    <t>Zena</t>
  </si>
  <si>
    <t>Garnall</t>
  </si>
  <si>
    <t>172.251.221.72</t>
  </si>
  <si>
    <t>169.122.252.229</t>
  </si>
  <si>
    <t>RIG</t>
  </si>
  <si>
    <t>Transocean Ltd.</t>
  </si>
  <si>
    <t>$3.37B</t>
  </si>
  <si>
    <t>Ezechiel</t>
  </si>
  <si>
    <t>Laker</t>
  </si>
  <si>
    <t>9.211.120.32</t>
  </si>
  <si>
    <t>27.19.77.119</t>
  </si>
  <si>
    <t>BTU</t>
  </si>
  <si>
    <t>Peabody Energy Corporation</t>
  </si>
  <si>
    <t>$2.28B</t>
  </si>
  <si>
    <t>Lesley</t>
  </si>
  <si>
    <t>Danis</t>
  </si>
  <si>
    <t>152.21.129.26</t>
  </si>
  <si>
    <t>132.36.138.32</t>
  </si>
  <si>
    <t>Effie</t>
  </si>
  <si>
    <t>Raddenbury</t>
  </si>
  <si>
    <t>161.114.101.133</t>
  </si>
  <si>
    <t>11.199.45.177</t>
  </si>
  <si>
    <t>Midge</t>
  </si>
  <si>
    <t>Jeeks</t>
  </si>
  <si>
    <t>57.176.107.235</t>
  </si>
  <si>
    <t>155.211.150.165</t>
  </si>
  <si>
    <t>CNX</t>
  </si>
  <si>
    <t>CONSOL Energy Inc.</t>
  </si>
  <si>
    <t>Rhonda</t>
  </si>
  <si>
    <t>Raubenheim</t>
  </si>
  <si>
    <t>187.234.10.107</t>
  </si>
  <si>
    <t>79.97.15.141</t>
  </si>
  <si>
    <t>Neddy</t>
  </si>
  <si>
    <t>Crosswaite</t>
  </si>
  <si>
    <t>213.88.69.79</t>
  </si>
  <si>
    <t>15.154.195.177</t>
  </si>
  <si>
    <t>AFSS</t>
  </si>
  <si>
    <t>AmTrust Financial Services, Inc.</t>
  </si>
  <si>
    <t>Rosella</t>
  </si>
  <si>
    <t>Featherstone</t>
  </si>
  <si>
    <t>108.242.60.231</t>
  </si>
  <si>
    <t>11.119.244.168</t>
  </si>
  <si>
    <t>RH</t>
  </si>
  <si>
    <t>$1.74B</t>
  </si>
  <si>
    <t>Edita</t>
  </si>
  <si>
    <t>Sherrington</t>
  </si>
  <si>
    <t>88.234.240.61</t>
  </si>
  <si>
    <t>41.109.187.144</t>
  </si>
  <si>
    <t>NVGN</t>
  </si>
  <si>
    <t>Novogen Limited</t>
  </si>
  <si>
    <t>$16.59M</t>
  </si>
  <si>
    <t>Shandra</t>
  </si>
  <si>
    <t>Bezley</t>
  </si>
  <si>
    <t>90.103.138.85</t>
  </si>
  <si>
    <t>8.78.36.248</t>
  </si>
  <si>
    <t>PSXP</t>
  </si>
  <si>
    <t>Phillips 66 Partners LP</t>
  </si>
  <si>
    <t>Oran</t>
  </si>
  <si>
    <t>Botly</t>
  </si>
  <si>
    <t>15.190.156.54</t>
  </si>
  <si>
    <t>58.90.36.4</t>
  </si>
  <si>
    <t>WHG</t>
  </si>
  <si>
    <t>Westwood Holdings Group Inc</t>
  </si>
  <si>
    <t>$506.48M</t>
  </si>
  <si>
    <t>Hyman</t>
  </si>
  <si>
    <t>Brockton</t>
  </si>
  <si>
    <t>83.31.56.177</t>
  </si>
  <si>
    <t>176.90.195.74</t>
  </si>
  <si>
    <t>AIRR</t>
  </si>
  <si>
    <t>First Trust RBA American Industrial Renaissance ETF</t>
  </si>
  <si>
    <t>Mabel</t>
  </si>
  <si>
    <t>Hallford</t>
  </si>
  <si>
    <t>174.246.173.174</t>
  </si>
  <si>
    <t>136.220.40.91</t>
  </si>
  <si>
    <t>Dita</t>
  </si>
  <si>
    <t>Stilliard</t>
  </si>
  <si>
    <t>46.92.86.70</t>
  </si>
  <si>
    <t>102.48.193.113</t>
  </si>
  <si>
    <t>Sadye</t>
  </si>
  <si>
    <t>Baulk</t>
  </si>
  <si>
    <t>208.190.12.177</t>
  </si>
  <si>
    <t>220.42.243.151</t>
  </si>
  <si>
    <t>SFUN</t>
  </si>
  <si>
    <t>Fang Holdings Limited</t>
  </si>
  <si>
    <t>Pierce</t>
  </si>
  <si>
    <t>Castro</t>
  </si>
  <si>
    <t>203.173.8.144</t>
  </si>
  <si>
    <t>4.67.8.40</t>
  </si>
  <si>
    <t>PSCH</t>
  </si>
  <si>
    <t>PowerShares S&amp;P SmallCap Health Care Portfolio</t>
  </si>
  <si>
    <t>$211.28M</t>
  </si>
  <si>
    <t>Moss</t>
  </si>
  <si>
    <t>155.203.249.188</t>
  </si>
  <si>
    <t>180.61.88.222</t>
  </si>
  <si>
    <t>HOG</t>
  </si>
  <si>
    <t>Harley-Davidson, Inc.</t>
  </si>
  <si>
    <t>Motor Vehicles</t>
  </si>
  <si>
    <t>$9.71B</t>
  </si>
  <si>
    <t>Merv</t>
  </si>
  <si>
    <t>Rivard</t>
  </si>
  <si>
    <t>241.77.155.66</t>
  </si>
  <si>
    <t>164.235.69.37</t>
  </si>
  <si>
    <t>SMHI</t>
  </si>
  <si>
    <t>SEACOR Marine Holdings Inc.</t>
  </si>
  <si>
    <t>Roldan</t>
  </si>
  <si>
    <t>Brittin</t>
  </si>
  <si>
    <t>67.65.46.85</t>
  </si>
  <si>
    <t>38.247.72.67</t>
  </si>
  <si>
    <t>THLD</t>
  </si>
  <si>
    <t>Threshold Pharmaceuticals, Inc.</t>
  </si>
  <si>
    <t>$27.59M</t>
  </si>
  <si>
    <t>Jessica</t>
  </si>
  <si>
    <t>Pearmine</t>
  </si>
  <si>
    <t>76.235.41.193</t>
  </si>
  <si>
    <t>139.60.213.157</t>
  </si>
  <si>
    <t>WMAR</t>
  </si>
  <si>
    <t>West Marine, Inc.</t>
  </si>
  <si>
    <t>$245.88M</t>
  </si>
  <si>
    <t>Joontjes</t>
  </si>
  <si>
    <t>101.240.247.68</t>
  </si>
  <si>
    <t>96.98.232.42</t>
  </si>
  <si>
    <t>CHFC</t>
  </si>
  <si>
    <t>Chemical Financial Corporation</t>
  </si>
  <si>
    <t>Bertram</t>
  </si>
  <si>
    <t>Sebert</t>
  </si>
  <si>
    <t>59.222.131.19</t>
  </si>
  <si>
    <t>251.26.111.74</t>
  </si>
  <si>
    <t>JYNT</t>
  </si>
  <si>
    <t>The Joint Corp.</t>
  </si>
  <si>
    <t>$48.27M</t>
  </si>
  <si>
    <t>Adolpho</t>
  </si>
  <si>
    <t>Clair</t>
  </si>
  <si>
    <t>109.242.151.114</t>
  </si>
  <si>
    <t>183.101.218.184</t>
  </si>
  <si>
    <t>TJX</t>
  </si>
  <si>
    <t>TJX Companies, Inc. (The)</t>
  </si>
  <si>
    <t>$46.6B</t>
  </si>
  <si>
    <t>Rustin</t>
  </si>
  <si>
    <t>Shera</t>
  </si>
  <si>
    <t>124.12.61.183</t>
  </si>
  <si>
    <t>92.109.181.208</t>
  </si>
  <si>
    <t>IRMD</t>
  </si>
  <si>
    <t>iRadimed Corporation</t>
  </si>
  <si>
    <t>$92.99M</t>
  </si>
  <si>
    <t>Yasmeen</t>
  </si>
  <si>
    <t>Fison</t>
  </si>
  <si>
    <t>115.19.212.141</t>
  </si>
  <si>
    <t>147.250.113.217</t>
  </si>
  <si>
    <t>LSCC</t>
  </si>
  <si>
    <t>Lattice Semiconductor Corporation</t>
  </si>
  <si>
    <t>$814.95M</t>
  </si>
  <si>
    <t>Wini</t>
  </si>
  <si>
    <t>Monni</t>
  </si>
  <si>
    <t>241.39.61.214</t>
  </si>
  <si>
    <t>61.199.90.152</t>
  </si>
  <si>
    <t>KLIC</t>
  </si>
  <si>
    <t>Kulicke and Soffa Industries, Inc.</t>
  </si>
  <si>
    <t>$1.46B</t>
  </si>
  <si>
    <t>Leanna</t>
  </si>
  <si>
    <t>Hanbidge</t>
  </si>
  <si>
    <t>163.58.45.5</t>
  </si>
  <si>
    <t>10.240.79.155</t>
  </si>
  <si>
    <t>MITT</t>
  </si>
  <si>
    <t>AG Mortgage Investment Trust, Inc.</t>
  </si>
  <si>
    <t>$518.09M</t>
  </si>
  <si>
    <t>Ulises</t>
  </si>
  <si>
    <t>Wetwood</t>
  </si>
  <si>
    <t>236.63.147.251</t>
  </si>
  <si>
    <t>107.140.145.205</t>
  </si>
  <si>
    <t>FRAN</t>
  </si>
  <si>
    <t>Francesca's Holdings Corporation</t>
  </si>
  <si>
    <t>$415.04M</t>
  </si>
  <si>
    <t>Caz</t>
  </si>
  <si>
    <t>Siccombe</t>
  </si>
  <si>
    <t>55.160.114.199</t>
  </si>
  <si>
    <t>62.17.43.78</t>
  </si>
  <si>
    <t>SHOS</t>
  </si>
  <si>
    <t>Sears Hometown and Outlet Stores, Inc.</t>
  </si>
  <si>
    <t>$64.7M</t>
  </si>
  <si>
    <t>Szapiro</t>
  </si>
  <si>
    <t>220.255.69.86</t>
  </si>
  <si>
    <t>120.94.161.253</t>
  </si>
  <si>
    <t>USCR</t>
  </si>
  <si>
    <t>U S Concrete, Inc.</t>
  </si>
  <si>
    <t>$1.14B</t>
  </si>
  <si>
    <t>Gabriela</t>
  </si>
  <si>
    <t>Swine</t>
  </si>
  <si>
    <t>52.203.47.184</t>
  </si>
  <si>
    <t>86.158.33.12</t>
  </si>
  <si>
    <t>OXLCN</t>
  </si>
  <si>
    <t>Oxford Lane Capital Corp.</t>
  </si>
  <si>
    <t>$28.04M</t>
  </si>
  <si>
    <t>Ladyman</t>
  </si>
  <si>
    <t>171.168.45.39</t>
  </si>
  <si>
    <t>104.53.244.81</t>
  </si>
  <si>
    <t>SA</t>
  </si>
  <si>
    <t>Seabridge Gold, Inc.</t>
  </si>
  <si>
    <t>$559.33M</t>
  </si>
  <si>
    <t>Meredith</t>
  </si>
  <si>
    <t>Bryer</t>
  </si>
  <si>
    <t>180.200.166.135</t>
  </si>
  <si>
    <t>3.102.128.26</t>
  </si>
  <si>
    <t>NLY^A</t>
  </si>
  <si>
    <t>Ignacio</t>
  </si>
  <si>
    <t>Jendrys</t>
  </si>
  <si>
    <t>254.184.118.95</t>
  </si>
  <si>
    <t>91.45.156.89</t>
  </si>
  <si>
    <t>CASM</t>
  </si>
  <si>
    <t>CAS Medical Systems, Inc.</t>
  </si>
  <si>
    <t>$28.79M</t>
  </si>
  <si>
    <t>Michaeline</t>
  </si>
  <si>
    <t>Floyed</t>
  </si>
  <si>
    <t>156.131.28.235</t>
  </si>
  <si>
    <t>71.13.26.184</t>
  </si>
  <si>
    <t>Curry</t>
  </si>
  <si>
    <t>159.39.109.101</t>
  </si>
  <si>
    <t>240.234.90.242</t>
  </si>
  <si>
    <t>Amara</t>
  </si>
  <si>
    <t>Perche</t>
  </si>
  <si>
    <t>244.23.10.157</t>
  </si>
  <si>
    <t>169.121.171.181</t>
  </si>
  <si>
    <t>KGJI</t>
  </si>
  <si>
    <t>Kingold Jewelry Inc.</t>
  </si>
  <si>
    <t>$127.42M</t>
  </si>
  <si>
    <t>Andrey</t>
  </si>
  <si>
    <t>Caveau</t>
  </si>
  <si>
    <t>129.78.197.235</t>
  </si>
  <si>
    <t>75.122.243.206</t>
  </si>
  <si>
    <t>CTRE</t>
  </si>
  <si>
    <t>CareTrust REIT, Inc.</t>
  </si>
  <si>
    <t>$1.4B</t>
  </si>
  <si>
    <t>Brandice</t>
  </si>
  <si>
    <t>Carrett</t>
  </si>
  <si>
    <t>82.190.52.122</t>
  </si>
  <si>
    <t>207.251.107.50</t>
  </si>
  <si>
    <t>BFAM</t>
  </si>
  <si>
    <t>Bright Horizons Family Solutions Inc.</t>
  </si>
  <si>
    <t>Ashlan</t>
  </si>
  <si>
    <t>Ateridge</t>
  </si>
  <si>
    <t>233.240.209.193</t>
  </si>
  <si>
    <t>152.136.223.187</t>
  </si>
  <si>
    <t>SLMBP</t>
  </si>
  <si>
    <t>SLM Corporation</t>
  </si>
  <si>
    <t>$289.76M</t>
  </si>
  <si>
    <t>Constantina</t>
  </si>
  <si>
    <t>Dillamore</t>
  </si>
  <si>
    <t>128.136.13.128</t>
  </si>
  <si>
    <t>142.101.120.64</t>
  </si>
  <si>
    <t>TSRI</t>
  </si>
  <si>
    <t>TSR, Inc.</t>
  </si>
  <si>
    <t>$10.69M</t>
  </si>
  <si>
    <t>Deanna</t>
  </si>
  <si>
    <t>Verissimo</t>
  </si>
  <si>
    <t>36.17.143.103</t>
  </si>
  <si>
    <t>70.24.47.1</t>
  </si>
  <si>
    <t>COMT</t>
  </si>
  <si>
    <t>iShares Commodities Select Strategy ETF</t>
  </si>
  <si>
    <t>$195.63M</t>
  </si>
  <si>
    <t>Siouxie</t>
  </si>
  <si>
    <t>Ambrogioni</t>
  </si>
  <si>
    <t>97.51.56.154</t>
  </si>
  <si>
    <t>66.39.69.18</t>
  </si>
  <si>
    <t>WPC</t>
  </si>
  <si>
    <t>W.P. Carey Inc.</t>
  </si>
  <si>
    <t>Hayden</t>
  </si>
  <si>
    <t>228.232.143.33</t>
  </si>
  <si>
    <t>133.29.222.235</t>
  </si>
  <si>
    <t>SAN^A</t>
  </si>
  <si>
    <t>Shayne</t>
  </si>
  <si>
    <t>Jiracek</t>
  </si>
  <si>
    <t>229.206.39.75</t>
  </si>
  <si>
    <t>224.1.123.10</t>
  </si>
  <si>
    <t>TCAP</t>
  </si>
  <si>
    <t>$842.05M</t>
  </si>
  <si>
    <t>Longmate</t>
  </si>
  <si>
    <t>29.40.96.4</t>
  </si>
  <si>
    <t>247.59.172.103</t>
  </si>
  <si>
    <t>EXC</t>
  </si>
  <si>
    <t>Exelon Corporation</t>
  </si>
  <si>
    <t>$34.34B</t>
  </si>
  <si>
    <t>William</t>
  </si>
  <si>
    <t>Zottoli</t>
  </si>
  <si>
    <t>188.138.145.196</t>
  </si>
  <si>
    <t>33.77.224.155</t>
  </si>
  <si>
    <t>SBRA</t>
  </si>
  <si>
    <t>Dayle</t>
  </si>
  <si>
    <t>Letford</t>
  </si>
  <si>
    <t>47.35.164.216</t>
  </si>
  <si>
    <t>72.121.107.115</t>
  </si>
  <si>
    <t>Halley</t>
  </si>
  <si>
    <t>Darcey</t>
  </si>
  <si>
    <t>159.254.239.1</t>
  </si>
  <si>
    <t>194.69.191.131</t>
  </si>
  <si>
    <t>CAVM</t>
  </si>
  <si>
    <t>Cavium, Inc.</t>
  </si>
  <si>
    <t>$4.48B</t>
  </si>
  <si>
    <t>Drucy</t>
  </si>
  <si>
    <t>Zuanazzi</t>
  </si>
  <si>
    <t>55.170.40.12</t>
  </si>
  <si>
    <t>225.132.41.215</t>
  </si>
  <si>
    <t>OPTT</t>
  </si>
  <si>
    <t>Ocean Power Technologies, Inc.</t>
  </si>
  <si>
    <t>$16.82M</t>
  </si>
  <si>
    <t>Ansel</t>
  </si>
  <si>
    <t>Castanaga</t>
  </si>
  <si>
    <t>197.114.132.138</t>
  </si>
  <si>
    <t>240.219.49.56</t>
  </si>
  <si>
    <t>DWAT</t>
  </si>
  <si>
    <t>Arrow DWA Tactical ETF</t>
  </si>
  <si>
    <t>$8.67M</t>
  </si>
  <si>
    <t>Kalila</t>
  </si>
  <si>
    <t>204.89.51.253</t>
  </si>
  <si>
    <t>140.111.80.184</t>
  </si>
  <si>
    <t>SSWN</t>
  </si>
  <si>
    <t>Annable</t>
  </si>
  <si>
    <t>245.190.31.120</t>
  </si>
  <si>
    <t>110.154.28.115</t>
  </si>
  <si>
    <t>AFHBL</t>
  </si>
  <si>
    <t>Atlas Financial Holdings, Inc.</t>
  </si>
  <si>
    <t>Darcy</t>
  </si>
  <si>
    <t>Vasyukhnov</t>
  </si>
  <si>
    <t>70.190.47.142</t>
  </si>
  <si>
    <t>237.191.149.171</t>
  </si>
  <si>
    <t>UBNT</t>
  </si>
  <si>
    <t>Ubiquiti Networks, Inc.</t>
  </si>
  <si>
    <t>$3.89B</t>
  </si>
  <si>
    <t>Sawyer</t>
  </si>
  <si>
    <t>Croft</t>
  </si>
  <si>
    <t>178.154.111.185</t>
  </si>
  <si>
    <t>4.83.206.122</t>
  </si>
  <si>
    <t>TARO</t>
  </si>
  <si>
    <t>Taro Pharmaceutical Industries Ltd.</t>
  </si>
  <si>
    <t>$4.57B</t>
  </si>
  <si>
    <t>Hillyer</t>
  </si>
  <si>
    <t>Proudler</t>
  </si>
  <si>
    <t>181.113.133.82</t>
  </si>
  <si>
    <t>219.115.108.176</t>
  </si>
  <si>
    <t>EVN</t>
  </si>
  <si>
    <t>Eaton Vance Municipal Income Trust</t>
  </si>
  <si>
    <t>$308.22M</t>
  </si>
  <si>
    <t>Teri</t>
  </si>
  <si>
    <t>Montes</t>
  </si>
  <si>
    <t>216.236.2.67</t>
  </si>
  <si>
    <t>156.103.59.160</t>
  </si>
  <si>
    <t>BWINB</t>
  </si>
  <si>
    <t>Baldwin &amp; Lyons, Inc.</t>
  </si>
  <si>
    <t>$375.34M</t>
  </si>
  <si>
    <t>Fidela</t>
  </si>
  <si>
    <t>Chasney</t>
  </si>
  <si>
    <t>30.174.228.169</t>
  </si>
  <si>
    <t>242.138.50.56</t>
  </si>
  <si>
    <t>Edwin</t>
  </si>
  <si>
    <t>Ebbings</t>
  </si>
  <si>
    <t>0.26.39.139</t>
  </si>
  <si>
    <t>56.99.46.110</t>
  </si>
  <si>
    <t>ORG</t>
  </si>
  <si>
    <t>The Organics ETF</t>
  </si>
  <si>
    <t>Boyett</t>
  </si>
  <si>
    <t>177.175.125.127</t>
  </si>
  <si>
    <t>67.70.21.249</t>
  </si>
  <si>
    <t>ATSG</t>
  </si>
  <si>
    <t>Air Transport Services Group, Inc</t>
  </si>
  <si>
    <t>Cal</t>
  </si>
  <si>
    <t>Itzcak</t>
  </si>
  <si>
    <t>139.44.141.111</t>
  </si>
  <si>
    <t>156.232.127.130</t>
  </si>
  <si>
    <t>SGMO</t>
  </si>
  <si>
    <t>Sangamo Therapeutics, Inc.</t>
  </si>
  <si>
    <t>$535.95M</t>
  </si>
  <si>
    <t>Melanie</t>
  </si>
  <si>
    <t>Linnit</t>
  </si>
  <si>
    <t>68.187.173.166</t>
  </si>
  <si>
    <t>135.116.40.48</t>
  </si>
  <si>
    <t>OVAS</t>
  </si>
  <si>
    <t>OvaScience Inc.</t>
  </si>
  <si>
    <t>$48.5M</t>
  </si>
  <si>
    <t>Lebbie</t>
  </si>
  <si>
    <t>Ravenscroft</t>
  </si>
  <si>
    <t>28.54.128.120</t>
  </si>
  <si>
    <t>26.8.181.46</t>
  </si>
  <si>
    <t>MPV</t>
  </si>
  <si>
    <t>Barings Participation Investors</t>
  </si>
  <si>
    <t>$146.29M</t>
  </si>
  <si>
    <t>Bing</t>
  </si>
  <si>
    <t>Bonhome</t>
  </si>
  <si>
    <t>247.62.89.244</t>
  </si>
  <si>
    <t>15.182.169.158</t>
  </si>
  <si>
    <t>LYB</t>
  </si>
  <si>
    <t>LyondellBasell Industries NV</t>
  </si>
  <si>
    <t>$32.58B</t>
  </si>
  <si>
    <t>Schulter</t>
  </si>
  <si>
    <t>223.69.203.87</t>
  </si>
  <si>
    <t>218.53.119.200</t>
  </si>
  <si>
    <t>CSB</t>
  </si>
  <si>
    <t>VictoryShares US Small Cap High Div Volatility Wtd ETF</t>
  </si>
  <si>
    <t>Martyn</t>
  </si>
  <si>
    <t>Pardey</t>
  </si>
  <si>
    <t>228.196.240.104</t>
  </si>
  <si>
    <t>97.206.64.163</t>
  </si>
  <si>
    <t>FBP</t>
  </si>
  <si>
    <t>First BanCorp.</t>
  </si>
  <si>
    <t>Jule</t>
  </si>
  <si>
    <t>Coltart</t>
  </si>
  <si>
    <t>78.151.63.70</t>
  </si>
  <si>
    <t>4.110.229.136</t>
  </si>
  <si>
    <t>BPFH</t>
  </si>
  <si>
    <t>Boston Private Financial Holdings, Inc.</t>
  </si>
  <si>
    <t>$1.32B</t>
  </si>
  <si>
    <t>Cello</t>
  </si>
  <si>
    <t>Goodlud</t>
  </si>
  <si>
    <t>125.162.214.57</t>
  </si>
  <si>
    <t>151.134.129.14</t>
  </si>
  <si>
    <t>VEON</t>
  </si>
  <si>
    <t>VEON Ltd.</t>
  </si>
  <si>
    <t>$6.59B</t>
  </si>
  <si>
    <t>Norah</t>
  </si>
  <si>
    <t>Gillian</t>
  </si>
  <si>
    <t>119.192.191.148</t>
  </si>
  <si>
    <t>30.242.19.188</t>
  </si>
  <si>
    <t>Nanny</t>
  </si>
  <si>
    <t>Jellis</t>
  </si>
  <si>
    <t>128.218.162.57</t>
  </si>
  <si>
    <t>176.26.26.24</t>
  </si>
  <si>
    <t>MRVC</t>
  </si>
  <si>
    <t>MRV Communications, Inc.</t>
  </si>
  <si>
    <t>$63.58M</t>
  </si>
  <si>
    <t>Sherry</t>
  </si>
  <si>
    <t>Boothman</t>
  </si>
  <si>
    <t>193.65.255.190</t>
  </si>
  <si>
    <t>254.121.40.36</t>
  </si>
  <si>
    <t>Nickie</t>
  </si>
  <si>
    <t>Jumonet</t>
  </si>
  <si>
    <t>180.164.51.68</t>
  </si>
  <si>
    <t>227.2.225.109</t>
  </si>
  <si>
    <t>Marena</t>
  </si>
  <si>
    <t>Arrighini</t>
  </si>
  <si>
    <t>106.232.166.4</t>
  </si>
  <si>
    <t>124.109.39.75</t>
  </si>
  <si>
    <t>AIMT</t>
  </si>
  <si>
    <t>Aimmune Therapeutics, Inc.</t>
  </si>
  <si>
    <t>$829.14M</t>
  </si>
  <si>
    <t>Ingrim</t>
  </si>
  <si>
    <t>Recher</t>
  </si>
  <si>
    <t>221.77.245.197</t>
  </si>
  <si>
    <t>178.145.203.54</t>
  </si>
  <si>
    <t>KODK.WS.A</t>
  </si>
  <si>
    <t>Pavia</t>
  </si>
  <si>
    <t>Le Teve</t>
  </si>
  <si>
    <t>129.120.8.228</t>
  </si>
  <si>
    <t>241.217.175.166</t>
  </si>
  <si>
    <t>VDTH</t>
  </si>
  <si>
    <t>Videocon d2h Limited</t>
  </si>
  <si>
    <t>Leilah</t>
  </si>
  <si>
    <t>Brisco</t>
  </si>
  <si>
    <t>135.183.11.134</t>
  </si>
  <si>
    <t>212.171.192.52</t>
  </si>
  <si>
    <t>TCCA</t>
  </si>
  <si>
    <t>Gordon</t>
  </si>
  <si>
    <t>Mammatt</t>
  </si>
  <si>
    <t>96.60.57.168</t>
  </si>
  <si>
    <t>235.166.194.4</t>
  </si>
  <si>
    <t>Elyn</t>
  </si>
  <si>
    <t>Kopf</t>
  </si>
  <si>
    <t>131.230.155.250</t>
  </si>
  <si>
    <t>86.169.14.48</t>
  </si>
  <si>
    <t>ENJ</t>
  </si>
  <si>
    <t>Entergy New Orleans, Inc.</t>
  </si>
  <si>
    <t>Bary</t>
  </si>
  <si>
    <t>Cowser</t>
  </si>
  <si>
    <t>43.112.122.13</t>
  </si>
  <si>
    <t>176.241.149.146</t>
  </si>
  <si>
    <t>OTEX</t>
  </si>
  <si>
    <t>Open Text Corporation</t>
  </si>
  <si>
    <t>$8.28B</t>
  </si>
  <si>
    <t>Zannotelli</t>
  </si>
  <si>
    <t>135.54.244.94</t>
  </si>
  <si>
    <t>130.35.199.105</t>
  </si>
  <si>
    <t>OSBC</t>
  </si>
  <si>
    <t>Old Second Bancorp, Inc.</t>
  </si>
  <si>
    <t>$354.97M</t>
  </si>
  <si>
    <t>Aherne</t>
  </si>
  <si>
    <t>116.59.181.109</t>
  </si>
  <si>
    <t>143.112.225.50</t>
  </si>
  <si>
    <t>JHG</t>
  </si>
  <si>
    <t>Janus Henderson Group plc</t>
  </si>
  <si>
    <t>$367.06M</t>
  </si>
  <si>
    <t>Roarke</t>
  </si>
  <si>
    <t>Carvilla</t>
  </si>
  <si>
    <t>225.49.43.254</t>
  </si>
  <si>
    <t>68.242.240.213</t>
  </si>
  <si>
    <t>VNET</t>
  </si>
  <si>
    <t>21Vianet Group, Inc.</t>
  </si>
  <si>
    <t>$617.53M</t>
  </si>
  <si>
    <t>Percy</t>
  </si>
  <si>
    <t>Holberry</t>
  </si>
  <si>
    <t>190.180.143.15</t>
  </si>
  <si>
    <t>128.161.67.29</t>
  </si>
  <si>
    <t>BIOS</t>
  </si>
  <si>
    <t>BioScrip, Inc.</t>
  </si>
  <si>
    <t>$306.09M</t>
  </si>
  <si>
    <t>Veronica</t>
  </si>
  <si>
    <t>Hazelgrove</t>
  </si>
  <si>
    <t>253.23.223.109</t>
  </si>
  <si>
    <t>184.15.152.137</t>
  </si>
  <si>
    <t>HOTR</t>
  </si>
  <si>
    <t>$6.31M</t>
  </si>
  <si>
    <t>Rivalee</t>
  </si>
  <si>
    <t>Twiddle</t>
  </si>
  <si>
    <t>54.225.143.96</t>
  </si>
  <si>
    <t>109.92.101.0</t>
  </si>
  <si>
    <t>Marie</t>
  </si>
  <si>
    <t>Leathwood</t>
  </si>
  <si>
    <t>49.8.102.64</t>
  </si>
  <si>
    <t>169.168.247.193</t>
  </si>
  <si>
    <t>CHT</t>
  </si>
  <si>
    <t>Chunghwa Telecom Co., Ltd.</t>
  </si>
  <si>
    <t>$27.64B</t>
  </si>
  <si>
    <t>Walkley</t>
  </si>
  <si>
    <t>18.147.40.217</t>
  </si>
  <si>
    <t>199.170.129.237</t>
  </si>
  <si>
    <t>PRE^H</t>
  </si>
  <si>
    <t>Morgan</t>
  </si>
  <si>
    <t>Garthside</t>
  </si>
  <si>
    <t>236.180.194.154</t>
  </si>
  <si>
    <t>173.38.180.197</t>
  </si>
  <si>
    <t>AVGR</t>
  </si>
  <si>
    <t>Avinger, Inc.</t>
  </si>
  <si>
    <t>$11.27M</t>
  </si>
  <si>
    <t>Ignace</t>
  </si>
  <si>
    <t>Hembling</t>
  </si>
  <si>
    <t>35.146.196.151</t>
  </si>
  <si>
    <t>230.226.66.241</t>
  </si>
  <si>
    <t>GLADO</t>
  </si>
  <si>
    <t>$56.32M</t>
  </si>
  <si>
    <t>Barnett</t>
  </si>
  <si>
    <t>Kless</t>
  </si>
  <si>
    <t>144.126.149.185</t>
  </si>
  <si>
    <t>219.232.131.205</t>
  </si>
  <si>
    <t>KMI^A</t>
  </si>
  <si>
    <t>Kinder Morgan, Inc.</t>
  </si>
  <si>
    <t>Veradis</t>
  </si>
  <si>
    <t>Hamley</t>
  </si>
  <si>
    <t>170.36.254.122</t>
  </si>
  <si>
    <t>62.162.251.253</t>
  </si>
  <si>
    <t>AES^C.CL</t>
  </si>
  <si>
    <t>The AES Corporation</t>
  </si>
  <si>
    <t>Howse</t>
  </si>
  <si>
    <t>218.158.4.186</t>
  </si>
  <si>
    <t>183.198.183.115</t>
  </si>
  <si>
    <t>CVCO</t>
  </si>
  <si>
    <t>Cavco Industries, Inc.</t>
  </si>
  <si>
    <t>Aldersea</t>
  </si>
  <si>
    <t>252.229.111.191</t>
  </si>
  <si>
    <t>120.8.239.58</t>
  </si>
  <si>
    <t>PCK</t>
  </si>
  <si>
    <t>Pimco California Municipal Income Fund II</t>
  </si>
  <si>
    <t>$324.29M</t>
  </si>
  <si>
    <t>Haleigh</t>
  </si>
  <si>
    <t>de Banke</t>
  </si>
  <si>
    <t>124.75.231.28</t>
  </si>
  <si>
    <t>116.130.149.27</t>
  </si>
  <si>
    <t>Danford</t>
  </si>
  <si>
    <t>105.218.51.29</t>
  </si>
  <si>
    <t>8.118.240.2</t>
  </si>
  <si>
    <t>SPRT</t>
  </si>
  <si>
    <t>support.com, Inc.</t>
  </si>
  <si>
    <t>$45.41M</t>
  </si>
  <si>
    <t>Grenville</t>
  </si>
  <si>
    <t>Petz</t>
  </si>
  <si>
    <t>164.26.88.151</t>
  </si>
  <si>
    <t>97.24.213.94</t>
  </si>
  <si>
    <t>ALL^A</t>
  </si>
  <si>
    <t>Lissy</t>
  </si>
  <si>
    <t>Bonellie</t>
  </si>
  <si>
    <t>190.163.231.236</t>
  </si>
  <si>
    <t>234.49.30.37</t>
  </si>
  <si>
    <t>XRAY</t>
  </si>
  <si>
    <t>DENTSPLY SIRONA Inc.</t>
  </si>
  <si>
    <t>$14.6B</t>
  </si>
  <si>
    <t>Quent</t>
  </si>
  <si>
    <t>Karlolak</t>
  </si>
  <si>
    <t>51.40.153.158</t>
  </si>
  <si>
    <t>249.236.217.247</t>
  </si>
  <si>
    <t>STRL</t>
  </si>
  <si>
    <t>Sterling Construction Company Inc</t>
  </si>
  <si>
    <t>$286.77M</t>
  </si>
  <si>
    <t>Marrian</t>
  </si>
  <si>
    <t>244.39.230.195</t>
  </si>
  <si>
    <t>155.101.146.173</t>
  </si>
  <si>
    <t>CAJ</t>
  </si>
  <si>
    <t>Canon, Inc.</t>
  </si>
  <si>
    <t>$38.48B</t>
  </si>
  <si>
    <t>Phyllys</t>
  </si>
  <si>
    <t>Casiero</t>
  </si>
  <si>
    <t>159.253.151.165</t>
  </si>
  <si>
    <t>112.251.140.138</t>
  </si>
  <si>
    <t>Benjamin</t>
  </si>
  <si>
    <t>104.94.192.178</t>
  </si>
  <si>
    <t>214.166.68.105</t>
  </si>
  <si>
    <t>Jeana</t>
  </si>
  <si>
    <t>Brunsden</t>
  </si>
  <si>
    <t>133.53.20.82</t>
  </si>
  <si>
    <t>244.199.246.153</t>
  </si>
  <si>
    <t>MUC</t>
  </si>
  <si>
    <t>Blackrock MuniHoldings California Quality Fund,  Inc.</t>
  </si>
  <si>
    <t>$594.95M</t>
  </si>
  <si>
    <t>Erika</t>
  </si>
  <si>
    <t>Fullard</t>
  </si>
  <si>
    <t>32.226.223.16</t>
  </si>
  <si>
    <t>62.81.90.7</t>
  </si>
  <si>
    <t>First Name</t>
  </si>
  <si>
    <t>Last Name</t>
  </si>
  <si>
    <t>Gender</t>
  </si>
  <si>
    <t>Id</t>
  </si>
  <si>
    <t>Market</t>
  </si>
  <si>
    <t>Symbol</t>
  </si>
  <si>
    <t>Name</t>
  </si>
  <si>
    <t>Sector</t>
  </si>
  <si>
    <t>Industry</t>
  </si>
  <si>
    <t>Market Cap</t>
  </si>
  <si>
    <t>Price</t>
  </si>
  <si>
    <t>Change Percent</t>
  </si>
  <si>
    <t>Volume</t>
  </si>
  <si>
    <t>Last Trade Time</t>
  </si>
  <si>
    <t>IP Address</t>
  </si>
  <si>
    <t>ddurman0</t>
  </si>
  <si>
    <t>vimeo.com</t>
  </si>
  <si>
    <t>rsutheran1</t>
  </si>
  <si>
    <t>wired.com</t>
  </si>
  <si>
    <t>mmangon2</t>
  </si>
  <si>
    <t>deliciousdays.com</t>
  </si>
  <si>
    <t>ncouzens3</t>
  </si>
  <si>
    <t>t.co</t>
  </si>
  <si>
    <t>sslyvester4</t>
  </si>
  <si>
    <t>mapquest.com</t>
  </si>
  <si>
    <t>nbullent5</t>
  </si>
  <si>
    <t>webeden.co.uk</t>
  </si>
  <si>
    <t>semanuel6</t>
  </si>
  <si>
    <t>merriam-webster.com</t>
  </si>
  <si>
    <t>npinnocke7</t>
  </si>
  <si>
    <t>google.co.uk</t>
  </si>
  <si>
    <t>vwannes8</t>
  </si>
  <si>
    <t>e-recht24.de</t>
  </si>
  <si>
    <t>glongman9</t>
  </si>
  <si>
    <t>theguardian.com</t>
  </si>
  <si>
    <t>bmccarrisona</t>
  </si>
  <si>
    <t>cbslocal.com</t>
  </si>
  <si>
    <t>cmoseleyb</t>
  </si>
  <si>
    <t>apple.com</t>
  </si>
  <si>
    <t>twillmerc</t>
  </si>
  <si>
    <t>gov.uk</t>
  </si>
  <si>
    <t>rcoringtond</t>
  </si>
  <si>
    <t>symantec.com</t>
  </si>
  <si>
    <t>bmccambroise</t>
  </si>
  <si>
    <t>ow.ly</t>
  </si>
  <si>
    <t>ltalmadgef</t>
  </si>
  <si>
    <t>lycos.com</t>
  </si>
  <si>
    <t>ctellenbachg</t>
  </si>
  <si>
    <t>miibeian.gov.cn</t>
  </si>
  <si>
    <t>bnevilleh</t>
  </si>
  <si>
    <t>behance.net</t>
  </si>
  <si>
    <t>ameeusi</t>
  </si>
  <si>
    <t>mozilla.org</t>
  </si>
  <si>
    <t>kbateupj</t>
  </si>
  <si>
    <t>eventbrite.com</t>
  </si>
  <si>
    <t>fcarillok</t>
  </si>
  <si>
    <t>simplemachines.org</t>
  </si>
  <si>
    <t>dblackabyl</t>
  </si>
  <si>
    <t>about.me</t>
  </si>
  <si>
    <t>pdockerym</t>
  </si>
  <si>
    <t>themeforest.net</t>
  </si>
  <si>
    <t>ewinhamn</t>
  </si>
  <si>
    <t>irs.gov</t>
  </si>
  <si>
    <t>lburghallo</t>
  </si>
  <si>
    <t>phpbb.com</t>
  </si>
  <si>
    <t>hdecrusep</t>
  </si>
  <si>
    <t>4shared.com</t>
  </si>
  <si>
    <t>tpicklessq</t>
  </si>
  <si>
    <t>cocolog-nifty.com</t>
  </si>
  <si>
    <t>pbamblettr</t>
  </si>
  <si>
    <t>wp.com</t>
  </si>
  <si>
    <t>wflecknoes</t>
  </si>
  <si>
    <t>sina.com.cn</t>
  </si>
  <si>
    <t>ssoamest</t>
  </si>
  <si>
    <t>php.net</t>
  </si>
  <si>
    <t>ematzu</t>
  </si>
  <si>
    <t>w3.org</t>
  </si>
  <si>
    <t>rtenderv</t>
  </si>
  <si>
    <t>ebay.com</t>
  </si>
  <si>
    <t>boldacrew</t>
  </si>
  <si>
    <t>skype.com</t>
  </si>
  <si>
    <t>zdefranciscix</t>
  </si>
  <si>
    <t>google.com.hk</t>
  </si>
  <si>
    <t>rmacdowaly</t>
  </si>
  <si>
    <t>yelp.com</t>
  </si>
  <si>
    <t>owarlawez</t>
  </si>
  <si>
    <t>dsanford10</t>
  </si>
  <si>
    <t>bloomberg.com</t>
  </si>
  <si>
    <t>wfoulkes11</t>
  </si>
  <si>
    <t>businesswire.com</t>
  </si>
  <si>
    <t>mkenzie12</t>
  </si>
  <si>
    <t>ljiggins13</t>
  </si>
  <si>
    <t>cornell.edu</t>
  </si>
  <si>
    <t>kstoad14</t>
  </si>
  <si>
    <t>prlog.org</t>
  </si>
  <si>
    <t>ccasiroli15</t>
  </si>
  <si>
    <t>miitbeian.gov.cn</t>
  </si>
  <si>
    <t>pgobourn16</t>
  </si>
  <si>
    <t>celam17</t>
  </si>
  <si>
    <t>mozilla.com</t>
  </si>
  <si>
    <t>dmatitiaho18</t>
  </si>
  <si>
    <t>imgur.com</t>
  </si>
  <si>
    <t>lneillans19</t>
  </si>
  <si>
    <t>sourceforge.net</t>
  </si>
  <si>
    <t>alamdin1a</t>
  </si>
  <si>
    <t>photobucket.com</t>
  </si>
  <si>
    <t>acruddace1b</t>
  </si>
  <si>
    <t>springer.com</t>
  </si>
  <si>
    <t>fsiddele1c</t>
  </si>
  <si>
    <t>macromedia.com</t>
  </si>
  <si>
    <t>hsaleway1d</t>
  </si>
  <si>
    <t>gravatar.com</t>
  </si>
  <si>
    <t>pgriffithe1e</t>
  </si>
  <si>
    <t>bloglines.com</t>
  </si>
  <si>
    <t>bcaldow1f</t>
  </si>
  <si>
    <t>hhs.gov</t>
  </si>
  <si>
    <t>lgosse1g</t>
  </si>
  <si>
    <t>multiply.com</t>
  </si>
  <si>
    <t>kcathery1h</t>
  </si>
  <si>
    <t>alibaba.com</t>
  </si>
  <si>
    <t>ijancar1i</t>
  </si>
  <si>
    <t>biglobe.ne.jp</t>
  </si>
  <si>
    <t>fbegent1j</t>
  </si>
  <si>
    <t>usda.gov</t>
  </si>
  <si>
    <t>kscoffham1k</t>
  </si>
  <si>
    <t>networkadvertising.org</t>
  </si>
  <si>
    <t>vprince1l</t>
  </si>
  <si>
    <t>msu.edu</t>
  </si>
  <si>
    <t>jdavidovics1m</t>
  </si>
  <si>
    <t>paypal.com</t>
  </si>
  <si>
    <t>dupham1n</t>
  </si>
  <si>
    <t>nba.com</t>
  </si>
  <si>
    <t>athursby1o</t>
  </si>
  <si>
    <t>yahoo.com</t>
  </si>
  <si>
    <t>bdollman1p</t>
  </si>
  <si>
    <t>a8.net</t>
  </si>
  <si>
    <t>jatwood1q</t>
  </si>
  <si>
    <t>angelfire.com</t>
  </si>
  <si>
    <t>sbudden1r</t>
  </si>
  <si>
    <t>gmpg.org</t>
  </si>
  <si>
    <t>gpayze1s</t>
  </si>
  <si>
    <t>gpetel1t</t>
  </si>
  <si>
    <t>java.com</t>
  </si>
  <si>
    <t>tlabrow1u</t>
  </si>
  <si>
    <t>squarespace.com</t>
  </si>
  <si>
    <t>cmckirton1v</t>
  </si>
  <si>
    <t>utexas.edu</t>
  </si>
  <si>
    <t>fogeaney1w</t>
  </si>
  <si>
    <t>tripod.com</t>
  </si>
  <si>
    <t>hsomerscales1x</t>
  </si>
  <si>
    <t>google.ca</t>
  </si>
  <si>
    <t>nvedenisov1y</t>
  </si>
  <si>
    <t>ocn.ne.jp</t>
  </si>
  <si>
    <t>ckinnon1z</t>
  </si>
  <si>
    <t>blinklist.com</t>
  </si>
  <si>
    <t>mgeater20</t>
  </si>
  <si>
    <t>sitemeter.com</t>
  </si>
  <si>
    <t>kswarbrick21</t>
  </si>
  <si>
    <t>prnewswire.com</t>
  </si>
  <si>
    <t>acolombier22</t>
  </si>
  <si>
    <t>berkeley.edu</t>
  </si>
  <si>
    <t>chenrie23</t>
  </si>
  <si>
    <t>seattletimes.com</t>
  </si>
  <si>
    <t>mwarsop24</t>
  </si>
  <si>
    <t>salon.com</t>
  </si>
  <si>
    <t>lmoraleda25</t>
  </si>
  <si>
    <t>uol.com.br</t>
  </si>
  <si>
    <t>anickoll26</t>
  </si>
  <si>
    <t>sciencedaily.com</t>
  </si>
  <si>
    <t>mphizacklea27</t>
  </si>
  <si>
    <t>gizmodo.com</t>
  </si>
  <si>
    <t>hkliemke28</t>
  </si>
  <si>
    <t>unicef.org</t>
  </si>
  <si>
    <t>byoungman29</t>
  </si>
  <si>
    <t>lkellert2a</t>
  </si>
  <si>
    <t>1688.com</t>
  </si>
  <si>
    <t>rvalentelli2b</t>
  </si>
  <si>
    <t>arizona.edu</t>
  </si>
  <si>
    <t>bsunderland2c</t>
  </si>
  <si>
    <t>joomla.org</t>
  </si>
  <si>
    <t>crossey2d</t>
  </si>
  <si>
    <t>youtu.be</t>
  </si>
  <si>
    <t>ytrubshaw2e</t>
  </si>
  <si>
    <t>imageshack.us</t>
  </si>
  <si>
    <t>swright2f</t>
  </si>
  <si>
    <t>nytimes.com</t>
  </si>
  <si>
    <t>rgallyhaock2g</t>
  </si>
  <si>
    <t>tinyurl.com</t>
  </si>
  <si>
    <t>kheard2h</t>
  </si>
  <si>
    <t>infoseek.co.jp</t>
  </si>
  <si>
    <t>jbarnbrook2i</t>
  </si>
  <si>
    <t>businessweek.com</t>
  </si>
  <si>
    <t>mlucey2j</t>
  </si>
  <si>
    <t>schatfield2k</t>
  </si>
  <si>
    <t>sun.com</t>
  </si>
  <si>
    <t>econant2l</t>
  </si>
  <si>
    <t>spenrose2m</t>
  </si>
  <si>
    <t>tmall.com</t>
  </si>
  <si>
    <t>mashe2n</t>
  </si>
  <si>
    <t>lmccolm2o</t>
  </si>
  <si>
    <t>last.fm</t>
  </si>
  <si>
    <t>lnolan2p</t>
  </si>
  <si>
    <t>youtube.com</t>
  </si>
  <si>
    <t>adyshart2q</t>
  </si>
  <si>
    <t>stumbleupon.com</t>
  </si>
  <si>
    <t>afilochov2r</t>
  </si>
  <si>
    <t>wfishly2s</t>
  </si>
  <si>
    <t>uiuc.edu</t>
  </si>
  <si>
    <t>lfain2t</t>
  </si>
  <si>
    <t>cafepress.com</t>
  </si>
  <si>
    <t>ryelyashev2u</t>
  </si>
  <si>
    <t>hc360.com</t>
  </si>
  <si>
    <t>sarnaudon2v</t>
  </si>
  <si>
    <t>wiley.com</t>
  </si>
  <si>
    <t>gfarey2w</t>
  </si>
  <si>
    <t>cbc.ca</t>
  </si>
  <si>
    <t>lfilipiak2x</t>
  </si>
  <si>
    <t>issuu.com</t>
  </si>
  <si>
    <t>htrett2y</t>
  </si>
  <si>
    <t>sgyngyll2z</t>
  </si>
  <si>
    <t>google.it</t>
  </si>
  <si>
    <t>dantoniades30</t>
  </si>
  <si>
    <t>dagondesign.com</t>
  </si>
  <si>
    <t>akuhnel31</t>
  </si>
  <si>
    <t>surveymonkey.com</t>
  </si>
  <si>
    <t>ldivall32</t>
  </si>
  <si>
    <t>loc.gov</t>
  </si>
  <si>
    <t>ifronzek33</t>
  </si>
  <si>
    <t>pcworld.com</t>
  </si>
  <si>
    <t>ieskrick34</t>
  </si>
  <si>
    <t>booking.com</t>
  </si>
  <si>
    <t>dtroop35</t>
  </si>
  <si>
    <t>buzzfeed.com</t>
  </si>
  <si>
    <t>rgenicke36</t>
  </si>
  <si>
    <t>harvard.edu</t>
  </si>
  <si>
    <t>glozano37</t>
  </si>
  <si>
    <t>yale.edu</t>
  </si>
  <si>
    <t>jclaxson38</t>
  </si>
  <si>
    <t>ted.com</t>
  </si>
  <si>
    <t>fguyonneau39</t>
  </si>
  <si>
    <t>naharoni3a</t>
  </si>
  <si>
    <t>sdinley3b</t>
  </si>
  <si>
    <t>soup.io</t>
  </si>
  <si>
    <t>rleasor3c</t>
  </si>
  <si>
    <t>admin.ch</t>
  </si>
  <si>
    <t>apenrith3d</t>
  </si>
  <si>
    <t>mac.com</t>
  </si>
  <si>
    <t>amilksop3e</t>
  </si>
  <si>
    <t>reference.com</t>
  </si>
  <si>
    <t>sgreaser3f</t>
  </si>
  <si>
    <t>cyberchimps.com</t>
  </si>
  <si>
    <t>eheddy3g</t>
  </si>
  <si>
    <t>blongland3h</t>
  </si>
  <si>
    <t>spylkynyton3i</t>
  </si>
  <si>
    <t>wordpress.org</t>
  </si>
  <si>
    <t>kscroxton3j</t>
  </si>
  <si>
    <t>kbanton3k</t>
  </si>
  <si>
    <t>paginegialle.it</t>
  </si>
  <si>
    <t>fstruss3l</t>
  </si>
  <si>
    <t>flickr.com</t>
  </si>
  <si>
    <t>mspurgeon3m</t>
  </si>
  <si>
    <t>llondors3n</t>
  </si>
  <si>
    <t>g.co</t>
  </si>
  <si>
    <t>aedmonson3o</t>
  </si>
  <si>
    <t>dgoodlad3p</t>
  </si>
  <si>
    <t>cdbaby.com</t>
  </si>
  <si>
    <t>chedon3q</t>
  </si>
  <si>
    <t>dbroggini3r</t>
  </si>
  <si>
    <t>google.pl</t>
  </si>
  <si>
    <t>velphey3s</t>
  </si>
  <si>
    <t>facebook.com</t>
  </si>
  <si>
    <t>tcavil3t</t>
  </si>
  <si>
    <t>microsoft.com</t>
  </si>
  <si>
    <t>tkarlmann3u</t>
  </si>
  <si>
    <t>pagesperso-orange.fr</t>
  </si>
  <si>
    <t>bdehooch3v</t>
  </si>
  <si>
    <t>nsw.gov.au</t>
  </si>
  <si>
    <t>fpennigar3w</t>
  </si>
  <si>
    <t>pen.io</t>
  </si>
  <si>
    <t>ghowe3x</t>
  </si>
  <si>
    <t>nkillshaw3y</t>
  </si>
  <si>
    <t>jpadilla3z</t>
  </si>
  <si>
    <t>soundcloud.com</t>
  </si>
  <si>
    <t>spyrah40</t>
  </si>
  <si>
    <t>xrea.com</t>
  </si>
  <si>
    <t>alintall41</t>
  </si>
  <si>
    <t>google.fr</t>
  </si>
  <si>
    <t>bgillion42</t>
  </si>
  <si>
    <t>mmolyneux43</t>
  </si>
  <si>
    <t>amazon.co.uk</t>
  </si>
  <si>
    <t>dmckeurtan44</t>
  </si>
  <si>
    <t>zgergler45</t>
  </si>
  <si>
    <t>imdb.com</t>
  </si>
  <si>
    <t>stedorenko46</t>
  </si>
  <si>
    <t>europa.eu</t>
  </si>
  <si>
    <t>gbrumen47</t>
  </si>
  <si>
    <t>gbagnall48</t>
  </si>
  <si>
    <t>baidu.com</t>
  </si>
  <si>
    <t>hsommerton49</t>
  </si>
  <si>
    <t>hsterricks4a</t>
  </si>
  <si>
    <t>cloudflare.com</t>
  </si>
  <si>
    <t>aeble4b</t>
  </si>
  <si>
    <t>nbcnews.com</t>
  </si>
  <si>
    <t>mkoenen4c</t>
  </si>
  <si>
    <t>ladamski4d</t>
  </si>
  <si>
    <t>yahoo.co.jp</t>
  </si>
  <si>
    <t>edayes4e</t>
  </si>
  <si>
    <t>unesco.org</t>
  </si>
  <si>
    <t>awitsey4f</t>
  </si>
  <si>
    <t>netvibes.com</t>
  </si>
  <si>
    <t>ngodbolt4g</t>
  </si>
  <si>
    <t>virginia.edu</t>
  </si>
  <si>
    <t>dreany4h</t>
  </si>
  <si>
    <t>oaic.gov.au</t>
  </si>
  <si>
    <t>prundle4i</t>
  </si>
  <si>
    <t>jiathis.com</t>
  </si>
  <si>
    <t>oforson4j</t>
  </si>
  <si>
    <t>sbrewse4k</t>
  </si>
  <si>
    <t>wix.com</t>
  </si>
  <si>
    <t>caudibert4l</t>
  </si>
  <si>
    <t>gfearneley4m</t>
  </si>
  <si>
    <t>dion.ne.jp</t>
  </si>
  <si>
    <t>tbicknell4n</t>
  </si>
  <si>
    <t>dyndns.org</t>
  </si>
  <si>
    <t>dmattis4o</t>
  </si>
  <si>
    <t>ed.gov</t>
  </si>
  <si>
    <t>epfeffer4p</t>
  </si>
  <si>
    <t>clickbank.net</t>
  </si>
  <si>
    <t>areeves4q</t>
  </si>
  <si>
    <t>ebay.co.uk</t>
  </si>
  <si>
    <t>aabadam4r</t>
  </si>
  <si>
    <t>bing.com</t>
  </si>
  <si>
    <t>vivashev4s</t>
  </si>
  <si>
    <t>acoathup4t</t>
  </si>
  <si>
    <t>geocities.com</t>
  </si>
  <si>
    <t>reydel4u</t>
  </si>
  <si>
    <t>nydailynews.com</t>
  </si>
  <si>
    <t>cmewes4v</t>
  </si>
  <si>
    <t>egelardi4w</t>
  </si>
  <si>
    <t>friendfeed.com</t>
  </si>
  <si>
    <t>mmaasz4x</t>
  </si>
  <si>
    <t>mysql.com</t>
  </si>
  <si>
    <t>cpuckrin4y</t>
  </si>
  <si>
    <t>google.de</t>
  </si>
  <si>
    <t>cwalthall4z</t>
  </si>
  <si>
    <t>independent.co.uk</t>
  </si>
  <si>
    <t>rfrounks50</t>
  </si>
  <si>
    <t>discuz.net</t>
  </si>
  <si>
    <t>acomford51</t>
  </si>
  <si>
    <t>nleacock52</t>
  </si>
  <si>
    <t>netscape.com</t>
  </si>
  <si>
    <t>ekimmel53</t>
  </si>
  <si>
    <t>storify.com</t>
  </si>
  <si>
    <t>tmelledy54</t>
  </si>
  <si>
    <t>ablowfield55</t>
  </si>
  <si>
    <t>scondie56</t>
  </si>
  <si>
    <t>people.com.cn</t>
  </si>
  <si>
    <t>jansett57</t>
  </si>
  <si>
    <t>sglayzer58</t>
  </si>
  <si>
    <t>bshrubshall59</t>
  </si>
  <si>
    <t>statcounter.com</t>
  </si>
  <si>
    <t>hduker5a</t>
  </si>
  <si>
    <t>huffingtonpost.com</t>
  </si>
  <si>
    <t>tgladwish5b</t>
  </si>
  <si>
    <t>google.cn</t>
  </si>
  <si>
    <t>dsharland5c</t>
  </si>
  <si>
    <t>1und1.de</t>
  </si>
  <si>
    <t>abithell5d</t>
  </si>
  <si>
    <t>edublogs.org</t>
  </si>
  <si>
    <t>hdisman5e</t>
  </si>
  <si>
    <t>seesaa.net</t>
  </si>
  <si>
    <t>jlukock5f</t>
  </si>
  <si>
    <t>indiegogo.com</t>
  </si>
  <si>
    <t>mburgwin5g</t>
  </si>
  <si>
    <t>163.com</t>
  </si>
  <si>
    <t>csisson5h</t>
  </si>
  <si>
    <t>moonfruit.com</t>
  </si>
  <si>
    <t>amalcolm5i</t>
  </si>
  <si>
    <t>usa.gov</t>
  </si>
  <si>
    <t>cbenson5j</t>
  </si>
  <si>
    <t>astiger5k</t>
  </si>
  <si>
    <t>jugem.jp</t>
  </si>
  <si>
    <t>eklawi5l</t>
  </si>
  <si>
    <t>guardian.co.uk</t>
  </si>
  <si>
    <t>sarniz5m</t>
  </si>
  <si>
    <t>bbc.co.uk</t>
  </si>
  <si>
    <t>gsains5n</t>
  </si>
  <si>
    <t>hmcgready5o</t>
  </si>
  <si>
    <t>examiner.com</t>
  </si>
  <si>
    <t>klegat5p</t>
  </si>
  <si>
    <t>cmonte5q</t>
  </si>
  <si>
    <t>cmaginn5r</t>
  </si>
  <si>
    <t>oracle.com</t>
  </si>
  <si>
    <t>gblackley5s</t>
  </si>
  <si>
    <t>biblegateway.com</t>
  </si>
  <si>
    <t>lsaul5t</t>
  </si>
  <si>
    <t>ca.gov</t>
  </si>
  <si>
    <t>bhorburgh5u</t>
  </si>
  <si>
    <t>scientificamerican.com</t>
  </si>
  <si>
    <t>mcoarser5v</t>
  </si>
  <si>
    <t>mhaughey5w</t>
  </si>
  <si>
    <t>hwaller5x</t>
  </si>
  <si>
    <t>washington.edu</t>
  </si>
  <si>
    <t>gfoote5y</t>
  </si>
  <si>
    <t>sparris5z</t>
  </si>
  <si>
    <t>vinaora.com</t>
  </si>
  <si>
    <t>tbrewin60</t>
  </si>
  <si>
    <t>diigo.com</t>
  </si>
  <si>
    <t>anitti61</t>
  </si>
  <si>
    <t>earthlink.net</t>
  </si>
  <si>
    <t>cather62</t>
  </si>
  <si>
    <t>hao123.com</t>
  </si>
  <si>
    <t>jdinan63</t>
  </si>
  <si>
    <t>amazon.com</t>
  </si>
  <si>
    <t>sewles64</t>
  </si>
  <si>
    <t>newsvine.com</t>
  </si>
  <si>
    <t>kmaccosto65</t>
  </si>
  <si>
    <t>howstuffworks.com</t>
  </si>
  <si>
    <t>msneesbie66</t>
  </si>
  <si>
    <t>pbs.org</t>
  </si>
  <si>
    <t>edecaze67</t>
  </si>
  <si>
    <t>sogou.com</t>
  </si>
  <si>
    <t>jdauncey68</t>
  </si>
  <si>
    <t>bgylle69</t>
  </si>
  <si>
    <t>house.gov</t>
  </si>
  <si>
    <t>hkuhle6a</t>
  </si>
  <si>
    <t>walmart.com</t>
  </si>
  <si>
    <t>rpetigrew6b</t>
  </si>
  <si>
    <t>arstechnica.com</t>
  </si>
  <si>
    <t>tvolant6c</t>
  </si>
  <si>
    <t>quantcast.com</t>
  </si>
  <si>
    <t>ajezzard6d</t>
  </si>
  <si>
    <t>artisteer.com</t>
  </si>
  <si>
    <t>wwhyke6e</t>
  </si>
  <si>
    <t>pconnah6f</t>
  </si>
  <si>
    <t>iflowitt6g</t>
  </si>
  <si>
    <t>gwetter6h</t>
  </si>
  <si>
    <t>123-reg.co.uk</t>
  </si>
  <si>
    <t>scobson6i</t>
  </si>
  <si>
    <t>hibu.com</t>
  </si>
  <si>
    <t>availlant6j</t>
  </si>
  <si>
    <t>smh.com.au</t>
  </si>
  <si>
    <t>gpicott6k</t>
  </si>
  <si>
    <t>prubanenko6l</t>
  </si>
  <si>
    <t>mit.edu</t>
  </si>
  <si>
    <t>svonsalzberg6m</t>
  </si>
  <si>
    <t>vzanassi6n</t>
  </si>
  <si>
    <t>nhs.uk</t>
  </si>
  <si>
    <t>aembleton6o</t>
  </si>
  <si>
    <t>foxnews.com</t>
  </si>
  <si>
    <t>hmccoll6p</t>
  </si>
  <si>
    <t>gscotson6q</t>
  </si>
  <si>
    <t>mashable.com</t>
  </si>
  <si>
    <t>gperfect6r</t>
  </si>
  <si>
    <t>army.mil</t>
  </si>
  <si>
    <t>djuett6s</t>
  </si>
  <si>
    <t>shareasale.com</t>
  </si>
  <si>
    <t>acharlton6t</t>
  </si>
  <si>
    <t>wmcilrath6u</t>
  </si>
  <si>
    <t>disqus.com</t>
  </si>
  <si>
    <t>tclines6v</t>
  </si>
  <si>
    <t>weibo.com</t>
  </si>
  <si>
    <t>jellingworth6w</t>
  </si>
  <si>
    <t>ask.com</t>
  </si>
  <si>
    <t>gbidgood6x</t>
  </si>
  <si>
    <t>homestead.com</t>
  </si>
  <si>
    <t>cfeldhuhn6y</t>
  </si>
  <si>
    <t>vistaprint.com</t>
  </si>
  <si>
    <t>dmacafee6z</t>
  </si>
  <si>
    <t>spotify.com</t>
  </si>
  <si>
    <t>jtrevaskiss70</t>
  </si>
  <si>
    <t>slideshare.net</t>
  </si>
  <si>
    <t>athonger71</t>
  </si>
  <si>
    <t>ucoz.com</t>
  </si>
  <si>
    <t>tmulcahy72</t>
  </si>
  <si>
    <t>elegantthemes.com</t>
  </si>
  <si>
    <t>sbaxstare73</t>
  </si>
  <si>
    <t>deviantart.com</t>
  </si>
  <si>
    <t>clemarquand74</t>
  </si>
  <si>
    <t>auda.org.au</t>
  </si>
  <si>
    <t>wwassung75</t>
  </si>
  <si>
    <t>lbirchenhead76</t>
  </si>
  <si>
    <t>vteck77</t>
  </si>
  <si>
    <t>about.com</t>
  </si>
  <si>
    <t>fkunath78</t>
  </si>
  <si>
    <t>kgladdor79</t>
  </si>
  <si>
    <t>hugedomains.com</t>
  </si>
  <si>
    <t>agardiner7a</t>
  </si>
  <si>
    <t>relcomb7b</t>
  </si>
  <si>
    <t>example.com</t>
  </si>
  <si>
    <t>msiman7c</t>
  </si>
  <si>
    <t>kcroster7d</t>
  </si>
  <si>
    <t>yolasite.com</t>
  </si>
  <si>
    <t>gbrundill7e</t>
  </si>
  <si>
    <t>list-manage.com</t>
  </si>
  <si>
    <t>tridges7f</t>
  </si>
  <si>
    <t>cam.ac.uk</t>
  </si>
  <si>
    <t>rburgoin7g</t>
  </si>
  <si>
    <t>ncartmail7h</t>
  </si>
  <si>
    <t>latimes.com</t>
  </si>
  <si>
    <t>rgardner7i</t>
  </si>
  <si>
    <t>phoca.cz</t>
  </si>
  <si>
    <t>gritelli7j</t>
  </si>
  <si>
    <t>live.com</t>
  </si>
  <si>
    <t>fdeamaya7k</t>
  </si>
  <si>
    <t>forbes.com</t>
  </si>
  <si>
    <t>tcheetham7l</t>
  </si>
  <si>
    <t>who.int</t>
  </si>
  <si>
    <t>pboyn7m</t>
  </si>
  <si>
    <t>tcapelow7n</t>
  </si>
  <si>
    <t>exblog.jp</t>
  </si>
  <si>
    <t>iblood7o</t>
  </si>
  <si>
    <t>ddevlin7p</t>
  </si>
  <si>
    <t>dell.com</t>
  </si>
  <si>
    <t>epauletto7q</t>
  </si>
  <si>
    <t>ehow.com</t>
  </si>
  <si>
    <t>alagen7r</t>
  </si>
  <si>
    <t>cbsnews.com</t>
  </si>
  <si>
    <t>zshoebotham7s</t>
  </si>
  <si>
    <t>dkirvin7t</t>
  </si>
  <si>
    <t>ffaivre7u</t>
  </si>
  <si>
    <t>epa.gov</t>
  </si>
  <si>
    <t>areekie7v</t>
  </si>
  <si>
    <t>hbrave7w</t>
  </si>
  <si>
    <t>opera.com</t>
  </si>
  <si>
    <t>fbloomer7x</t>
  </si>
  <si>
    <t>newyorker.com</t>
  </si>
  <si>
    <t>sdanforth7y</t>
  </si>
  <si>
    <t>lradbourne7z</t>
  </si>
  <si>
    <t>google.nl</t>
  </si>
  <si>
    <t>kcallaghan80</t>
  </si>
  <si>
    <t>nporcher81</t>
  </si>
  <si>
    <t>mbaldwin82</t>
  </si>
  <si>
    <t>darsnell83</t>
  </si>
  <si>
    <t>comsenz.com</t>
  </si>
  <si>
    <t>lcaseley84</t>
  </si>
  <si>
    <t>google.com.br</t>
  </si>
  <si>
    <t>atitta85</t>
  </si>
  <si>
    <t>hostgator.com</t>
  </si>
  <si>
    <t>ejulian86</t>
  </si>
  <si>
    <t>rgilffillan87</t>
  </si>
  <si>
    <t>sragsdale88</t>
  </si>
  <si>
    <t>dmoz.org</t>
  </si>
  <si>
    <t>aerrichelli89</t>
  </si>
  <si>
    <t>theatlantic.com</t>
  </si>
  <si>
    <t>mcurle8a</t>
  </si>
  <si>
    <t>sohu.com</t>
  </si>
  <si>
    <t>aweedall8b</t>
  </si>
  <si>
    <t>ldavet8c</t>
  </si>
  <si>
    <t>rmacane8d</t>
  </si>
  <si>
    <t>craigslist.org</t>
  </si>
  <si>
    <t>abramer8e</t>
  </si>
  <si>
    <t>blogs.com</t>
  </si>
  <si>
    <t>nziebart8f</t>
  </si>
  <si>
    <t>ccoopper8g</t>
  </si>
  <si>
    <t>intel.com</t>
  </si>
  <si>
    <t>bpaprotny8h</t>
  </si>
  <si>
    <t>cwoolfitt8i</t>
  </si>
  <si>
    <t>adummigan8j</t>
  </si>
  <si>
    <t>princeton.edu</t>
  </si>
  <si>
    <t>wwaycot8k</t>
  </si>
  <si>
    <t>mail.ru</t>
  </si>
  <si>
    <t>fmartinie8l</t>
  </si>
  <si>
    <t>tvideneev8m</t>
  </si>
  <si>
    <t>ccashin8n</t>
  </si>
  <si>
    <t>pgolt8o</t>
  </si>
  <si>
    <t>mbernardinelli8p</t>
  </si>
  <si>
    <t>kcaldero8q</t>
  </si>
  <si>
    <t>instagram.com</t>
  </si>
  <si>
    <t>emacpake8r</t>
  </si>
  <si>
    <t>drupal.org</t>
  </si>
  <si>
    <t>randriuzzi8s</t>
  </si>
  <si>
    <t>lbuckbee8t</t>
  </si>
  <si>
    <t>nature.com</t>
  </si>
  <si>
    <t>ibraywood8u</t>
  </si>
  <si>
    <t>zimbio.com</t>
  </si>
  <si>
    <t>rpendock8v</t>
  </si>
  <si>
    <t>csneaker8w</t>
  </si>
  <si>
    <t>umaccart8x</t>
  </si>
  <si>
    <t>lulu.com</t>
  </si>
  <si>
    <t>nmasserel8y</t>
  </si>
  <si>
    <t>bravesites.com</t>
  </si>
  <si>
    <t>jmargaritelli8z</t>
  </si>
  <si>
    <t>illinois.edu</t>
  </si>
  <si>
    <t>lcarnegy90</t>
  </si>
  <si>
    <t>yellowbook.com</t>
  </si>
  <si>
    <t>ctidbold91</t>
  </si>
  <si>
    <t>twitpic.com</t>
  </si>
  <si>
    <t>jtough92</t>
  </si>
  <si>
    <t>ljackman93</t>
  </si>
  <si>
    <t>rediff.com</t>
  </si>
  <si>
    <t>mdoyland94</t>
  </si>
  <si>
    <t>sstork95</t>
  </si>
  <si>
    <t>usgs.gov</t>
  </si>
  <si>
    <t>mmelbourne96</t>
  </si>
  <si>
    <t>google.co.jp</t>
  </si>
  <si>
    <t>lslayford97</t>
  </si>
  <si>
    <t>bizjournals.com</t>
  </si>
  <si>
    <t>aheadings98</t>
  </si>
  <si>
    <t>unc.edu</t>
  </si>
  <si>
    <t>kvalentine99</t>
  </si>
  <si>
    <t>mholdey9a</t>
  </si>
  <si>
    <t>asleigh9b</t>
  </si>
  <si>
    <t>ktest9c</t>
  </si>
  <si>
    <t>wordpress.com</t>
  </si>
  <si>
    <t>bvenning9d</t>
  </si>
  <si>
    <t>scribd.com</t>
  </si>
  <si>
    <t>egepson9e</t>
  </si>
  <si>
    <t>topsy.com</t>
  </si>
  <si>
    <t>ggothup9f</t>
  </si>
  <si>
    <t>fframmingham9g</t>
  </si>
  <si>
    <t>ssaffin9h</t>
  </si>
  <si>
    <t>wikia.com</t>
  </si>
  <si>
    <t>ebarg9i</t>
  </si>
  <si>
    <t>ehorlick9j</t>
  </si>
  <si>
    <t>bandcamp.com</t>
  </si>
  <si>
    <t>krobbel9k</t>
  </si>
  <si>
    <t>ejoao9l</t>
  </si>
  <si>
    <t>aaynscombe9m</t>
  </si>
  <si>
    <t>pgreep9n</t>
  </si>
  <si>
    <t>emacgillivrie9o</t>
  </si>
  <si>
    <t>over-blog.com</t>
  </si>
  <si>
    <t>rdeambrosis9p</t>
  </si>
  <si>
    <t>blettsom9q</t>
  </si>
  <si>
    <t>telegraph.co.uk</t>
  </si>
  <si>
    <t>tobruen9r</t>
  </si>
  <si>
    <t>weather.com</t>
  </si>
  <si>
    <t>edewane9s</t>
  </si>
  <si>
    <t>inind9t</t>
  </si>
  <si>
    <t>omniture.com</t>
  </si>
  <si>
    <t>bgabriel9u</t>
  </si>
  <si>
    <t>ebranson9v</t>
  </si>
  <si>
    <t>tandrioli9w</t>
  </si>
  <si>
    <t>mtrunks9x</t>
  </si>
  <si>
    <t>un.org</t>
  </si>
  <si>
    <t>mbenck9y</t>
  </si>
  <si>
    <t>fkiltie9z</t>
  </si>
  <si>
    <t>clowselya0</t>
  </si>
  <si>
    <t>domainmarket.com</t>
  </si>
  <si>
    <t>lcortera1</t>
  </si>
  <si>
    <t>rambler.ru</t>
  </si>
  <si>
    <t>wsimonatoa2</t>
  </si>
  <si>
    <t>bwarbeysa3</t>
  </si>
  <si>
    <t>dedecms.com</t>
  </si>
  <si>
    <t>rdudinga4</t>
  </si>
  <si>
    <t>adablea5</t>
  </si>
  <si>
    <t>samsung.com</t>
  </si>
  <si>
    <t>pstringera6</t>
  </si>
  <si>
    <t>igladdena7</t>
  </si>
  <si>
    <t>aerdesa8</t>
  </si>
  <si>
    <t>dmonkmana9</t>
  </si>
  <si>
    <t>woothemes.com</t>
  </si>
  <si>
    <t>swarlaweaa</t>
  </si>
  <si>
    <t>agwiltab</t>
  </si>
  <si>
    <t>wikipedia.org</t>
  </si>
  <si>
    <t>gvanacciac</t>
  </si>
  <si>
    <t>census.gov</t>
  </si>
  <si>
    <t>fwedgead</t>
  </si>
  <si>
    <t>engadget.com</t>
  </si>
  <si>
    <t>ealecockae</t>
  </si>
  <si>
    <t>blogtalkradio.com</t>
  </si>
  <si>
    <t>ereichardtaf</t>
  </si>
  <si>
    <t>upenn.edu</t>
  </si>
  <si>
    <t>mhardwayag</t>
  </si>
  <si>
    <t>mtreaceah</t>
  </si>
  <si>
    <t>rcradocai</t>
  </si>
  <si>
    <t>bduncombeaj</t>
  </si>
  <si>
    <t>atrimbeyak</t>
  </si>
  <si>
    <t>ahovieal</t>
  </si>
  <si>
    <t>acrinionam</t>
  </si>
  <si>
    <t>godaddy.com</t>
  </si>
  <si>
    <t>rhulsean</t>
  </si>
  <si>
    <t>bclarricoatesao</t>
  </si>
  <si>
    <t>ft.com</t>
  </si>
  <si>
    <t>vlevensap</t>
  </si>
  <si>
    <t>rgertaq</t>
  </si>
  <si>
    <t>tmannoochar</t>
  </si>
  <si>
    <t>uhubbackas</t>
  </si>
  <si>
    <t>fbreedyat</t>
  </si>
  <si>
    <t>state.gov</t>
  </si>
  <si>
    <t>rcanfieldau</t>
  </si>
  <si>
    <t>mediafire.com</t>
  </si>
  <si>
    <t>rhaymanav</t>
  </si>
  <si>
    <t>sturnoraw</t>
  </si>
  <si>
    <t>washingtonpost.com</t>
  </si>
  <si>
    <t>agofordax</t>
  </si>
  <si>
    <t>technorati.com</t>
  </si>
  <si>
    <t>rcristofanoay</t>
  </si>
  <si>
    <t>adobe.com</t>
  </si>
  <si>
    <t>rdobrowskiaz</t>
  </si>
  <si>
    <t>indiatimes.com</t>
  </si>
  <si>
    <t>bdianob0</t>
  </si>
  <si>
    <t>htotenb1</t>
  </si>
  <si>
    <t>amazon.de</t>
  </si>
  <si>
    <t>pmacclureb2</t>
  </si>
  <si>
    <t>yholdb3</t>
  </si>
  <si>
    <t>acardosob4</t>
  </si>
  <si>
    <t>rgrenshielsb5</t>
  </si>
  <si>
    <t>webmd.com</t>
  </si>
  <si>
    <t>dmatteonib6</t>
  </si>
  <si>
    <t>dpratorb7</t>
  </si>
  <si>
    <t>icq.com</t>
  </si>
  <si>
    <t>brenwickb8</t>
  </si>
  <si>
    <t>ameblo.jp</t>
  </si>
  <si>
    <t>tribbonb9</t>
  </si>
  <si>
    <t>psu.edu</t>
  </si>
  <si>
    <t>vbalwinba</t>
  </si>
  <si>
    <t>bheightbb</t>
  </si>
  <si>
    <t>vralstonbc</t>
  </si>
  <si>
    <t>zworsleybd</t>
  </si>
  <si>
    <t>abc.net.au</t>
  </si>
  <si>
    <t>cvanichkinbe</t>
  </si>
  <si>
    <t>networksolutions.com</t>
  </si>
  <si>
    <t>avigrassbf</t>
  </si>
  <si>
    <t>alexa.com</t>
  </si>
  <si>
    <t>ckopacekbg</t>
  </si>
  <si>
    <t>wisc.edu</t>
  </si>
  <si>
    <t>tspennockbh</t>
  </si>
  <si>
    <t>webs.com</t>
  </si>
  <si>
    <t>rofearguisebi</t>
  </si>
  <si>
    <t>51.la</t>
  </si>
  <si>
    <t>ybambrickbj</t>
  </si>
  <si>
    <t>astylebk</t>
  </si>
  <si>
    <t>bhagerghambl</t>
  </si>
  <si>
    <t>efeyerbm</t>
  </si>
  <si>
    <t>ibm.com</t>
  </si>
  <si>
    <t>wgiddonsbn</t>
  </si>
  <si>
    <t>crugglesbo</t>
  </si>
  <si>
    <t>wikimedia.org</t>
  </si>
  <si>
    <t>cjacobsenbp</t>
  </si>
  <si>
    <t>chicagotribune.com</t>
  </si>
  <si>
    <t>mcopcuttbq</t>
  </si>
  <si>
    <t>weulerbr</t>
  </si>
  <si>
    <t>esimonetonbs</t>
  </si>
  <si>
    <t>sciencedirect.com</t>
  </si>
  <si>
    <t>mbrittenbt</t>
  </si>
  <si>
    <t>jciottoibu</t>
  </si>
  <si>
    <t>msaurabv</t>
  </si>
  <si>
    <t>ycombinator.com</t>
  </si>
  <si>
    <t>hhannbw</t>
  </si>
  <si>
    <t>bdickingsbx</t>
  </si>
  <si>
    <t>cogilvieby</t>
  </si>
  <si>
    <t>ascneiderbz</t>
  </si>
  <si>
    <t>kpedriellic0</t>
  </si>
  <si>
    <t>icio.us</t>
  </si>
  <si>
    <t>mtallentc1</t>
  </si>
  <si>
    <t>gcotelardc2</t>
  </si>
  <si>
    <t>lskentelburyc3</t>
  </si>
  <si>
    <t>dtantic4</t>
  </si>
  <si>
    <t>cnn.com</t>
  </si>
  <si>
    <t>kprandoc5</t>
  </si>
  <si>
    <t>sjanningc6</t>
  </si>
  <si>
    <t>jsurgeonerc7</t>
  </si>
  <si>
    <t>lperinc8</t>
  </si>
  <si>
    <t>timesonline.co.uk</t>
  </si>
  <si>
    <t>wneesamc9</t>
  </si>
  <si>
    <t>sjosefsonca</t>
  </si>
  <si>
    <t>msheppeycb</t>
  </si>
  <si>
    <t>akubatschcc</t>
  </si>
  <si>
    <t>gkyndcd</t>
  </si>
  <si>
    <t>apeterkence</t>
  </si>
  <si>
    <t>chushcf</t>
  </si>
  <si>
    <t>xinhuanet.com</t>
  </si>
  <si>
    <t>fpinckneycg</t>
  </si>
  <si>
    <t>jharsentch</t>
  </si>
  <si>
    <t>tripadvisor.com</t>
  </si>
  <si>
    <t>bskyppeci</t>
  </si>
  <si>
    <t>lreiskcj</t>
  </si>
  <si>
    <t>dstuddeardck</t>
  </si>
  <si>
    <t>blog.com</t>
  </si>
  <si>
    <t>ftrewarthacl</t>
  </si>
  <si>
    <t>cnbc.com</t>
  </si>
  <si>
    <t>chindsbergcm</t>
  </si>
  <si>
    <t>nymag.com</t>
  </si>
  <si>
    <t>ashankcn</t>
  </si>
  <si>
    <t>github.io</t>
  </si>
  <si>
    <t>ksebrightco</t>
  </si>
  <si>
    <t>china.com.cn</t>
  </si>
  <si>
    <t>rdroogancp</t>
  </si>
  <si>
    <t>tkornelcq</t>
  </si>
  <si>
    <t>sbendincr</t>
  </si>
  <si>
    <t>altervista.org</t>
  </si>
  <si>
    <t>gizakovcs</t>
  </si>
  <si>
    <t>sbatchct</t>
  </si>
  <si>
    <t>ftc.gov</t>
  </si>
  <si>
    <t>swahlbergcu</t>
  </si>
  <si>
    <t>reldincv</t>
  </si>
  <si>
    <t>zplankcw</t>
  </si>
  <si>
    <t>fvispocx</t>
  </si>
  <si>
    <t>ctawncy</t>
  </si>
  <si>
    <t>yandex.ru</t>
  </si>
  <si>
    <t>amacgianycz</t>
  </si>
  <si>
    <t>cpanel.net</t>
  </si>
  <si>
    <t>sprentyd0</t>
  </si>
  <si>
    <t>nhurryd1</t>
  </si>
  <si>
    <t>acrouxd2</t>
  </si>
  <si>
    <t>jstopforthd3</t>
  </si>
  <si>
    <t>mgussied4</t>
  </si>
  <si>
    <t>bslaynyd5</t>
  </si>
  <si>
    <t>senate.gov</t>
  </si>
  <si>
    <t>sosinind6</t>
  </si>
  <si>
    <t>llowndsbroughd7</t>
  </si>
  <si>
    <t>wmccrostied8</t>
  </si>
  <si>
    <t>liveinternet.ru</t>
  </si>
  <si>
    <t>loddyd9</t>
  </si>
  <si>
    <t>aparrottda</t>
  </si>
  <si>
    <t>dgantzdb</t>
  </si>
  <si>
    <t>nyu.edu</t>
  </si>
  <si>
    <t>svanyushkindc</t>
  </si>
  <si>
    <t>jscafedd</t>
  </si>
  <si>
    <t>google.com</t>
  </si>
  <si>
    <t>hroysonde</t>
  </si>
  <si>
    <t>nps.gov</t>
  </si>
  <si>
    <t>lkuschadf</t>
  </si>
  <si>
    <t>slinneydg</t>
  </si>
  <si>
    <t>tzealeydh</t>
  </si>
  <si>
    <t>mlb.com</t>
  </si>
  <si>
    <t>fkliemkedi</t>
  </si>
  <si>
    <t>isarvardj</t>
  </si>
  <si>
    <t>pstanforddk</t>
  </si>
  <si>
    <t>flavors.me</t>
  </si>
  <si>
    <t>pandreuzzidl</t>
  </si>
  <si>
    <t>columbia.edu</t>
  </si>
  <si>
    <t>kgiannonidm</t>
  </si>
  <si>
    <t>rblythdn</t>
  </si>
  <si>
    <t>wikispaces.com</t>
  </si>
  <si>
    <t>wlurrimando</t>
  </si>
  <si>
    <t>nbakhrushindp</t>
  </si>
  <si>
    <t>sbreretondq</t>
  </si>
  <si>
    <t>callmonddr</t>
  </si>
  <si>
    <t>ustream.tv</t>
  </si>
  <si>
    <t>sjadods</t>
  </si>
  <si>
    <t>amazonaws.com</t>
  </si>
  <si>
    <t>bmccaskilldt</t>
  </si>
  <si>
    <t>jsemperdu</t>
  </si>
  <si>
    <t>youku.com</t>
  </si>
  <si>
    <t>sfaersdv</t>
  </si>
  <si>
    <t>giglesiasdw</t>
  </si>
  <si>
    <t>dfredadx</t>
  </si>
  <si>
    <t>t-online.de</t>
  </si>
  <si>
    <t>cstartedy</t>
  </si>
  <si>
    <t>whubbucksdz</t>
  </si>
  <si>
    <t>onilgese0</t>
  </si>
  <si>
    <t>goo.gl</t>
  </si>
  <si>
    <t>gblaguee1</t>
  </si>
  <si>
    <t>dstutte2</t>
  </si>
  <si>
    <t>aol.com</t>
  </si>
  <si>
    <t>nmendenhalle3</t>
  </si>
  <si>
    <t>fhortope4</t>
  </si>
  <si>
    <t>cmu.edu</t>
  </si>
  <si>
    <t>gonearye5</t>
  </si>
  <si>
    <t>rmaskewe6</t>
  </si>
  <si>
    <t>cthorsbye7</t>
  </si>
  <si>
    <t>vk.com</t>
  </si>
  <si>
    <t>inutbeane8</t>
  </si>
  <si>
    <t>gsuermeiere9</t>
  </si>
  <si>
    <t>narod.ru</t>
  </si>
  <si>
    <t>goslerea</t>
  </si>
  <si>
    <t>dhazzardeb</t>
  </si>
  <si>
    <t>prweb.com</t>
  </si>
  <si>
    <t>dastlesec</t>
  </si>
  <si>
    <t>ttwelvesed</t>
  </si>
  <si>
    <t>dcossingtonee</t>
  </si>
  <si>
    <t>btroreyef</t>
  </si>
  <si>
    <t>podareeg</t>
  </si>
  <si>
    <t>iphillpeh</t>
  </si>
  <si>
    <t>ning.com</t>
  </si>
  <si>
    <t>jpendleberryei</t>
  </si>
  <si>
    <t>adowdenej</t>
  </si>
  <si>
    <t>fc2.com</t>
  </si>
  <si>
    <t>csherlandek</t>
  </si>
  <si>
    <t>reddit.com</t>
  </si>
  <si>
    <t>hedgellerel</t>
  </si>
  <si>
    <t>landertonem</t>
  </si>
  <si>
    <t>hsampsonen</t>
  </si>
  <si>
    <t>addthis.com</t>
  </si>
  <si>
    <t>hcrankshaweo</t>
  </si>
  <si>
    <t>eilesep</t>
  </si>
  <si>
    <t>twitter.com</t>
  </si>
  <si>
    <t>bfeatonbyeq</t>
  </si>
  <si>
    <t>hantoonser</t>
  </si>
  <si>
    <t>wnowelles</t>
  </si>
  <si>
    <t>jingmanet</t>
  </si>
  <si>
    <t>constantcontact.com</t>
  </si>
  <si>
    <t>tbickelleu</t>
  </si>
  <si>
    <t>bblownev</t>
  </si>
  <si>
    <t>awoodersonew</t>
  </si>
  <si>
    <t>etsy.com</t>
  </si>
  <si>
    <t>ghuotex</t>
  </si>
  <si>
    <t>jdruhaney</t>
  </si>
  <si>
    <t>edimitrijevicez</t>
  </si>
  <si>
    <t>yellowpages.com</t>
  </si>
  <si>
    <t>cpettegref0</t>
  </si>
  <si>
    <t>wachromovf1</t>
  </si>
  <si>
    <t>hsodenf2</t>
  </si>
  <si>
    <t>xthrelkeldf3</t>
  </si>
  <si>
    <t>cligertwoodf4</t>
  </si>
  <si>
    <t>rminoguef5</t>
  </si>
  <si>
    <t>chron.com</t>
  </si>
  <si>
    <t>aminghellaf6</t>
  </si>
  <si>
    <t>elpais.com</t>
  </si>
  <si>
    <t>mritchleyf7</t>
  </si>
  <si>
    <t>gantonovicf8</t>
  </si>
  <si>
    <t>dmarielf9</t>
  </si>
  <si>
    <t>goo.ne.jp</t>
  </si>
  <si>
    <t>gfuzzensfa</t>
  </si>
  <si>
    <t>zpiertonfb</t>
  </si>
  <si>
    <t>gmacdearmidfc</t>
  </si>
  <si>
    <t>whitehouse.gov</t>
  </si>
  <si>
    <t>mterrellfd</t>
  </si>
  <si>
    <t>kgostickfe</t>
  </si>
  <si>
    <t>areevesff</t>
  </si>
  <si>
    <t>rthrelfallfg</t>
  </si>
  <si>
    <t>dfennafh</t>
  </si>
  <si>
    <t>jskippingsfi</t>
  </si>
  <si>
    <t>ecoldhamfj</t>
  </si>
  <si>
    <t>horganerfk</t>
  </si>
  <si>
    <t>mapy.cz</t>
  </si>
  <si>
    <t>idelosfl</t>
  </si>
  <si>
    <t>ghughesdonfm</t>
  </si>
  <si>
    <t>sphinn.com</t>
  </si>
  <si>
    <t>sjarrelfn</t>
  </si>
  <si>
    <t>svassarfo</t>
  </si>
  <si>
    <t>hp.com</t>
  </si>
  <si>
    <t>kleaderfp</t>
  </si>
  <si>
    <t>nblanpeinfq</t>
  </si>
  <si>
    <t>kedgertonfr</t>
  </si>
  <si>
    <t>gstanningfs</t>
  </si>
  <si>
    <t>amacneiceft</t>
  </si>
  <si>
    <t>opalfreefu</t>
  </si>
  <si>
    <t>lovanesianfv</t>
  </si>
  <si>
    <t>gogilbyfw</t>
  </si>
  <si>
    <t>obarfffx</t>
  </si>
  <si>
    <t>rconnahfy</t>
  </si>
  <si>
    <t>printfriendly.com</t>
  </si>
  <si>
    <t>pmarranfz</t>
  </si>
  <si>
    <t>afroweng0</t>
  </si>
  <si>
    <t>hniesingg1</t>
  </si>
  <si>
    <t>btinseyg2</t>
  </si>
  <si>
    <t>wsj.com</t>
  </si>
  <si>
    <t>mmuslimg3</t>
  </si>
  <si>
    <t>gwebbeng4</t>
  </si>
  <si>
    <t>oheishamg5</t>
  </si>
  <si>
    <t>plala.or.jp</t>
  </si>
  <si>
    <t>rbananeg6</t>
  </si>
  <si>
    <t>si.edu</t>
  </si>
  <si>
    <t>tprobyg7</t>
  </si>
  <si>
    <t>ucla.edu</t>
  </si>
  <si>
    <t>akarusg8</t>
  </si>
  <si>
    <t>lwilcocksg9</t>
  </si>
  <si>
    <t>jdillistonga</t>
  </si>
  <si>
    <t>cistedgb</t>
  </si>
  <si>
    <t>webnode.com</t>
  </si>
  <si>
    <t>ghugillgc</t>
  </si>
  <si>
    <t>twyeldgd</t>
  </si>
  <si>
    <t>ldeeksge</t>
  </si>
  <si>
    <t>odnoklassniki.ru</t>
  </si>
  <si>
    <t>cduetschegf</t>
  </si>
  <si>
    <t>jdunstallgg</t>
  </si>
  <si>
    <t>dswalwellgh</t>
  </si>
  <si>
    <t>jpleasantsgi</t>
  </si>
  <si>
    <t>de.vu</t>
  </si>
  <si>
    <t>tniessgj</t>
  </si>
  <si>
    <t>foscroftgk</t>
  </si>
  <si>
    <t>tuttocitta.it</t>
  </si>
  <si>
    <t>dtolchardegl</t>
  </si>
  <si>
    <t>sdyergm</t>
  </si>
  <si>
    <t>jalbum.net</t>
  </si>
  <si>
    <t>jschohiergn</t>
  </si>
  <si>
    <t>cnet.com</t>
  </si>
  <si>
    <t>rgemelligo</t>
  </si>
  <si>
    <t>gbunneygp</t>
  </si>
  <si>
    <t>jbeiderbeckegq</t>
  </si>
  <si>
    <t>dmcghiegr</t>
  </si>
  <si>
    <t>ucsd.edu</t>
  </si>
  <si>
    <t>mguildgs</t>
  </si>
  <si>
    <t>hatena.ne.jp</t>
  </si>
  <si>
    <t>dshippardgt</t>
  </si>
  <si>
    <t>cladsongu</t>
  </si>
  <si>
    <t>umn.edu</t>
  </si>
  <si>
    <t>aswindallgv</t>
  </si>
  <si>
    <t>rratterygw</t>
  </si>
  <si>
    <t>jpettigrewgx</t>
  </si>
  <si>
    <t>mlehucquetgy</t>
  </si>
  <si>
    <t>va.gov</t>
  </si>
  <si>
    <t>ihearseygz</t>
  </si>
  <si>
    <t>emackaileh0</t>
  </si>
  <si>
    <t>kvakhrushevh1</t>
  </si>
  <si>
    <t>seakleh2</t>
  </si>
  <si>
    <t>archive.org</t>
  </si>
  <si>
    <t>sclynmansh3</t>
  </si>
  <si>
    <t>rpollackh4</t>
  </si>
  <si>
    <t>npr.org</t>
  </si>
  <si>
    <t>ctwisth5</t>
  </si>
  <si>
    <t>reuters.com</t>
  </si>
  <si>
    <t>adreweryh6</t>
  </si>
  <si>
    <t>stanford.edu</t>
  </si>
  <si>
    <t>llongboneh7</t>
  </si>
  <si>
    <t>hubpages.com</t>
  </si>
  <si>
    <t>ccoenh8</t>
  </si>
  <si>
    <t>kgingerh9</t>
  </si>
  <si>
    <t>mayoclinic.com</t>
  </si>
  <si>
    <t>ipartrickha</t>
  </si>
  <si>
    <t>mwesleyhb</t>
  </si>
  <si>
    <t>furl.net</t>
  </si>
  <si>
    <t>lmccurthc</t>
  </si>
  <si>
    <t>ahalwoodhd</t>
  </si>
  <si>
    <t>cgowdyhe</t>
  </si>
  <si>
    <t>ejannaschhf</t>
  </si>
  <si>
    <t>bburdounhg</t>
  </si>
  <si>
    <t>amunthh</t>
  </si>
  <si>
    <t>cisco.com</t>
  </si>
  <si>
    <t>gladewighi</t>
  </si>
  <si>
    <t>fstennerhj</t>
  </si>
  <si>
    <t>nationalgeographic.com</t>
  </si>
  <si>
    <t>eketchellhk</t>
  </si>
  <si>
    <t>fcorsorhl</t>
  </si>
  <si>
    <t>ksturleyhm</t>
  </si>
  <si>
    <t>bskeemorhn</t>
  </si>
  <si>
    <t>kaksellho</t>
  </si>
  <si>
    <t>ifeng.com</t>
  </si>
  <si>
    <t>mbabberhp</t>
  </si>
  <si>
    <t>ppetyaninhq</t>
  </si>
  <si>
    <t>fmcgairlhr</t>
  </si>
  <si>
    <t>hud.gov</t>
  </si>
  <si>
    <t>jattrillhs</t>
  </si>
  <si>
    <t>addtoany.com</t>
  </si>
  <si>
    <t>hbroxholmeht</t>
  </si>
  <si>
    <t>barnesandnoble.com</t>
  </si>
  <si>
    <t>tharberthu</t>
  </si>
  <si>
    <t>nifty.com</t>
  </si>
  <si>
    <t>gkornhv</t>
  </si>
  <si>
    <t>gnu.org</t>
  </si>
  <si>
    <t>wembertonhw</t>
  </si>
  <si>
    <t>wreaphx</t>
  </si>
  <si>
    <t>wbossonhy</t>
  </si>
  <si>
    <t>thetimes.co.uk</t>
  </si>
  <si>
    <t>dcranfieldhz</t>
  </si>
  <si>
    <t>dshuttlewoodi0</t>
  </si>
  <si>
    <t>cduthiei1</t>
  </si>
  <si>
    <t>privacy.gov.au</t>
  </si>
  <si>
    <t>nstranierii2</t>
  </si>
  <si>
    <t>rdorsayi3</t>
  </si>
  <si>
    <t>shinystat.com</t>
  </si>
  <si>
    <t>gbatkini4</t>
  </si>
  <si>
    <t>hexun.com</t>
  </si>
  <si>
    <t>vhutsbyi5</t>
  </si>
  <si>
    <t>answers.com</t>
  </si>
  <si>
    <t>bdecenti6</t>
  </si>
  <si>
    <t>mloffilli7</t>
  </si>
  <si>
    <t>economist.com</t>
  </si>
  <si>
    <t>tguiraui8</t>
  </si>
  <si>
    <t>ox.ac.uk</t>
  </si>
  <si>
    <t>wathowi9</t>
  </si>
  <si>
    <t>nmilingtonia</t>
  </si>
  <si>
    <t>csquibbsib</t>
  </si>
  <si>
    <t>bbirthic</t>
  </si>
  <si>
    <t>gferronelid</t>
  </si>
  <si>
    <t>dailymotion.com</t>
  </si>
  <si>
    <t>amcmillamie</t>
  </si>
  <si>
    <t>pfardyif</t>
  </si>
  <si>
    <t>wdoig</t>
  </si>
  <si>
    <t>marketwatch.com</t>
  </si>
  <si>
    <t>trebouletih</t>
  </si>
  <si>
    <t>tcanonii</t>
  </si>
  <si>
    <t>redcross.org</t>
  </si>
  <si>
    <t>tparkeij</t>
  </si>
  <si>
    <t>kivamyik</t>
  </si>
  <si>
    <t>dchuckil</t>
  </si>
  <si>
    <t>amazon.co.jp</t>
  </si>
  <si>
    <t>jwemesim</t>
  </si>
  <si>
    <t>heddiesin</t>
  </si>
  <si>
    <t>aorrocksio</t>
  </si>
  <si>
    <t>gfergysonip</t>
  </si>
  <si>
    <t>mogreadyiq</t>
  </si>
  <si>
    <t>rsellarir</t>
  </si>
  <si>
    <t>tamu.edu</t>
  </si>
  <si>
    <t>ighiroldiis</t>
  </si>
  <si>
    <t>efidgettit</t>
  </si>
  <si>
    <t>aboutads.info</t>
  </si>
  <si>
    <t>gendecottiu</t>
  </si>
  <si>
    <t>purevolume.com</t>
  </si>
  <si>
    <t>dbonnettiv</t>
  </si>
  <si>
    <t>smugmug.com</t>
  </si>
  <si>
    <t>ulewtyiw</t>
  </si>
  <si>
    <t>rgeneverix</t>
  </si>
  <si>
    <t>pwaneiy</t>
  </si>
  <si>
    <t>tlongmuiriz</t>
  </si>
  <si>
    <t>cmcgeouchj0</t>
  </si>
  <si>
    <t>aditchfieldj1</t>
  </si>
  <si>
    <t>jpahlj2</t>
  </si>
  <si>
    <t>rfeatenbyj3</t>
  </si>
  <si>
    <t>vbrentj4</t>
  </si>
  <si>
    <t>mmustoj5</t>
  </si>
  <si>
    <t>fjeromsonj6</t>
  </si>
  <si>
    <t>cmaylingj7</t>
  </si>
  <si>
    <t>vodeej8</t>
  </si>
  <si>
    <t>rmcinultyj9</t>
  </si>
  <si>
    <t>msn.com</t>
  </si>
  <si>
    <t>fbowerbankja</t>
  </si>
  <si>
    <t>bairsjb</t>
  </si>
  <si>
    <t>tpagetjc</t>
  </si>
  <si>
    <t>fturbaynejd</t>
  </si>
  <si>
    <t>wshentonje</t>
  </si>
  <si>
    <t>vdecentjf</t>
  </si>
  <si>
    <t>othakejg</t>
  </si>
  <si>
    <t>dpatkinjh</t>
  </si>
  <si>
    <t>rlantji</t>
  </si>
  <si>
    <t>toplist.cz</t>
  </si>
  <si>
    <t>bcomberbeachjj</t>
  </si>
  <si>
    <t>digg.com</t>
  </si>
  <si>
    <t>mcoddringtonjk</t>
  </si>
  <si>
    <t>smandeljl</t>
  </si>
  <si>
    <t>eperottijm</t>
  </si>
  <si>
    <t>cmcmurtyjn</t>
  </si>
  <si>
    <t>islaterjo</t>
  </si>
  <si>
    <t>dhaguejp</t>
  </si>
  <si>
    <t>bwiggjq</t>
  </si>
  <si>
    <t>htomsajr</t>
  </si>
  <si>
    <t>kgostalljs</t>
  </si>
  <si>
    <t>fselwinjt</t>
  </si>
  <si>
    <t>noaa.gov</t>
  </si>
  <si>
    <t>fduforeju</t>
  </si>
  <si>
    <t>skinsmanjv</t>
  </si>
  <si>
    <t>zdnet.com</t>
  </si>
  <si>
    <t>tfransemaijw</t>
  </si>
  <si>
    <t>ywynchjx</t>
  </si>
  <si>
    <t>bpoggjy</t>
  </si>
  <si>
    <t>tsamettjz</t>
  </si>
  <si>
    <t>kickstarter.com</t>
  </si>
  <si>
    <t>kcamelink0</t>
  </si>
  <si>
    <t>crosenzwigk1</t>
  </si>
  <si>
    <t>noherlihyk2</t>
  </si>
  <si>
    <t>bloglovin.com</t>
  </si>
  <si>
    <t>jdonalsonk3</t>
  </si>
  <si>
    <t>abeedk4</t>
  </si>
  <si>
    <t>desdev.cn</t>
  </si>
  <si>
    <t>edurtnelk5</t>
  </si>
  <si>
    <t>bspentonk6</t>
  </si>
  <si>
    <t>acquirethisname.com</t>
  </si>
  <si>
    <t>jhasserk7</t>
  </si>
  <si>
    <t>escamadenk8</t>
  </si>
  <si>
    <t>rmcglaughnk9</t>
  </si>
  <si>
    <t>gbalentyneka</t>
  </si>
  <si>
    <t>mlearmountkb</t>
  </si>
  <si>
    <t>wkemberykc</t>
  </si>
  <si>
    <t>llanchesterkd</t>
  </si>
  <si>
    <t>vdarrigoneke</t>
  </si>
  <si>
    <t>bszymonikf</t>
  </si>
  <si>
    <t>omitchinsonkg</t>
  </si>
  <si>
    <t>rimasonkh</t>
  </si>
  <si>
    <t>google.ru</t>
  </si>
  <si>
    <t>vbeynknki</t>
  </si>
  <si>
    <t>rlogeskj</t>
  </si>
  <si>
    <t>mpietrowiczkk</t>
  </si>
  <si>
    <t>globo.com</t>
  </si>
  <si>
    <t>kchattenkl</t>
  </si>
  <si>
    <t>dpurselowkm</t>
  </si>
  <si>
    <t>sneatekn</t>
  </si>
  <si>
    <t>delicious.com</t>
  </si>
  <si>
    <t>hwilshireko</t>
  </si>
  <si>
    <t>ehellyarkp</t>
  </si>
  <si>
    <t>comcast.net</t>
  </si>
  <si>
    <t>dloftskq</t>
  </si>
  <si>
    <t>vkontakte.ru</t>
  </si>
  <si>
    <t>asallisskr</t>
  </si>
  <si>
    <t>cgradyks</t>
  </si>
  <si>
    <t>sbanasiakkt</t>
  </si>
  <si>
    <t>vhedgesku</t>
  </si>
  <si>
    <t>feedburner.com</t>
  </si>
  <si>
    <t>gberkkv</t>
  </si>
  <si>
    <t>ncargokw</t>
  </si>
  <si>
    <t>mchampkx</t>
  </si>
  <si>
    <t>lakettky</t>
  </si>
  <si>
    <t>kivykz</t>
  </si>
  <si>
    <t>lglandonl0</t>
  </si>
  <si>
    <t>bwintersgilll1</t>
  </si>
  <si>
    <t>rberthl2</t>
  </si>
  <si>
    <t>esifletl3</t>
  </si>
  <si>
    <t>blogspot.com</t>
  </si>
  <si>
    <t>cchesserl4</t>
  </si>
  <si>
    <t>google.com.au</t>
  </si>
  <si>
    <t>cvickerl5</t>
  </si>
  <si>
    <t>ctejadal6</t>
  </si>
  <si>
    <t>unblog.fr</t>
  </si>
  <si>
    <t>rgilliardl7</t>
  </si>
  <si>
    <t>akindlesidel8</t>
  </si>
  <si>
    <t>casherl9</t>
  </si>
  <si>
    <t>rbenedttila</t>
  </si>
  <si>
    <t>gtremoliereslb</t>
  </si>
  <si>
    <t>jbutlandlc</t>
  </si>
  <si>
    <t>slate.com</t>
  </si>
  <si>
    <t>gdulintyld</t>
  </si>
  <si>
    <t>jblackiele</t>
  </si>
  <si>
    <t>cprettyjohnlf</t>
  </si>
  <si>
    <t>naver.com</t>
  </si>
  <si>
    <t>pbrownsteinlg</t>
  </si>
  <si>
    <t>ksplevingslh</t>
  </si>
  <si>
    <t>dcasleyli</t>
  </si>
  <si>
    <t>tmacinerneylj</t>
  </si>
  <si>
    <t>kdommlk</t>
  </si>
  <si>
    <t>mhamelynll</t>
  </si>
  <si>
    <t>wkochlinlm</t>
  </si>
  <si>
    <t>posterous.com</t>
  </si>
  <si>
    <t>kiredaleln</t>
  </si>
  <si>
    <t>bleavoldlo</t>
  </si>
  <si>
    <t>rlagadulp</t>
  </si>
  <si>
    <t>spythonlq</t>
  </si>
  <si>
    <t>byouseflr</t>
  </si>
  <si>
    <t>bchancels</t>
  </si>
  <si>
    <t>smarlt</t>
  </si>
  <si>
    <t>rwillislu</t>
  </si>
  <si>
    <t>freewebs.com</t>
  </si>
  <si>
    <t>dcissenlv</t>
  </si>
  <si>
    <t>pkemetzlw</t>
  </si>
  <si>
    <t>taobao.com</t>
  </si>
  <si>
    <t>brandalstonlx</t>
  </si>
  <si>
    <t>vbernlily</t>
  </si>
  <si>
    <t>msibleylz</t>
  </si>
  <si>
    <t>apapierzm0</t>
  </si>
  <si>
    <t>daronstamm1</t>
  </si>
  <si>
    <t>asurcombem2</t>
  </si>
  <si>
    <t>rpringleym3</t>
  </si>
  <si>
    <t>shakeworthm4</t>
  </si>
  <si>
    <t>fda.gov</t>
  </si>
  <si>
    <t>mtomlettm5</t>
  </si>
  <si>
    <t>afackneym6</t>
  </si>
  <si>
    <t>rsarsonsm7</t>
  </si>
  <si>
    <t>mhowseleem8</t>
  </si>
  <si>
    <t>cleipoldm9</t>
  </si>
  <si>
    <t>mknivettma</t>
  </si>
  <si>
    <t>cswashmb</t>
  </si>
  <si>
    <t>mmcgahymc</t>
  </si>
  <si>
    <t>ekiellormd</t>
  </si>
  <si>
    <t>edillintonme</t>
  </si>
  <si>
    <t>oboyackmf</t>
  </si>
  <si>
    <t>rpaddickmg</t>
  </si>
  <si>
    <t>nsleightmh</t>
  </si>
  <si>
    <t>ecallerymi</t>
  </si>
  <si>
    <t>jcortesemj</t>
  </si>
  <si>
    <t>clambdenmk</t>
  </si>
  <si>
    <t>sakura.ne.jp</t>
  </si>
  <si>
    <t>ablackwoodml</t>
  </si>
  <si>
    <t>rstockenmm</t>
  </si>
  <si>
    <t>mcannavanmn</t>
  </si>
  <si>
    <t>mwilbermo</t>
  </si>
  <si>
    <t>graittmp</t>
  </si>
  <si>
    <t>dbosheremq</t>
  </si>
  <si>
    <t>wairdsmr</t>
  </si>
  <si>
    <t>pelionms</t>
  </si>
  <si>
    <t>byewmanmt</t>
  </si>
  <si>
    <t>bbrimblecombmu</t>
  </si>
  <si>
    <t>aantoschmv</t>
  </si>
  <si>
    <t>lcottumw</t>
  </si>
  <si>
    <t>tthompkinsmx</t>
  </si>
  <si>
    <t>sboykettmy</t>
  </si>
  <si>
    <t>jriccimz</t>
  </si>
  <si>
    <t>maddicottn0</t>
  </si>
  <si>
    <t>csonnenscheinn1</t>
  </si>
  <si>
    <t>ncharvillen2</t>
  </si>
  <si>
    <t>mbonhann3</t>
  </si>
  <si>
    <t>fhoyn4</t>
  </si>
  <si>
    <t>akidneyn5</t>
  </si>
  <si>
    <t>time.com</t>
  </si>
  <si>
    <t>dbremingn6</t>
  </si>
  <si>
    <t>cargocollective.com</t>
  </si>
  <si>
    <t>mbunstonn7</t>
  </si>
  <si>
    <t>tiny.cc</t>
  </si>
  <si>
    <t>lphettisn8</t>
  </si>
  <si>
    <t>canalblog.com</t>
  </si>
  <si>
    <t>abiglyn9</t>
  </si>
  <si>
    <t>fgrishakinna</t>
  </si>
  <si>
    <t>ddominettinb</t>
  </si>
  <si>
    <t>rtribenc</t>
  </si>
  <si>
    <t>kantoszewskind</t>
  </si>
  <si>
    <t>pfaugheyne</t>
  </si>
  <si>
    <t>mkretchmernf</t>
  </si>
  <si>
    <t>alegisterng</t>
  </si>
  <si>
    <t>sroomnh</t>
  </si>
  <si>
    <t>dfiginni</t>
  </si>
  <si>
    <t>kduckersnj</t>
  </si>
  <si>
    <t>sfgate.com</t>
  </si>
  <si>
    <t>eotridgenk</t>
  </si>
  <si>
    <t>irumensnl</t>
  </si>
  <si>
    <t>lfiridolfinm</t>
  </si>
  <si>
    <t>hbuxsynn</t>
  </si>
  <si>
    <t>histats.com</t>
  </si>
  <si>
    <t>lfanthomeno</t>
  </si>
  <si>
    <t>smellernp</t>
  </si>
  <si>
    <t>jzecchinq</t>
  </si>
  <si>
    <t>go.com</t>
  </si>
  <si>
    <t>lsherebrookenr</t>
  </si>
  <si>
    <t>aembrans</t>
  </si>
  <si>
    <t>slashdot.org</t>
  </si>
  <si>
    <t>jkipplingnt</t>
  </si>
  <si>
    <t>github.com</t>
  </si>
  <si>
    <t>ipountainnu</t>
  </si>
  <si>
    <t>mjinkinnv</t>
  </si>
  <si>
    <t>cstaintonnw</t>
  </si>
  <si>
    <t>frosellininx</t>
  </si>
  <si>
    <t>qq.com</t>
  </si>
  <si>
    <t>rkitchinhamny</t>
  </si>
  <si>
    <t>rsircombnz</t>
  </si>
  <si>
    <t>amcmonnieso0</t>
  </si>
  <si>
    <t>niglesiaso1</t>
  </si>
  <si>
    <t>pfloato2</t>
  </si>
  <si>
    <t>nahmedo3</t>
  </si>
  <si>
    <t>ichrismaso4</t>
  </si>
  <si>
    <t>tbeckmanno5</t>
  </si>
  <si>
    <t>piacovoloo6</t>
  </si>
  <si>
    <t>iportchmoutho7</t>
  </si>
  <si>
    <t>devhub.com</t>
  </si>
  <si>
    <t>ebeverleyo8</t>
  </si>
  <si>
    <t>phenriqueto9</t>
  </si>
  <si>
    <t>pmitchamoa</t>
  </si>
  <si>
    <t>japanpost.jp</t>
  </si>
  <si>
    <t>abridalob</t>
  </si>
  <si>
    <t>shutterfly.com</t>
  </si>
  <si>
    <t>rbraybrooksoc</t>
  </si>
  <si>
    <t>pinterest.com</t>
  </si>
  <si>
    <t>amckeneyod</t>
  </si>
  <si>
    <t>dpionteroe</t>
  </si>
  <si>
    <t>edorseyof</t>
  </si>
  <si>
    <t>cmacrowog</t>
  </si>
  <si>
    <t>360.cn</t>
  </si>
  <si>
    <t>amerwedeoh</t>
  </si>
  <si>
    <t>hclemotoi</t>
  </si>
  <si>
    <t>ajuniferoj</t>
  </si>
  <si>
    <t>linkedin.com</t>
  </si>
  <si>
    <t>dmacnairok</t>
  </si>
  <si>
    <t>skippieol</t>
  </si>
  <si>
    <t>tturbanom</t>
  </si>
  <si>
    <t>mpetrosellion</t>
  </si>
  <si>
    <t>eepurl.com</t>
  </si>
  <si>
    <t>cbootymanoo</t>
  </si>
  <si>
    <t>oschuleop</t>
  </si>
  <si>
    <t>kchurchleyoq</t>
  </si>
  <si>
    <t>fthowesor</t>
  </si>
  <si>
    <t>ecokeos</t>
  </si>
  <si>
    <t>caaronsonot</t>
  </si>
  <si>
    <t>torrisou</t>
  </si>
  <si>
    <t>tinypic.com</t>
  </si>
  <si>
    <t>tbodsworthov</t>
  </si>
  <si>
    <t>uyokelow</t>
  </si>
  <si>
    <t>zgarnallox</t>
  </si>
  <si>
    <t>elakeroy</t>
  </si>
  <si>
    <t>ldanisoz</t>
  </si>
  <si>
    <t>eraddenburyp0</t>
  </si>
  <si>
    <t>mjeeksp1</t>
  </si>
  <si>
    <t>home.pl</t>
  </si>
  <si>
    <t>rraubenheimp2</t>
  </si>
  <si>
    <t>ncrosswaitep3</t>
  </si>
  <si>
    <t>rfeatherstonep4</t>
  </si>
  <si>
    <t>esherringtonp5</t>
  </si>
  <si>
    <t>csmonitor.com</t>
  </si>
  <si>
    <t>sbezleyp6</t>
  </si>
  <si>
    <t>obotlyp7</t>
  </si>
  <si>
    <t>hbrocktonp8</t>
  </si>
  <si>
    <t>mhallfordp9</t>
  </si>
  <si>
    <t>dstilliardpa</t>
  </si>
  <si>
    <t>chronoengine.com</t>
  </si>
  <si>
    <t>sbaulkpb</t>
  </si>
  <si>
    <t>pcastropc</t>
  </si>
  <si>
    <t>smosspd</t>
  </si>
  <si>
    <t>mrivardpe</t>
  </si>
  <si>
    <t>rbrittinpf</t>
  </si>
  <si>
    <t>jpearminepg</t>
  </si>
  <si>
    <t>gjoontjesph</t>
  </si>
  <si>
    <t>bsebertpi</t>
  </si>
  <si>
    <t>aclairpj</t>
  </si>
  <si>
    <t>rsherapk</t>
  </si>
  <si>
    <t>yfisonpl</t>
  </si>
  <si>
    <t>wmonnipm</t>
  </si>
  <si>
    <t>lhanbidgepn</t>
  </si>
  <si>
    <t>uwetwoodpo</t>
  </si>
  <si>
    <t>csiccombepp</t>
  </si>
  <si>
    <t>rszapiropq</t>
  </si>
  <si>
    <t>gswinepr</t>
  </si>
  <si>
    <t>lladymanps</t>
  </si>
  <si>
    <t>mbryerpt</t>
  </si>
  <si>
    <t>ijendryspu</t>
  </si>
  <si>
    <t>mfloyedpv</t>
  </si>
  <si>
    <t>rcurrypw</t>
  </si>
  <si>
    <t>aperchepx</t>
  </si>
  <si>
    <t>acaveaupy</t>
  </si>
  <si>
    <t>state.tx.us</t>
  </si>
  <si>
    <t>bcarrettpz</t>
  </si>
  <si>
    <t>aateridgeq0</t>
  </si>
  <si>
    <t>cdillamoreq1</t>
  </si>
  <si>
    <t>dverissimoq2</t>
  </si>
  <si>
    <t>sambrogioniq3</t>
  </si>
  <si>
    <t>ahaydenq4</t>
  </si>
  <si>
    <t>dailymail.co.uk</t>
  </si>
  <si>
    <t>sjiracekq5</t>
  </si>
  <si>
    <t>alongmateq6</t>
  </si>
  <si>
    <t>wzottoliq7</t>
  </si>
  <si>
    <t>dletfordq8</t>
  </si>
  <si>
    <t>hdarceyq9</t>
  </si>
  <si>
    <t>dzuanazziqa</t>
  </si>
  <si>
    <t>acastanagaqb</t>
  </si>
  <si>
    <t>kjendrysqc</t>
  </si>
  <si>
    <t>rannableqd</t>
  </si>
  <si>
    <t>nasa.gov</t>
  </si>
  <si>
    <t>dvasyukhnovqe</t>
  </si>
  <si>
    <t>scroftqf</t>
  </si>
  <si>
    <t>hproudlerqg</t>
  </si>
  <si>
    <t>tmontesqh</t>
  </si>
  <si>
    <t>fchasneyqi</t>
  </si>
  <si>
    <t>eebbingsqj</t>
  </si>
  <si>
    <t>tboyettqk</t>
  </si>
  <si>
    <t>citzcakql</t>
  </si>
  <si>
    <t>mlinnitqm</t>
  </si>
  <si>
    <t>lravenscroftqn</t>
  </si>
  <si>
    <t>bbonhomeqo</t>
  </si>
  <si>
    <t>bschulterqp</t>
  </si>
  <si>
    <t>oakley.com</t>
  </si>
  <si>
    <t>mpardeyqq</t>
  </si>
  <si>
    <t>jcoltartqr</t>
  </si>
  <si>
    <t>cgoodludqs</t>
  </si>
  <si>
    <t>ngillianqt</t>
  </si>
  <si>
    <t>njellisqu</t>
  </si>
  <si>
    <t>sboothmanqv</t>
  </si>
  <si>
    <t>njumonetqw</t>
  </si>
  <si>
    <t>marrighiniqx</t>
  </si>
  <si>
    <t>irecherqy</t>
  </si>
  <si>
    <t>pleteveqz</t>
  </si>
  <si>
    <t>lbriscor0</t>
  </si>
  <si>
    <t>gmammattr1</t>
  </si>
  <si>
    <t>ekopfr2</t>
  </si>
  <si>
    <t>bcowserr3</t>
  </si>
  <si>
    <t>fema.gov</t>
  </si>
  <si>
    <t>gzannotellir4</t>
  </si>
  <si>
    <t>maherner5</t>
  </si>
  <si>
    <t>rcarvillar6</t>
  </si>
  <si>
    <t>pholberryr7</t>
  </si>
  <si>
    <t>vhazelgrover8</t>
  </si>
  <si>
    <t>rtwiddler9</t>
  </si>
  <si>
    <t>mleathwoodra</t>
  </si>
  <si>
    <t>kwalkleyrb</t>
  </si>
  <si>
    <t>mgarthsiderc</t>
  </si>
  <si>
    <t>ihemblingrd</t>
  </si>
  <si>
    <t>bklessre</t>
  </si>
  <si>
    <t>vhamleyrf</t>
  </si>
  <si>
    <t>ghowserg</t>
  </si>
  <si>
    <t>ihg.com</t>
  </si>
  <si>
    <t>caldersearh</t>
  </si>
  <si>
    <t>hdebankeri</t>
  </si>
  <si>
    <t>ndanfordrj</t>
  </si>
  <si>
    <t>goodreads.com</t>
  </si>
  <si>
    <t>gpetzrk</t>
  </si>
  <si>
    <t>lbonellierl</t>
  </si>
  <si>
    <t>qkarlolakrm</t>
  </si>
  <si>
    <t>omarrianrn</t>
  </si>
  <si>
    <t>patch.com</t>
  </si>
  <si>
    <t>pcasieroro</t>
  </si>
  <si>
    <t>baldridgerp</t>
  </si>
  <si>
    <t>jbrunsdenrq</t>
  </si>
  <si>
    <t>efullardrr</t>
  </si>
  <si>
    <t>Domain</t>
  </si>
  <si>
    <t>Username</t>
  </si>
  <si>
    <t>N/A</t>
  </si>
  <si>
    <t>ConstructioN/Ag Equipment/Trucks</t>
  </si>
  <si>
    <t>Secondary IP</t>
  </si>
  <si>
    <t>Location</t>
  </si>
  <si>
    <t>Data Status</t>
  </si>
  <si>
    <t>Row Labels</t>
  </si>
  <si>
    <t>(blank)</t>
  </si>
  <si>
    <t>Grand Total</t>
  </si>
  <si>
    <t>Average of Market Cap2</t>
  </si>
  <si>
    <t>Sum of Volume</t>
  </si>
  <si>
    <t>Gender2</t>
  </si>
  <si>
    <t>Market Cap3</t>
  </si>
  <si>
    <t>Total</t>
  </si>
  <si>
    <t xml:space="preserve"> </t>
  </si>
  <si>
    <t>Total Records</t>
  </si>
  <si>
    <t>Complete Records</t>
  </si>
  <si>
    <t>Missing Records</t>
  </si>
  <si>
    <t>Sum of Market Cap3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</si>
</sst>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164" formatCode="[$-F800]dddd\,\ mmmm\ dd\,\ yyyy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34" borderId="10" xfId="0" applyFont="1" applyFill="1" applyBorder="1"/>
    <xf numFmtId="2" fontId="0" fillId="34" borderId="10" xfId="0" applyNumberFormat="1" applyFont="1" applyFill="1" applyBorder="1"/>
    <xf numFmtId="10" fontId="0" fillId="34" borderId="10" xfId="0" applyNumberFormat="1" applyFont="1" applyFill="1" applyBorder="1"/>
    <xf numFmtId="164" fontId="0" fillId="34" borderId="10" xfId="0" applyNumberFormat="1" applyFont="1" applyFill="1" applyBorder="1"/>
    <xf numFmtId="0" fontId="13" fillId="33" borderId="11" xfId="0" applyFont="1" applyFill="1" applyBorder="1"/>
    <xf numFmtId="2" fontId="13" fillId="33" borderId="11" xfId="0" applyNumberFormat="1" applyFont="1" applyFill="1" applyBorder="1"/>
    <xf numFmtId="10" fontId="13" fillId="33" borderId="11" xfId="0" applyNumberFormat="1" applyFont="1" applyFill="1" applyBorder="1"/>
    <xf numFmtId="164" fontId="13" fillId="33" borderId="11" xfId="0" applyNumberFormat="1" applyFont="1" applyFill="1" applyBorder="1"/>
    <xf numFmtId="0" fontId="0" fillId="34" borderId="11" xfId="0" applyFont="1" applyFill="1" applyBorder="1"/>
    <xf numFmtId="10" fontId="0" fillId="34" borderId="11" xfId="0" applyNumberFormat="1" applyFont="1" applyFill="1" applyBorder="1"/>
    <xf numFmtId="164" fontId="0" fillId="34" borderId="11" xfId="0" applyNumberFormat="1" applyFont="1" applyFill="1" applyBorder="1"/>
    <xf numFmtId="0" fontId="0" fillId="0" borderId="11" xfId="0" applyFont="1" applyBorder="1"/>
    <xf numFmtId="10" fontId="0" fillId="0" borderId="11" xfId="0" applyNumberFormat="1" applyFont="1" applyBorder="1"/>
    <xf numFmtId="164" fontId="0" fillId="0" borderId="11" xfId="0" applyNumberFormat="1" applyFont="1" applyBorder="1"/>
    <xf numFmtId="0" fontId="0" fillId="0" borderId="0" xfId="0" applyNumberFormat="1"/>
    <xf numFmtId="165" fontId="0" fillId="34" borderId="11" xfId="0" applyNumberFormat="1" applyFont="1" applyFill="1" applyBorder="1"/>
    <xf numFmtId="0" fontId="0" fillId="0" borderId="0" xfId="0" applyAlignment="1">
      <alignment horizontal="left" indent="1"/>
    </xf>
    <xf numFmtId="0" fontId="18" fillId="34" borderId="0" xfId="0" applyFont="1" applyFill="1" applyBorder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OCK_DATA_Cleaned%20-%20Copy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ED" refreshedDate="46259.807155324073" createdVersion="6" refreshedVersion="6" minRefreshableVersion="3" recordCount="1001">
  <cacheSource type="worksheet">
    <worksheetSource ref="A1:V1002" sheet="MOCK_DATA" r:id="rId2"/>
  </cacheSource>
  <cacheFields count="23">
    <cacheField name="Username" numFmtId="0">
      <sharedItems containsBlank="1"/>
    </cacheField>
    <cacheField name="Domain" numFmtId="0">
      <sharedItems containsBlank="1"/>
    </cacheField>
    <cacheField name="First Name" numFmtId="0">
      <sharedItems containsBlank="1"/>
    </cacheField>
    <cacheField name="Last Name" numFmtId="0">
      <sharedItems containsBlank="1"/>
    </cacheField>
    <cacheField name="Gender" numFmtId="0">
      <sharedItems containsBlank="1"/>
    </cacheField>
    <cacheField name="Gender2" numFmtId="0">
      <sharedItems containsBlank="1"/>
    </cacheField>
    <cacheField name="IP Address" numFmtId="0">
      <sharedItems containsBlank="1"/>
    </cacheField>
    <cacheField name="Secondary IP" numFmtId="0">
      <sharedItems containsBlank="1"/>
    </cacheField>
    <cacheField name="Location" numFmtId="0">
      <sharedItems containsString="0" containsBlank="1" containsNumber="1" containsInteger="1" minValue="1" maxValue="1000"/>
    </cacheField>
    <cacheField name="Id" numFmtId="0">
      <sharedItems containsString="0" containsBlank="1" containsNumber="1" containsInteger="1" minValue="1" maxValue="1000"/>
    </cacheField>
    <cacheField name="Market" numFmtId="0">
      <sharedItems containsBlank="1"/>
    </cacheField>
    <cacheField name="Symbol" numFmtId="0">
      <sharedItems containsBlank="1"/>
    </cacheField>
    <cacheField name="Name" numFmtId="0">
      <sharedItems containsBlank="1"/>
    </cacheField>
    <cacheField name="Sector" numFmtId="0">
      <sharedItems containsBlank="1" count="14">
        <s v="Health Care"/>
        <s v="Capital Goods"/>
        <s v="N/A"/>
        <s v="Finance"/>
        <s v="Technology"/>
        <s v="Consumer Non-Durables"/>
        <s v="Consumer Services"/>
        <s v="Miscellaneous"/>
        <s v="Public Utilities"/>
        <s v="Energy"/>
        <s v="Basic Industries"/>
        <s v="Consumer Durables"/>
        <s v="Transportation"/>
        <m/>
      </sharedItems>
    </cacheField>
    <cacheField name="Industry" numFmtId="0">
      <sharedItems containsBlank="1"/>
    </cacheField>
    <cacheField name="Market Cap" numFmtId="0">
      <sharedItems containsBlank="1"/>
    </cacheField>
    <cacheField name="Market Cap2" numFmtId="0">
      <sharedItems containsString="0" containsBlank="1" containsNumber="1" minValue="0" maxValue="229320000000"/>
    </cacheField>
    <cacheField name="Price" numFmtId="0">
      <sharedItems containsString="0" containsBlank="1" containsNumber="1" minValue="1.38" maxValue="1999.16"/>
    </cacheField>
    <cacheField name="Change Percent" numFmtId="10">
      <sharedItems containsString="0" containsBlank="1" containsNumber="1" minValue="-19.96" maxValue="19.95"/>
    </cacheField>
    <cacheField name="Volume" numFmtId="0">
      <sharedItems containsString="0" containsBlank="1" containsNumber="1" containsInteger="1" minValue="224555" maxValue="199860928"/>
    </cacheField>
    <cacheField name="Last Trade Time" numFmtId="164">
      <sharedItems containsNonDate="0" containsDate="1" containsString="0" containsBlank="1" minDate="2020-01-02T00:00:00" maxDate="2026-12-30T00:00:00"/>
    </cacheField>
    <cacheField name="Data Status" numFmtId="0">
      <sharedItems/>
    </cacheField>
    <cacheField name="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RED" refreshedDate="46259.818525810188" createdVersion="6" refreshedVersion="6" minRefreshableVersion="3" recordCount="1001">
  <cacheSource type="worksheet">
    <worksheetSource ref="A1:V1001" sheet="MOCK_DATA"/>
  </cacheSource>
  <cacheFields count="23">
    <cacheField name="Username" numFmtId="0">
      <sharedItems containsBlank="1"/>
    </cacheField>
    <cacheField name="Domain" numFmtId="0">
      <sharedItems containsBlank="1"/>
    </cacheField>
    <cacheField name="First Name" numFmtId="0">
      <sharedItems containsBlank="1"/>
    </cacheField>
    <cacheField name="Last Name" numFmtId="0">
      <sharedItems containsBlank="1"/>
    </cacheField>
    <cacheField name="Gender" numFmtId="0">
      <sharedItems containsBlank="1"/>
    </cacheField>
    <cacheField name="Gender2" numFmtId="0">
      <sharedItems containsBlank="1"/>
    </cacheField>
    <cacheField name="IP Address" numFmtId="0">
      <sharedItems containsBlank="1"/>
    </cacheField>
    <cacheField name="Secondary IP" numFmtId="0">
      <sharedItems containsBlank="1"/>
    </cacheField>
    <cacheField name="Location" numFmtId="0">
      <sharedItems containsString="0" containsBlank="1" containsNumber="1" containsInteger="1" minValue="1" maxValue="1000"/>
    </cacheField>
    <cacheField name="Id" numFmtId="0">
      <sharedItems containsString="0" containsBlank="1" containsNumber="1" containsInteger="1" minValue="1" maxValue="1000"/>
    </cacheField>
    <cacheField name="Market" numFmtId="0">
      <sharedItems containsBlank="1" count="3">
        <s v="NASDAQ"/>
        <s v="NYSE"/>
        <m/>
      </sharedItems>
    </cacheField>
    <cacheField name="Symbol" numFmtId="0">
      <sharedItems containsBlank="1"/>
    </cacheField>
    <cacheField name="Name" numFmtId="0">
      <sharedItems containsBlank="1" count="887">
        <s v="Eagle Pharmaceuticals, Inc."/>
        <s v="Medovex Corp."/>
        <s v="Shiloh Industries, Inc."/>
        <s v="CYS Investments, Inc."/>
        <s v="Special Opportunities Fund Inc."/>
        <s v="Arch Capital Group Ltd."/>
        <s v="Ita? CorpBanca"/>
        <s v="Presidio, Inc."/>
        <s v="CPI Card Group Inc."/>
        <s v="Western Asset Global Corporate Defined Opportunity Fund Inc."/>
        <s v="General Mills, Inc."/>
        <s v="Monmouth Real Estate Investment Corporation"/>
        <s v="500.com Limited"/>
        <s v="athenahealth, Inc."/>
        <s v="China Ceramics Co., Ltd."/>
        <s v="United States Cellular Corporation"/>
        <s v="Cabot Oil &amp; Gas Corporation"/>
        <s v="Hoegh LNG Partners LP"/>
        <s v="M&amp;T Bank Corporation"/>
        <s v="Becton, Dickinson and Company"/>
        <s v="Southern Company (The)"/>
        <s v="Zynga Inc."/>
        <s v="Lsb Industries Inc."/>
        <s v="ABIOMED, Inc."/>
        <s v="Payment Data Systems, Inc."/>
        <s v="Asure Software Inc"/>
        <s v="Nuven Mortgage Opportunity Term Fund 2"/>
        <s v="Advent Claymore Convertible Securities and Income Fund"/>
        <s v="Leaf Group Ltd."/>
        <s v="ICF International, Inc."/>
        <s v="Chembio Diagnostics, Inc."/>
        <s v="WCF Bancorp, Inc."/>
        <s v="Etsy, Inc."/>
        <s v="Insteel Industries, Inc."/>
        <s v="National Holdings Corporation"/>
        <s v="Regal Entertainment Group"/>
        <s v="NetSol Technologies Inc."/>
        <s v="Orchid Island Capital, Inc."/>
        <s v="Orbital ATK, Inc."/>
        <s v="Appian Corporation"/>
        <s v="TravelCenters of America LLC"/>
        <s v="Ultragenyx Pharmaceutical Inc."/>
        <s v="NASDAQ TEST STOCK"/>
        <s v="American Electric Technologies, Inc."/>
        <s v="Protective Life Corporation"/>
        <s v="Bank of America Corporation"/>
        <s v="Credit Acceptance Corporation"/>
        <s v="Barclays Inverse US Treasury Composite ETN"/>
        <s v="Team, Inc."/>
        <s v="PIMCO California Municipal Income Fund III"/>
        <s v="Western Alliance Bancorporation"/>
        <s v="Mesa Royalty Trust"/>
        <s v="Gladstone Capital Corporation"/>
        <s v="Aflac Incorporated"/>
        <s v="Ultra Clean Holdings, Inc."/>
        <s v="J P Morgan Chase &amp; Co"/>
        <s v="Interactive Brokers Group, Inc."/>
        <s v="First Foundation Inc."/>
        <s v="Dun &amp; Bradstreet Corporation (The)"/>
        <s v="Invesco Value Municipal Income Trust"/>
        <s v="Sunstone Hotel Investors, Inc."/>
        <s v="Moody's Corporation"/>
        <s v="X-Links Gold Shares Covered Call ETN"/>
        <s v="BCB Bancorp, Inc. (NJ)"/>
        <s v="Key Tronic Corporation"/>
        <s v="California Resources Corporation"/>
        <s v="First Horizon National Corporation"/>
        <s v="Northeast Bancorp"/>
        <s v="Legg Mason Low Volatility High Dividend ETF"/>
        <s v="Lazard Global Total Return and Income Fund"/>
        <s v="Hersha Hospitality Trust"/>
        <s v="BioSpecifics Technologies Corp"/>
        <s v="Renasant Corporation"/>
        <s v="China New Borun Corporation"/>
        <s v="PartnerRe Ltd."/>
        <s v="Pebblebrook Hotel Trust"/>
        <s v="Aspen Insurance Holdings Limited"/>
        <s v="WNS (Holdings) Limited"/>
        <s v="Invitae Corporation"/>
        <s v="Crane Company"/>
        <s v="Saban Capital Acquisition Corp."/>
        <s v="QEP Resources, Inc."/>
        <s v="Franklin Universal Trust"/>
        <s v="InVivo Therapeutics Holdings Corp."/>
        <s v="Ekso Bionics Holdings, Inc."/>
        <s v="Iteris, Inc."/>
        <s v="Cott Corporation"/>
        <s v="Realogy Holdings Corp."/>
        <s v="Midland States Bancorp, Inc."/>
        <s v="REV Group, Inc."/>
        <s v="Lumos Networks Corp."/>
        <s v="THL Credit Senior Loan Fund"/>
        <s v="Churchill Downs, Incorporated"/>
        <s v="Lennox International, Inc."/>
        <s v="CDW Corporation"/>
        <s v="Pure Cycle Corporation"/>
        <s v="Silver Run Acquisition Corporation II"/>
        <s v="TCF Financial Corporation"/>
        <s v="America Movil, S.A.B. de C.V."/>
        <s v="Northern Trust Corporation"/>
        <s v="General Finance Corporation"/>
        <s v="Wells Fargo &amp; Company"/>
        <s v="Agrium Inc."/>
        <s v="Check-Cap Ltd."/>
        <s v="Templeton Emerging Markets Fund"/>
        <s v="Baytex Energy Corp"/>
        <s v="Nexeo Solutions, Inc."/>
        <s v="Blackrock Enhanced Government Fund, Inc"/>
        <s v="Arconic Inc."/>
        <s v="Cinemark Holdings Inc"/>
        <s v="Invesco Credit Opportunities Fund"/>
        <s v="CASI Pharmaceuticals, Inc."/>
        <s v="Quinpario Acquisition Corp. 2"/>
        <s v="HealthEquity, Inc."/>
        <s v="AMAG Pharmaceuticals, Inc."/>
        <s v="FNB Bancorp"/>
        <s v="Synthetic Fixed-Income Securities, Inc."/>
        <s v="First Interstate BancSystem, Inc."/>
        <s v="American States Water Company"/>
        <s v="Helmerich &amp; Payne, Inc."/>
        <s v="Weis Markets, Inc."/>
        <s v="Lincoln Electric Holdings, Inc."/>
        <s v="Vanguard International High Dividend Yield ETF"/>
        <s v="TICC Capital Corp."/>
        <s v="Avnet, Inc."/>
        <s v="Cullen/Frost Bankers, Inc."/>
        <s v="The Dixie Group, Inc."/>
        <s v="Davis Select Worldwide ETF"/>
        <s v="Hawaiian Telcom Holdco, Inc."/>
        <s v="Range Resources Corporation"/>
        <s v="Continental Building Products, Inc."/>
        <s v="Cass Information Systems, Inc"/>
        <s v="Public Storage"/>
        <s v="WisdomTree Barclays Interest Rate Hedged U.S. Aggregate Bond F"/>
        <s v="Putnam High Income Bond Fund"/>
        <s v="Gladstone Investment Corporation"/>
        <s v="On Track Innovations Ltd"/>
        <s v="Nuveen Real Estate Fund"/>
        <s v="AxoGen, Inc."/>
        <s v="Hailiang Education Group Inc."/>
        <s v="Orion Group Holdings, Inc."/>
        <s v="Coty Inc."/>
        <s v="Blackrock MuniYield Investment QualityFund"/>
        <s v="FleetCor Technologies, Inc."/>
        <s v="ViaSat, Inc."/>
        <s v="Terreno Realty Corporation"/>
        <s v="Weibo Corporation"/>
        <s v="Double Eagle Acquisition Corp."/>
        <s v="Silgan Holdings Inc."/>
        <s v="PayPal Holdings, Inc."/>
        <s v="Maiden Holdings, Ltd."/>
        <s v="Red Hat, Inc."/>
        <s v="Colony NorthStar, Inc."/>
        <s v="Enterprise Bancorp Inc"/>
        <s v="CMS Energy Corporation"/>
        <s v="ConforMIS, Inc."/>
        <s v="Bioanalytical Systems, Inc."/>
        <s v="Lilis Energy, Inc."/>
        <s v="Veracyte, Inc."/>
        <s v="Ball Corporation"/>
        <s v="Ingersoll-Rand plc (Ireland)"/>
        <s v="ASB Bancorp, Inc."/>
        <s v="Owens-Illinois, Inc."/>
        <s v="Nuveen Preferred and Income 2022 Term Fund"/>
        <s v="Catalent, Inc."/>
        <s v="Parke Bancorp, Inc."/>
        <s v="M B T Financial Corp"/>
        <s v="Yintech Investment Holdings Limited"/>
        <s v="Female Health Company (The)"/>
        <s v="O2Micro International Limited"/>
        <s v="Cintas Corporation"/>
        <s v="Southern Copper Corporation"/>
        <s v="AK Steel Holding Corporation"/>
        <s v="MacroGenics, Inc."/>
        <s v="Seaspan Corporation"/>
        <s v="Wintrust Financial Corporation"/>
        <s v="Deutsche Bank AG"/>
        <s v="MyoKardia, Inc."/>
        <s v="Scotts Miracle-Gro Company (The)"/>
        <s v="Masco Corporation"/>
        <s v="PowerShares DWA NASDAQ Momentum Portfolio"/>
        <s v="Gentex Corporation"/>
        <s v="Walker &amp; Dunlop, Inc."/>
        <s v="PowerShares 1-30 Laddered Treasury Portfolio"/>
        <s v="Air Products and Chemicals, Inc."/>
        <s v="PPlus Trust"/>
        <s v="Granite Construction Incorporated"/>
        <s v="Cutera, Inc."/>
        <s v="Biogen Inc."/>
        <s v="Mesabi Trust"/>
        <s v="China Commercial Credit, Inc."/>
        <s v="Ottawa Bancorp, Inc."/>
        <s v="Summit State Bank"/>
        <s v="Pharmerica Corporation"/>
        <s v="Shopify Inc."/>
        <s v="SPX FLOW, Inc."/>
        <s v="Hollysys Automation Technologies, Ltd."/>
        <s v="Nuveen North Carolina Quality Municipal Income Fd"/>
        <s v="Rexford Industrial Realty, Inc."/>
        <s v="Kingstone Companies, Inc"/>
        <s v="TAL Education Group"/>
        <s v="Capstone Turbine Corporation"/>
        <s v="Chanticleer Holdings, Inc."/>
        <s v="Spark Energy, Inc."/>
        <s v="NCI, Inc."/>
        <s v="STERIS plc"/>
        <s v="VelocityShares VIX Medium-Term ETN"/>
        <s v="Lions Gate Entertainment Corporation"/>
        <s v="KeyCorp"/>
        <s v="Braskem S.A."/>
        <s v="Viacom Inc."/>
        <s v="DST Systems, Inc."/>
        <s v="AirMedia Group Inc"/>
        <s v="Nutanix, Inc."/>
        <s v="Biostage, Inc."/>
        <s v="First Bank"/>
        <s v="Stellus Capital Investment Corporation"/>
        <s v="European Equity Fund, Inc. (The)"/>
        <s v="Qualstar Corporation"/>
        <s v="Manning &amp; Napier, Inc."/>
        <s v="Psychemedics Corporation"/>
        <s v="Cellect Biotechnology Ltd."/>
        <s v="Allegiance Bancshares, Inc."/>
        <s v="Comp En De Mn Cemig ADS"/>
        <s v="Tenax Therapeutics, Inc."/>
        <s v="Check Point Software Technologies Ltd."/>
        <s v="BJ's Restaurants, Inc."/>
        <s v="Progress Software Corporation"/>
        <s v="uniQure N.V."/>
        <s v="Dollar Tree, Inc."/>
        <s v="Quality Systems, Inc."/>
        <s v="First Financial Bancorp."/>
        <s v="One Horizon Group, Inc."/>
        <s v="TOR Minerals International Inc"/>
        <s v="Educational Development Corporation"/>
        <s v="Anthem, Inc."/>
        <s v="Cobalt International Energy, Inc."/>
        <s v="Resolute Forest Products Inc."/>
        <s v="Diamondrock Hospitality Company"/>
        <s v="First Trust Dorsey Wright Focus 5 ETF"/>
        <s v="ContraVir Pharmaceuticals Inc"/>
        <s v="Blackrock MuniYield New York Quality Fund, Inc."/>
        <s v="CryoLife, Inc."/>
        <s v="Global X Millennials Thematic ETF"/>
        <s v="United Bankshares, Inc."/>
        <s v="Prospect Capital Corporation"/>
        <s v="Gabelli Global Small and Mid Cap Value Trust (The)"/>
        <s v="GCP Applied Technologies Inc."/>
        <s v="Triumph Bancorp, Inc."/>
        <s v="TrustCo Bank Corp NY"/>
        <s v="Tortoise Energy Infrastructure Corporation"/>
        <s v="First Trust RiverFront Dynamic Europe ETF"/>
        <s v="Cray Inc"/>
        <s v="Deltic Timber Corporation"/>
        <s v="Identiv, Inc."/>
        <s v="First Guaranty Bancshares, Inc."/>
        <s v="Sabra Healthcare REIT, Inc."/>
        <s v="Diana Shipping inc."/>
        <s v="Rand Capital Corporation"/>
        <s v="Oxbridge Re Holdings Limited"/>
        <s v="Axar Acquisition Corp."/>
        <s v="United Continental Holdings, Inc."/>
        <s v="Red Rock Resorts, Inc."/>
        <s v="Canadian National Railway Company"/>
        <s v="HomeTrust Bancshares, Inc."/>
        <s v="Pimco New York Municipal Income Fund II"/>
        <s v="SMART Global Holdings, Inc."/>
        <s v="Solar Senior Capital Ltd."/>
        <s v="Diversified Real Asset Income Fund"/>
        <s v="Boyd Gaming Corporation"/>
        <s v="QTS Realty Trust, Inc."/>
        <s v="State Auto Financial Corporation"/>
        <s v="JA Solar Holdings, Co., Ltd."/>
        <s v="Cohen &amp; Steers Total Return Realty Fund, Inc."/>
        <s v="Triangle Capital Corporation"/>
        <s v="RAIT Financial Trust"/>
        <s v="Atlassian Corporation Plc"/>
        <s v="Encore Wire Corporation"/>
        <s v="American Financial Group, Inc."/>
        <s v="iRobot Corporation"/>
        <s v="Sensus Healthcare, Inc."/>
        <s v="MFS Government Markets Income Trust"/>
        <s v="Great Elm Capital Group, Inc. "/>
        <s v="Bio-Rad Laboratories, Inc."/>
        <s v="Navistar International Corporation"/>
        <s v="Watts Water Technologies, Inc."/>
        <s v="Eastman Kodak Company"/>
        <s v="MS Structured Asset Corp Saturns GE Cap Corp Series 2002-14"/>
        <s v="Winnebago Industries, Inc."/>
        <s v="South State Corporation"/>
        <s v="Wells Fargo Global Dividend Opportunity Fund"/>
        <s v="Willamette Valley Vineyards, Inc."/>
        <s v="Pope Resources"/>
        <s v="Marvell Technology Group Ltd."/>
        <s v="XG Technology, Inc"/>
        <s v="Akari Therapeutics Plc"/>
        <s v="Bio-Techne Corp"/>
        <s v="WGL Holdings Inc"/>
        <s v="Landcadia Holdings, Inc."/>
        <s v="Enel Generacion Chile S.A."/>
        <s v="VelocityShares VIX Short-Term ETN"/>
        <s v="Quality Care Properties, Inc."/>
        <s v="Silver Standard Resources Inc."/>
        <s v="Blackstone GSO Senior Floating Rate Term Fund"/>
        <s v="Tupperware Brands Corporation"/>
        <s v="Qwest Corporation"/>
        <s v="IXYS Corporation"/>
        <s v="Chesapeake Utilities Corporation"/>
        <s v="Barracuda Networks, Inc."/>
        <s v="Sanmina Corporation"/>
        <s v="Calithera Biosciences, Inc."/>
        <s v="Westmoreland Resource Partners, LP"/>
        <s v="Just Energy Group, Inc."/>
        <s v="Annaly Capital Management Inc"/>
        <s v="Accelerate Diagnostics, Inc."/>
        <s v="Lipocine Inc."/>
        <s v="Concordia International Corp."/>
        <s v="Genworth Financial Inc"/>
        <s v="CytomX Therapeutics, Inc."/>
        <s v="Yum! Brands, Inc."/>
        <s v="Korn/Ferry International"/>
        <s v="Splunk Inc."/>
        <s v="BioShares Biotechnology Clinical Trials Fund"/>
        <s v="Forward Pharma A/S"/>
        <s v="Eaton Vance Floating Rate Income Trust"/>
        <s v="Banco Santander, S.A."/>
        <s v="SmartFinancial, Inc."/>
        <s v="CoBiz Financial Inc."/>
        <s v="UMB Financial Corporation"/>
        <s v="UNIVERSAL INSURANCE HOLDINGS INC"/>
        <s v="Chimera Investment Corporation"/>
        <s v="A. Schulman, Inc."/>
        <s v="Balchem Corporation"/>
        <s v="Second Sight Medical Products, Inc."/>
        <s v="Summit Midstream Partners, LP"/>
        <s v="Achillion Pharmaceuticals, Inc."/>
        <s v="Lantheus Holdings, Inc."/>
        <s v="Codorus Valley Bancorp, Inc"/>
        <s v="Permian Basin Royalty Trust"/>
        <s v="Dupont Fabros Technology, Inc."/>
        <s v="Cenveo Inc"/>
        <s v="WEC Energy Group, Inc."/>
        <s v="U.S. Physical Therapy, Inc."/>
        <s v="Wheeler Real Estate Investment Trust, Inc."/>
        <s v="PowerShares S&amp;P SmallCap Industrials Portfolio"/>
        <s v="Playa Hotels &amp; Resorts N.V."/>
        <s v="Accenture plc"/>
        <s v="Ross Stores, Inc."/>
        <s v="Xcerra Corporation"/>
        <s v="Blueprint Medicines Corporation"/>
        <s v="First Trust NASDAQ Clean Edge Smart Grid Infrastructure Index "/>
        <s v="Hubbell Inc"/>
        <s v="Voya Prime Rate Trust"/>
        <s v="Time Inc."/>
        <s v="The Hain Celestial Group, Inc."/>
        <s v="PowerShares DWA Basic Materials Momentum Portfolio"/>
        <s v="NeuroDerm Ltd."/>
        <s v="Power Integrations, Inc."/>
        <s v="ReWalk Robotics Ltd"/>
        <s v="Reading International Inc"/>
        <s v="PC-Tel, Inc."/>
        <s v="Orion Energy Systems, Inc."/>
        <s v="Welbilt, Inc."/>
        <s v="NexPoint Residential Trust, Inc."/>
        <s v="Jones Energy, Inc."/>
        <s v="AmeriServ Financial Inc."/>
        <s v="Invesco Municipal Opportunity Trust"/>
        <s v="Eaton Vance Enhanced Equity Income Fund II"/>
        <s v="Brookfield Infrastructure Partners LP"/>
        <s v="Fifth Street Asset Management Inc."/>
        <s v="Commerce Bancshares, Inc."/>
        <s v="CABCO Series 2004-101 Trust"/>
        <s v="3M Company"/>
        <s v="Stamps.com Inc."/>
        <s v="The KEYW Holding Corporation"/>
        <s v="Costamare Inc."/>
        <s v="Treehouse Foods, Inc."/>
        <s v="Fulton Financial Corporation"/>
        <s v="TRI Pointe Group, Inc."/>
        <s v="Farmers &amp; Merchants Bancorp, Inc."/>
        <s v="Helios and Matheson Analytics Inc"/>
        <s v="Arlington Asset Investment Corp"/>
        <s v="First Trust Multi-Asset Diversified Income Index Fund"/>
        <s v="Foundation Building Materials, Inc."/>
        <s v="Independent Bank Corporation"/>
        <s v="Morgan Stanley Asia-Pacific Fund, Inc."/>
        <s v="OHA Investment Corporation"/>
        <s v="Apollo Commercial Real Estate Finance"/>
        <s v="PowerShares Global Water Portfolio"/>
        <s v="SPS Commerce, Inc."/>
        <s v="Tile Shop Hldgs, Inc."/>
        <s v="Axalta Coating Systems Ltd."/>
        <s v="Pulmatrix, Inc."/>
        <s v="Eyegate Pharmaceuticals, Inc."/>
        <s v="Smith Micro Software, Inc."/>
        <s v="Parsley Energy, Inc."/>
        <s v="Best Buy Co., Inc."/>
        <s v="Mannatech, Incorporated"/>
        <s v="Encore Capital Group Inc"/>
        <s v="Argan, Inc."/>
        <s v="The Charles Schwab Corporation"/>
        <s v="Newfield Exploration Company"/>
        <s v="Coach, Inc."/>
        <s v="Commercial Metals Company"/>
        <s v="Cigna Corporation"/>
        <s v="Enerplus Corporation"/>
        <s v="Athersys, Inc."/>
        <s v="Forest City Realty Trust, Inc."/>
        <s v="Crossroads Systems, Inc."/>
        <s v="Marriot Vacations Worldwide Corporation"/>
        <s v="SunTrust Banks, Inc."/>
        <s v="First Solar, Inc."/>
        <s v="Emerge Energy Services LP"/>
        <s v="Stratus Properties Inc."/>
        <s v="Spok Holdings, Inc."/>
        <s v="VelocityShares Daily 2x VIX Short-Term ETN"/>
        <s v="WPX Energy, Inc."/>
        <s v="Allergan plc."/>
        <s v="Apollo Investment Corporation"/>
        <s v="Encana Corporation"/>
        <s v="Oritani Financial Corp."/>
        <s v="TiVo Corporation"/>
        <s v="CBRE Clarion Global Real Estate Income Fund"/>
        <s v="Genesee &amp; Wyoming, Inc."/>
        <s v="Kilroy Realty Corporation"/>
        <s v="Cotiviti Holdings, Inc."/>
        <s v="Tsakos Energy Navigation Ltd"/>
        <s v="Capitala Finance Corp."/>
        <s v="Vicor Corporation"/>
        <s v="Halliburton Company"/>
        <s v="Consolidated Communications Holdings, Inc."/>
        <s v="BBVA Banco Frances S.A."/>
        <s v="Target Corporation"/>
        <s v="Banco Latinoamericano de Comercio Exterior, S.A."/>
        <s v="UNITIL Corporation"/>
        <s v="G. Willi-Food International,  Ltd."/>
        <s v="I.D. Systems, Inc."/>
        <s v="Morgan Stanley"/>
        <s v="Good Times Restaurants Inc."/>
        <s v="First Trust Small Cap Core AlphaDEX Fund"/>
        <s v="iShares Global Infrastructure ETF"/>
        <s v="SharpSpring, Inc."/>
        <s v="Hardinge Inc."/>
        <s v="CSP Inc."/>
        <s v="Blucora, Inc."/>
        <s v="Validus Holdings, Ltd."/>
        <s v="PacWest Bancorp"/>
        <s v="Signature Bank"/>
        <s v="Nuveen High Income 2020 Target Term Fund"/>
        <s v="Elbit Systems Ltd."/>
        <s v="Badger Meter, Inc."/>
        <s v="Overseas Shipholding Group, Inc."/>
        <s v="First Trust Eurozone AlphaDEX ETF"/>
        <s v="Infinity Property and Casualty Corporation"/>
        <s v="Sarepta Therapeutics, Inc."/>
        <s v="Capital One Financial Corporation"/>
        <s v="Spherix Incorporated"/>
        <s v="W.R. Berkley Corporation"/>
        <s v="Cancer Genetics, Inc."/>
        <s v="Lyon William Homes"/>
        <s v="IDEXX Laboratories, Inc."/>
        <s v="HomeTown Bankshares Corporation"/>
        <s v="Cumulus Media Inc."/>
        <s v="Inogen, Inc"/>
        <s v="Adamis Pharmaceuticals Corporation"/>
        <s v="Cerecor Inc."/>
        <s v="LSC Communications, Inc."/>
        <s v="Primero Mining Corp"/>
        <s v="The Advisory Board Company"/>
        <s v="Ambac Financial Group, Inc."/>
        <s v="IF Bancorp, Inc."/>
        <s v="OneBeacon Insurance Group, Ltd."/>
        <s v="CHS Inc"/>
        <s v="Comerica Incorporated"/>
        <s v="Acxiom Corporation"/>
        <s v="Schlumberger N.V."/>
        <s v="Points International, Ltd."/>
        <s v="PowerShares Nasdaq Internet Portfolio"/>
        <s v="Blackrock MuniYield Fund, Inc."/>
        <s v="Michael Kors Holdings Limited"/>
        <s v="Texas Capital Bancshares, Inc."/>
        <s v="James River Group Holdings, Ltd."/>
        <s v="Nuveen AMT-Free Municipal Value Fund"/>
        <s v="Scudder Global High Income Fund, Inc."/>
        <s v="Salient Midstream &amp; MLP Fund"/>
        <s v="SuperValu Inc."/>
        <s v="TELUS Corporation"/>
        <s v="Cresud S.A.C.I.F. y A."/>
        <s v="Vectren Corporation"/>
        <s v="Avid Technology, Inc."/>
        <s v="Diodes Incorporated"/>
        <s v="Constellation Brands Inc"/>
        <s v="PS Business Parks, Inc."/>
        <s v="Luby's, Inc."/>
        <s v="Arbutus Biopharma Corporation"/>
        <s v="Repligen Corporation"/>
        <s v="PowerShares DWA Momentum &amp; Low Volatility Rotation Portfolio"/>
        <s v="Dolby Laboratories"/>
        <s v="Telecom Italia S.P.A."/>
        <s v="Marten Transport, Ltd."/>
        <s v="Geron Corporation"/>
        <s v="China Eastern Airlines Corporation Ltd."/>
        <s v="Lannett Co Inc"/>
        <s v="Babcock"/>
        <s v="BlackRock, Inc."/>
        <s v="PowerShares International Dividend Achievers Portfolio"/>
        <s v="GlaxoSmithKline PLC"/>
        <s v="Sientra, Inc."/>
        <s v="Crown Crafts, Inc."/>
        <s v="Northwest Bancshares, Inc."/>
        <s v="Zillow Group, Inc."/>
        <s v="Hercules Capital, Inc."/>
        <s v="Blackrock Health Sciences Trust"/>
        <s v="Independence Holding Company"/>
        <s v="Textron Inc."/>
        <s v="Penske Automotive Group, Inc."/>
        <s v="Procter &amp; Gamble Company (The)"/>
        <s v="Pacific Mercantile Bancorp"/>
        <s v="Real Goods Solar, Inc."/>
        <s v="A V Homes, Inc."/>
        <s v="Lianluo Smart Limited"/>
        <s v="Nuveen Select Tax Free Income Portfolio"/>
        <s v="Washington Federal, Inc."/>
        <s v="Enanta Pharmaceuticals, Inc."/>
        <s v="Virtu Financial, Inc."/>
        <s v="Malibu Boats, Inc."/>
        <s v="Atara Biotherapeutics, Inc."/>
        <s v="Meredith Corporation"/>
        <s v="Atmos Energy Corporation"/>
        <s v="MSG Networks Inc."/>
        <s v="Williams-Sonoma, Inc."/>
        <s v="S&amp;T Bancorp, Inc."/>
        <s v="First Trust Strategic High Income Fund II"/>
        <s v="PNC Financial Services Group, Inc. (The)"/>
        <s v="Global X SuperDividend REIT ETF"/>
        <s v="Carrols Restaurant Group, Inc."/>
        <s v="Resource Capital Corp."/>
        <s v="CDI Corporation"/>
        <s v="Twitter, Inc."/>
        <s v="Constellium N.V."/>
        <s v="Vantage Energy Acquisition Corp."/>
        <s v="Dave &amp; Buster's Entertainment, Inc."/>
        <s v="Western Asset Municipal High Income Fund, Inc."/>
        <s v="Installed Building Products, Inc."/>
        <s v="China Rapid Finance Limited"/>
        <s v="Sun Hydraulics Corporation"/>
        <s v="Diamond Offshore Drilling, Inc."/>
        <s v="Western Asset Investment Grade Defined Opportunity Trust Inc."/>
        <s v="First Trust CEF Income Opportunity ETF"/>
        <s v="Nuveen Michigan Quality Municipal Income Fund"/>
        <s v="Kimball Electronics, Inc."/>
        <s v="Blackrock Global"/>
        <s v="First Trust Developed Markets Ex-US AlphaDEX Fund"/>
        <s v="Guess?, Inc."/>
        <s v="Compass Diversified Holdings"/>
        <s v="Heartland Financial USA, Inc."/>
        <s v="Stericycle, Inc."/>
        <s v="Oconee Federal Financial Corp."/>
        <s v="Western New England Bancorp, Inc."/>
        <s v="Liberty Media Corporation"/>
        <s v="Bonso Electronics International, Inc."/>
        <s v="OraSure Technologies, Inc."/>
        <s v="Spire Inc."/>
        <s v="Vedanta  Limited"/>
        <s v="Fred's, Inc."/>
        <s v="Emerson Electric Company"/>
        <s v="Berkshire Hills Bancorp, Inc."/>
        <s v="Innoviva, Inc."/>
        <s v="Blackrock MuniYield Michigan Quality Fund, Inc."/>
        <s v="Vident International Equity Fund"/>
        <s v="PulteGroup, Inc."/>
        <s v="Blackrock Core Bond Trust"/>
        <s v="Envestnet, Inc"/>
        <s v="Sanderson Farms, Inc."/>
        <s v="PetMed Express, Inc."/>
        <s v="Archrock Partners, L.P."/>
        <s v="ESSA Bancorp, Inc."/>
        <s v="Adecoagro S.A."/>
        <s v="W&amp;T Offshore, Inc."/>
        <s v="Paratek Pharmaceuticals, Inc. "/>
        <s v="Customers Bancorp, Inc"/>
        <s v="Monogram Residential Trust, Inc."/>
        <s v="Equifax, Inc."/>
        <s v="Fanhua Inc."/>
        <s v="State Street Corporation"/>
        <s v="Key Technology, Inc."/>
        <s v="LATAM Airlines Group S.A."/>
        <s v="Select Asset Inc."/>
        <s v="Colonial Investment Grade Municipal Trust"/>
        <s v="Ollie's Bargain Outlet Holdings, Inc."/>
        <s v="NextEra Energy, Inc."/>
        <s v="Phibro Animal Health Corporation"/>
        <s v="lululemon athletica inc."/>
        <s v="Stag Industrial, Inc."/>
        <s v="Zions Bancorporation"/>
        <s v="MarketAxess Holdings, Inc."/>
        <s v="NTT DOCOMO, Inc"/>
        <s v="trivago N.V."/>
        <s v="Advanced Disposal Services, Inc."/>
        <s v="Nuveen Arizona Quality Municipal Income Fund"/>
        <s v="AECOM"/>
        <s v="Strata Skin Sciences, Inc."/>
        <s v="Morgan Stanley China A Share Fund Inc."/>
        <s v="PLx Pharma Inc."/>
        <s v="Avenue Income Credit Strategies Fund"/>
        <s v="Plantronics, Inc."/>
        <s v="Hill International, Inc."/>
        <s v="Thermon Group Holdings, Inc."/>
        <s v="Frank's International N.V."/>
        <s v="IQ Chaikin U.S. Small Cap ETF"/>
        <s v="Royal Dutch Shell PLC"/>
        <s v="Autohome Inc."/>
        <s v="Calamos Global Dynamic Income Fund"/>
        <s v="ManpowerGroup"/>
        <s v="State National Companies, Inc."/>
        <s v="AC Immune SA"/>
        <s v="FIRST REPUBLIC BANK"/>
        <s v="Ocera Therapeutics, Inc."/>
        <s v="Virco Manufacturing Corporation"/>
        <s v="Sequans Communications S.A."/>
        <s v="Sequential Brands Group, Inc."/>
        <s v="Putnam Managed Municipal Income Trust"/>
        <s v="CalAmp Corp."/>
        <s v="Finisar Corporation"/>
        <s v="Alliant Energy Corporation"/>
        <s v="Destination Maternity Corporation"/>
        <s v="iShares MSCI Europe Small-Cap ETF"/>
        <s v="CommerceHub, Inc."/>
        <s v="Eaton Vance Short Diversified Income Fund"/>
        <s v="Mack-Cali Realty Corporation"/>
        <s v="Mitek Systems, Inc."/>
        <s v="New York Mortgage Trust, Inc."/>
        <s v="Rexnord Corporation"/>
        <s v="Chesapeake Energy Corporation"/>
        <s v="National Beverage Corp."/>
        <s v="Antero Midstream Partners LP"/>
        <s v="KB Home"/>
        <s v="Rayonier Advanced Materials Inc."/>
        <s v="Hunter Maritime Acquisition Corp."/>
        <s v="Verizon Communications Inc."/>
        <s v="Xperi Corporation"/>
        <s v="Deluxe Corporation"/>
        <s v="Choice Hotels International, Inc."/>
        <s v="Akorn, Inc."/>
        <s v="Neustar, Inc."/>
        <s v="City Office REIT, Inc."/>
        <s v="Vectrus, Inc."/>
        <s v="Colony Starwood Homes"/>
        <s v="DHX Media Ltd."/>
        <s v="Glacier Bancorp, Inc."/>
        <s v="Genuine Parts Company"/>
        <s v="National American University Holdings, Inc."/>
        <s v="Getty Realty Corporation"/>
        <s v="TheStreet, Inc."/>
        <s v="Allstate Corporation (The)"/>
        <s v="Rocky Mountain Chocolate Factory, Inc."/>
        <s v="Four Corners Property Trust, Inc."/>
        <s v="Teva Pharmaceutical Industries Limited"/>
        <s v="Trex Company, Inc."/>
        <s v="Shell Midstream Partners, L.P."/>
        <s v="Astoria Financial Corporation"/>
        <s v="Transglobe Energy Corp"/>
        <s v="CIRCOR International, Inc."/>
        <s v="TEGNA Inc."/>
        <s v="Depomed, Inc."/>
        <s v="KLA-Tencor Corporation"/>
        <s v="Fiduciary/Claymore MLP Opportunity Fund"/>
        <s v="Black Knight Financial Services, Inc."/>
        <s v="Tandy Leather Factory, Inc."/>
        <s v="Bristol-Myers Squibb Company"/>
        <s v="Endeavour Silver Corporation"/>
        <s v="Aethlon Medical, Inc."/>
        <s v="Financial Institutions, Inc."/>
        <s v="Manitowoc Company, Inc. (The)"/>
        <s v="Knight Transportation, Inc."/>
        <s v="Perficient, Inc."/>
        <s v="Qiagen N.V."/>
        <s v="General Electric Capital Corporation"/>
        <s v="Kayne Anderson Acquisition Corp."/>
        <s v="Raven Industries, Inc."/>
        <s v="Western Asset Municipal Partners Fund, Inc."/>
        <s v="Flaherty &amp; Crumrine Total Return Fund Inc"/>
        <s v="PowerShares Dividend Achievers Portfolio"/>
        <s v="Black Diamond, Inc."/>
        <s v="Brinker International, Inc."/>
        <s v="Pioneer Floating Rate Trust"/>
        <s v="Aquinox Pharmaceuticals, Inc."/>
        <s v="Tower International, Inc."/>
        <s v="YPF Sociedad Anonima"/>
        <s v="O'Reilly Automotive, Inc."/>
        <s v="SINOPEC Shangai Petrochemical Company, Ltd."/>
        <s v="Georgia Power Company"/>
        <s v="Cardtronics plc"/>
        <s v="Till Capital Ltd."/>
        <s v="ENI S.p.A."/>
        <s v="Astronics Corporation"/>
        <s v="ESCO Technologies Inc."/>
        <s v="John Bean Technologies Corporation"/>
        <s v="Aqua Metals, Inc."/>
        <s v="Landauer, Inc."/>
        <s v="PPL Corporation"/>
        <s v="Restaurant Brands International Inc."/>
        <s v="Ally Financial Inc."/>
        <s v="Wix.com Ltd."/>
        <s v="KalVista Pharmaceuticals, Inc."/>
        <s v="Ivy NextShares"/>
        <s v="Miller/Howard High Income Equity Fund"/>
        <s v="Ikonics Corporation"/>
        <s v="Rice Midstream Partners LP"/>
        <s v="Huntington Bancshares Incorporated"/>
        <s v="Lennar Corporation"/>
        <s v="Armstrong World Industries Inc"/>
        <s v="Hilton Grand Vacations Inc."/>
        <s v="NeoGenomics, Inc."/>
        <s v="argenx SE"/>
        <s v="Hyster-Yale Materials Handling, Inc."/>
        <s v="Alliance World Dollar Government Fund II"/>
        <s v="Westell Technologies, Inc."/>
        <s v="Hilltop Holdings Inc."/>
        <s v="Genocea Biosciences, Inc."/>
        <s v="BlackRock Science and Technology Trust"/>
        <s v="Toro Company (The)"/>
        <s v="Citrix Systems, Inc."/>
        <s v="LMI Aerospace, Inc."/>
        <s v="First Trust Brazil AlphaDEX Fund"/>
        <s v="Live Nation Entertainment, Inc."/>
        <s v="First Trust Taiwan AlphaDEX Fund"/>
        <s v="TransUnion"/>
        <s v="Arbor Realty Trust"/>
        <s v="Noodles &amp; Company"/>
        <s v="Cowen Inc."/>
        <s v="Pluristem Therapeutics, Inc."/>
        <s v="Tesla, Inc. "/>
        <s v="Tortoise Pipeline &amp; Energy Fund, Inc."/>
        <s v="KCAP Financial, Inc."/>
        <s v="Arcadia Biosciences, Inc."/>
        <s v="Republic Bancorp, Inc."/>
        <s v="AVX Corporation"/>
        <s v="Oasmia Pharmaceutical AB"/>
        <s v="FLIR Systems, Inc."/>
        <s v="First Trust NASDAQ Clean Edge Green Energy Index Fund"/>
        <s v="Vermillion, Inc."/>
        <s v="CEVA, Inc."/>
        <s v="Kimco Realty Corporation"/>
        <s v="First Trust Nasdaq Semiconductor ETF"/>
        <s v="Civista Bancshares, Inc. "/>
        <s v="General Motors Company"/>
        <s v="AudioCodes Ltd."/>
        <s v="Fidus Investment Corporation"/>
        <s v="Benitec Biopharma Limited"/>
        <s v="Xilinx, Inc."/>
        <s v="China Telecom Corp Ltd"/>
        <s v="Global Sources Ltd."/>
        <s v="Valley National Bancorp"/>
        <s v="Eaton Vance Corporation"/>
        <s v="Aberdeen Singapore Fund, Inc."/>
        <s v="Core-Mark Holding Company, Inc."/>
        <s v="Westlake Chemical Corporation"/>
        <s v="AdvisorShares Market Adaptive Unconstrained Income ETF"/>
        <s v="North European Oil Royality Trust"/>
        <s v="CPS Technologies Corp."/>
        <s v="Wesco Aircraft Holdings, Inc."/>
        <s v="Clean Energy Fuels Corp."/>
        <s v="Brown Forman Corporation"/>
        <s v="Pioneer Power Solutions, Inc."/>
        <s v="NantHealth, Inc."/>
        <s v="Tribune Media Company"/>
        <s v="Dataram Corporation"/>
        <s v="Grand Canyon Education, Inc."/>
        <s v="GTT Communications, Inc."/>
        <s v="Aerojet Rocketdyne Holdings, Inc. "/>
        <s v="WisdomTree U.S. Quality Dividend Growth Fund"/>
        <s v="Pulse Biosciences, Inc"/>
        <s v="Energen Corporation"/>
        <s v="Landec Corporation"/>
        <s v="Federal Agricultural Mortgage Corporation"/>
        <s v="Alliance HealthCare Services, Inc."/>
        <s v="Huttig Building Products, Inc."/>
        <s v="Rogers Corporation"/>
        <s v="Cincinnati Financial Corporation"/>
        <s v="Moelis &amp; Company"/>
        <s v="Banc of California, Inc."/>
        <s v="Teradyne, Inc."/>
        <s v="ASA Gold and Precious Metals Limited"/>
        <s v="TrovaGene, Inc."/>
        <s v="iShares MSCI EM ESG Optimized ETF"/>
        <s v="Microsemi Corporation"/>
        <s v="Covisint Corporation"/>
        <s v="Applied Optoelectronics, Inc."/>
        <s v="Pioneer Energy Services Corp."/>
        <s v="Korea Electric Power Corporation"/>
        <s v="Preferred Apartment Communities, Inc."/>
        <s v="Kinross Gold Corporation"/>
        <s v="Gol Linhas Aereas Inteligentes S.A."/>
        <s v="Zosano Pharma Corporation"/>
        <s v="Marin Software Incorporated"/>
        <s v="Total System Services, Inc."/>
        <s v="Arthur J. Gallagher &amp; Co."/>
        <s v="CBS Corporation"/>
        <s v="The Gabelli Healthcare &amp; Wellness Trust"/>
        <s v="Black Box Corporation"/>
        <s v="Workiva Inc."/>
        <s v="Sunesis Pharmaceuticals, Inc."/>
        <s v="Blackrock MuniHoldings Fund II, Inc."/>
        <s v="Strattec Security Corporation"/>
        <s v="Goldman Sachs Group, Inc. (The)"/>
        <s v="FS Bancorp, Inc."/>
        <s v="Horace Mann Educators Corporation"/>
        <s v="International Seaways, Inc."/>
        <s v="Blackrock MuniAssets Fund, Inc."/>
        <s v="Forum Merger Corporation"/>
        <s v="Hilton Worldwide Holdings Inc."/>
        <s v="Transocean Ltd."/>
        <s v="Peabody Energy Corporation"/>
        <s v="CONSOL Energy Inc."/>
        <s v="AmTrust Financial Services, Inc."/>
        <s v="RH"/>
        <s v="Novogen Limited"/>
        <s v="Phillips 66 Partners LP"/>
        <s v="Westwood Holdings Group Inc"/>
        <s v="First Trust RBA American Industrial Renaissance ETF"/>
        <s v="Fang Holdings Limited"/>
        <s v="PowerShares S&amp;P SmallCap Health Care Portfolio"/>
        <s v="Harley-Davidson, Inc."/>
        <s v="SEACOR Marine Holdings Inc."/>
        <s v="Threshold Pharmaceuticals, Inc."/>
        <s v="West Marine, Inc."/>
        <s v="Chemical Financial Corporation"/>
        <s v="The Joint Corp."/>
        <s v="TJX Companies, Inc. (The)"/>
        <s v="iRadimed Corporation"/>
        <s v="Lattice Semiconductor Corporation"/>
        <s v="Kulicke and Soffa Industries, Inc."/>
        <s v="AG Mortgage Investment Trust, Inc."/>
        <s v="Francesca's Holdings Corporation"/>
        <s v="Sears Hometown and Outlet Stores, Inc."/>
        <s v="U S Concrete, Inc."/>
        <s v="Oxford Lane Capital Corp."/>
        <s v="Seabridge Gold, Inc."/>
        <s v="CAS Medical Systems, Inc."/>
        <s v="Kingold Jewelry Inc."/>
        <s v="CareTrust REIT, Inc."/>
        <s v="Bright Horizons Family Solutions Inc."/>
        <s v="SLM Corporation"/>
        <s v="TSR, Inc."/>
        <s v="iShares Commodities Select Strategy ETF"/>
        <s v="W.P. Carey Inc."/>
        <s v="Exelon Corporation"/>
        <s v="Cavium, Inc."/>
        <s v="Ocean Power Technologies, Inc."/>
        <s v="Arrow DWA Tactical ETF"/>
        <s v="Atlas Financial Holdings, Inc."/>
        <s v="Ubiquiti Networks, Inc."/>
        <s v="Taro Pharmaceutical Industries Ltd."/>
        <s v="Eaton Vance Municipal Income Trust"/>
        <s v="Baldwin &amp; Lyons, Inc."/>
        <s v="The Organics ETF"/>
        <s v="Air Transport Services Group, Inc"/>
        <s v="Sangamo Therapeutics, Inc."/>
        <s v="OvaScience Inc."/>
        <s v="Barings Participation Investors"/>
        <s v="LyondellBasell Industries NV"/>
        <s v="VictoryShares US Small Cap High Div Volatility Wtd ETF"/>
        <s v="First BanCorp."/>
        <s v="Boston Private Financial Holdings, Inc."/>
        <s v="VEON Ltd."/>
        <s v="MRV Communications, Inc."/>
        <s v="Aimmune Therapeutics, Inc."/>
        <s v="Videocon d2h Limited"/>
        <s v="Entergy New Orleans, Inc."/>
        <s v="Open Text Corporation"/>
        <s v="Old Second Bancorp, Inc."/>
        <s v="Janus Henderson Group plc"/>
        <s v="21Vianet Group, Inc."/>
        <s v="BioScrip, Inc."/>
        <s v="Chunghwa Telecom Co., Ltd."/>
        <s v="Avinger, Inc."/>
        <s v="Kinder Morgan, Inc."/>
        <s v="The AES Corporation"/>
        <s v="Cavco Industries, Inc."/>
        <s v="Pimco California Municipal Income Fund II"/>
        <s v="support.com, Inc."/>
        <s v="DENTSPLY SIRONA Inc."/>
        <s v="Sterling Construction Company Inc"/>
        <s v="Canon, Inc."/>
        <s v="Blackrock MuniHoldings California Quality Fund,  Inc."/>
        <m/>
      </sharedItems>
    </cacheField>
    <cacheField name="Sector" numFmtId="0">
      <sharedItems containsBlank="1" count="14">
        <s v="Health Care"/>
        <s v="Capital Goods"/>
        <s v="N/A"/>
        <s v="Finance"/>
        <s v="Technology"/>
        <s v="Consumer Non-Durables"/>
        <s v="Consumer Services"/>
        <s v="Miscellaneous"/>
        <s v="Public Utilities"/>
        <s v="Energy"/>
        <s v="Basic Industries"/>
        <s v="Consumer Durables"/>
        <s v="Transportation"/>
        <m/>
      </sharedItems>
    </cacheField>
    <cacheField name="Industry" numFmtId="0">
      <sharedItems containsBlank="1"/>
    </cacheField>
    <cacheField name="Market Cap" numFmtId="0">
      <sharedItems containsBlank="1"/>
    </cacheField>
    <cacheField name="Market Cap2" numFmtId="0">
      <sharedItems containsString="0" containsBlank="1" containsNumber="1" minValue="0" maxValue="229320000000"/>
    </cacheField>
    <cacheField name="Price" numFmtId="0">
      <sharedItems containsString="0" containsBlank="1" containsNumber="1" minValue="1.38" maxValue="1999.16"/>
    </cacheField>
    <cacheField name="Change Percent" numFmtId="10">
      <sharedItems containsString="0" containsBlank="1" containsNumber="1" minValue="-19.96" maxValue="19.95"/>
    </cacheField>
    <cacheField name="Volume" numFmtId="0">
      <sharedItems containsString="0" containsBlank="1" containsNumber="1" containsInteger="1" minValue="224555" maxValue="199860928"/>
    </cacheField>
    <cacheField name="Last Trade Time" numFmtId="164">
      <sharedItems containsNonDate="0" containsDate="1" containsString="0" containsBlank="1" minDate="2020-01-02T00:00:00" maxDate="2026-12-30T00:00:00"/>
    </cacheField>
    <cacheField name="Data Status" numFmtId="0">
      <sharedItems/>
    </cacheField>
    <cacheField name="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FRED" refreshedDate="46261.446618055554" createdVersion="6" refreshedVersion="6" minRefreshableVersion="3" recordCount="1000">
  <cacheSource type="worksheet">
    <worksheetSource name="Table1"/>
  </cacheSource>
  <cacheFields count="22">
    <cacheField name="Username" numFmtId="0">
      <sharedItems/>
    </cacheField>
    <cacheField name="Domain" numFmtId="0">
      <sharedItems/>
    </cacheField>
    <cacheField name="First Name" numFmtId="0">
      <sharedItems/>
    </cacheField>
    <cacheField name="Last Name" numFmtId="0">
      <sharedItems/>
    </cacheField>
    <cacheField name="Gender" numFmtId="0">
      <sharedItems/>
    </cacheField>
    <cacheField name="Gender2" numFmtId="0">
      <sharedItems/>
    </cacheField>
    <cacheField name="IP Address" numFmtId="0">
      <sharedItems/>
    </cacheField>
    <cacheField name="Secondary IP" numFmtId="0">
      <sharedItems/>
    </cacheField>
    <cacheField name="Location" numFmtId="0">
      <sharedItems containsSemiMixedTypes="0" containsString="0" containsNumber="1" containsInteger="1" minValue="1" maxValue="1000"/>
    </cacheField>
    <cacheField name="Id" numFmtId="0">
      <sharedItems containsSemiMixedTypes="0" containsString="0" containsNumber="1" containsInteger="1" minValue="1" maxValue="1000"/>
    </cacheField>
    <cacheField name="Market" numFmtId="0">
      <sharedItems/>
    </cacheField>
    <cacheField name="Symbol" numFmtId="0">
      <sharedItems/>
    </cacheField>
    <cacheField name="Name" numFmtId="0">
      <sharedItems/>
    </cacheField>
    <cacheField name="Sector" numFmtId="0">
      <sharedItems containsBlank="1" count="14">
        <s v="Health Care"/>
        <s v="Capital Goods"/>
        <s v="N/A"/>
        <s v="Finance"/>
        <s v="Technology"/>
        <s v="Consumer Non-Durables"/>
        <s v="Consumer Services"/>
        <s v="Miscellaneous"/>
        <s v="Public Utilities"/>
        <s v="Energy"/>
        <s v="Basic Industries"/>
        <s v="Consumer Durables"/>
        <s v="Transportation"/>
        <m u="1"/>
      </sharedItems>
    </cacheField>
    <cacheField name="Industry" numFmtId="0">
      <sharedItems/>
    </cacheField>
    <cacheField name="Market Cap" numFmtId="0">
      <sharedItems/>
    </cacheField>
    <cacheField name="Market Cap3" numFmtId="165">
      <sharedItems containsSemiMixedTypes="0" containsString="0" containsNumber="1" minValue="0" maxValue="229320000000"/>
    </cacheField>
    <cacheField name="Price" numFmtId="0">
      <sharedItems containsSemiMixedTypes="0" containsString="0" containsNumber="1" minValue="1.38" maxValue="1999.16"/>
    </cacheField>
    <cacheField name="Change Percent" numFmtId="10">
      <sharedItems containsSemiMixedTypes="0" containsString="0" containsNumber="1" minValue="-19.96" maxValue="19.95"/>
    </cacheField>
    <cacheField name="Volume" numFmtId="0">
      <sharedItems containsSemiMixedTypes="0" containsString="0" containsNumber="1" containsInteger="1" minValue="224555" maxValue="199860928"/>
    </cacheField>
    <cacheField name="Last Trade Time" numFmtId="164">
      <sharedItems containsSemiMixedTypes="0" containsNonDate="0" containsDate="1" containsString="0" minDate="2020-01-02T00:00:00" maxDate="2026-12-30T00:00:00"/>
    </cacheField>
    <cacheField name="Data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s v="ddurman0"/>
    <s v="vimeo.com"/>
    <s v="Dode"/>
    <s v="Durman"/>
    <s v="Female"/>
    <s v="Female"/>
    <s v="210.173.114.59"/>
    <s v="210.143.162.158"/>
    <n v="1"/>
    <n v="1"/>
    <s v="NASDAQ"/>
    <s v="EGRX"/>
    <s v="Eagle Pharmaceuticals, Inc."/>
    <x v="0"/>
    <s v="Major Pharmaceuticals"/>
    <s v="$1.12B"/>
    <n v="1120000000"/>
    <n v="1572.07"/>
    <n v="16.100000000000001"/>
    <n v="81848616"/>
    <d v="2024-08-03T00:00:00"/>
    <s v="Complete"/>
    <s v="technology"/>
  </r>
  <r>
    <s v="rsutheran1"/>
    <s v="wired.com"/>
    <s v="Riobard"/>
    <s v="Sutheran"/>
    <s v="Male"/>
    <s v="Male"/>
    <s v="209.73.3.19"/>
    <s v="21.198.196.112"/>
    <n v="2"/>
    <n v="2"/>
    <s v="NASDAQ"/>
    <s v="MDVXW"/>
    <s v="Medovex Corp."/>
    <x v="0"/>
    <s v="Medical/Dental Instruments"/>
    <s v="N/A"/>
    <n v="0"/>
    <n v="12.53"/>
    <n v="-5.53"/>
    <n v="126342391"/>
    <d v="2022-03-23T00:00:00"/>
    <s v="Missing"/>
    <m/>
  </r>
  <r>
    <s v="mmangon2"/>
    <s v="deliciousdays.com"/>
    <s v="Malchy"/>
    <s v="Mangon"/>
    <s v="Male"/>
    <s v="Male"/>
    <s v="40.96.8.198"/>
    <s v="66.110.198.128"/>
    <n v="3"/>
    <n v="3"/>
    <s v="NASDAQ"/>
    <s v="SHLO"/>
    <s v="Shiloh Industries, Inc."/>
    <x v="1"/>
    <s v="Industrial Specialties"/>
    <s v="$243.62M"/>
    <n v="243620000"/>
    <n v="537.51"/>
    <n v="5.39"/>
    <n v="152161816"/>
    <d v="2022-08-10T00:00:00"/>
    <s v="Complete"/>
    <m/>
  </r>
  <r>
    <s v="ncouzens3"/>
    <s v="t.co"/>
    <s v="Neely"/>
    <s v="Couzens"/>
    <s v="Female"/>
    <s v="Female"/>
    <s v="40.74.42.144"/>
    <s v="62.92.237.109"/>
    <n v="4"/>
    <n v="4"/>
    <s v="NYSE"/>
    <s v="CYS^A"/>
    <s v="CYS Investments, Inc."/>
    <x v="2"/>
    <s v="N/A"/>
    <s v="N/A"/>
    <n v="0"/>
    <n v="1385.02"/>
    <n v="2.4900000000000002"/>
    <n v="20936922"/>
    <d v="2021-09-19T00:00:00"/>
    <s v="Missing"/>
    <m/>
  </r>
  <r>
    <s v="sslyvester4"/>
    <s v="mapquest.com"/>
    <s v="Shell"/>
    <s v="Slyvester"/>
    <s v="Male"/>
    <s v="Male"/>
    <s v="34.16.92.152"/>
    <s v="232.89.64.25"/>
    <n v="5"/>
    <n v="5"/>
    <s v="NYSE"/>
    <s v="SPE"/>
    <s v="Special Opportunities Fund Inc."/>
    <x v="2"/>
    <s v="N/A"/>
    <s v="$128.56M"/>
    <n v="128560000"/>
    <n v="394.86"/>
    <n v="11.19"/>
    <n v="199860928"/>
    <d v="2022-11-08T00:00:00"/>
    <s v="Missing"/>
    <m/>
  </r>
  <r>
    <s v="nbullent5"/>
    <s v="webeden.co.uk"/>
    <s v="Nerissa"/>
    <s v="Bullent"/>
    <s v="Female"/>
    <s v="Female"/>
    <s v="132.195.230.106"/>
    <s v="97.167.198.83"/>
    <n v="6"/>
    <n v="6"/>
    <s v="NASDAQ"/>
    <s v="ACGLP"/>
    <s v="Arch Capital Group Ltd."/>
    <x v="3"/>
    <s v="Property-Casualty Insurers"/>
    <s v="N/A"/>
    <n v="0"/>
    <n v="1985.06"/>
    <n v="11.31"/>
    <n v="140412451"/>
    <d v="2021-08-18T00:00:00"/>
    <s v="Missing"/>
    <m/>
  </r>
  <r>
    <s v="semanuel6"/>
    <s v="merriam-webster.com"/>
    <s v="Si"/>
    <s v="Emanuel"/>
    <s v="Genderfluid"/>
    <s v="Other"/>
    <s v="67.15.21.205"/>
    <s v="145.65.85.16"/>
    <n v="7"/>
    <n v="7"/>
    <s v="NYSE"/>
    <s v="ITCB"/>
    <s v="Ita? CorpBanca"/>
    <x v="3"/>
    <s v="Major Banks"/>
    <s v="$4.74B"/>
    <n v="4740000000"/>
    <n v="1925.97"/>
    <n v="-9.34"/>
    <n v="111983247"/>
    <d v="2020-03-19T00:00:00"/>
    <s v="Complete"/>
    <m/>
  </r>
  <r>
    <s v="npinnocke7"/>
    <s v="google.co.uk"/>
    <s v="Nicky"/>
    <s v="Pinnocke"/>
    <s v="Bigender"/>
    <s v="Other"/>
    <s v="215.169.21.208"/>
    <s v="25.75.213.68"/>
    <n v="8"/>
    <n v="8"/>
    <s v="NASDAQ"/>
    <s v="PSDO"/>
    <s v="Presidio, Inc."/>
    <x v="4"/>
    <s v="Retail: Computer Software &amp; Peripheral Equipment"/>
    <s v="$1.36B"/>
    <n v="1360000000"/>
    <n v="483.93"/>
    <n v="5.86"/>
    <n v="160273478"/>
    <d v="2025-12-16T00:00:00"/>
    <s v="Complete"/>
    <m/>
  </r>
  <r>
    <s v="vwannes8"/>
    <s v="e-recht24.de"/>
    <s v="Vivienne"/>
    <s v="Wannes"/>
    <s v="Female"/>
    <s v="Female"/>
    <s v="145.246.146.239"/>
    <s v="229.124.56.138"/>
    <n v="9"/>
    <n v="9"/>
    <s v="NASDAQ"/>
    <s v="PMTS"/>
    <s v="CPI Card Group Inc."/>
    <x v="3"/>
    <s v="Finance Companies"/>
    <s v="$127.33M"/>
    <n v="127330000"/>
    <n v="398.34"/>
    <n v="-18.77"/>
    <n v="192380907"/>
    <d v="2024-02-23T00:00:00"/>
    <s v="Complete"/>
    <m/>
  </r>
  <r>
    <s v="glongman9"/>
    <s v="theguardian.com"/>
    <s v="Glennis"/>
    <s v="Longman"/>
    <s v="Female"/>
    <s v="Female"/>
    <s v="106.222.212.88"/>
    <s v="222.206.200.212"/>
    <n v="10"/>
    <n v="10"/>
    <s v="NYSE"/>
    <s v="GDO"/>
    <s v="Western Asset Global Corporate Defined Opportunity Fund Inc."/>
    <x v="2"/>
    <s v="N/A"/>
    <s v="$267.88M"/>
    <n v="267880000"/>
    <n v="1753.78"/>
    <n v="-5.66"/>
    <n v="379405"/>
    <d v="2024-03-16T00:00:00"/>
    <s v="Missing"/>
    <m/>
  </r>
  <r>
    <s v="bmccarrisona"/>
    <s v="cbslocal.com"/>
    <s v="Baily"/>
    <s v="McCarrison"/>
    <s v="Male"/>
    <s v="Male"/>
    <s v="202.221.149.77"/>
    <s v="38.35.206.135"/>
    <n v="11"/>
    <n v="11"/>
    <s v="NYSE"/>
    <s v="GIS"/>
    <s v="General Mills, Inc."/>
    <x v="5"/>
    <s v="Packaged Foods"/>
    <s v="$32.9B"/>
    <n v="32900000000"/>
    <n v="944.97"/>
    <n v="18.98"/>
    <n v="151704924"/>
    <d v="2022-12-05T00:00:00"/>
    <s v="Complete"/>
    <m/>
  </r>
  <r>
    <s v="cmoseleyb"/>
    <s v="apple.com"/>
    <s v="Carny"/>
    <s v="Moseley"/>
    <s v="Male"/>
    <s v="Male"/>
    <s v="79.118.24.26"/>
    <s v="211.144.90.61"/>
    <n v="12"/>
    <n v="12"/>
    <s v="NYSE"/>
    <s v="MNR"/>
    <s v="Monmouth Real Estate Investment Corporation"/>
    <x v="6"/>
    <s v="Real Estate Investment Trusts"/>
    <s v="$1.1B"/>
    <n v="1100000000"/>
    <n v="486.82"/>
    <n v="6.32"/>
    <n v="173617472"/>
    <d v="2023-02-21T00:00:00"/>
    <s v="Complete"/>
    <m/>
  </r>
  <r>
    <s v="twillmerc"/>
    <s v="gov.uk"/>
    <s v="Tommi"/>
    <s v="Willmer"/>
    <s v="Non-binary"/>
    <s v="Other"/>
    <s v="173.82.144.240"/>
    <s v="226.168.242.14"/>
    <n v="13"/>
    <n v="13"/>
    <s v="NYSE"/>
    <s v="WBAI"/>
    <s v="500.com Limited"/>
    <x v="6"/>
    <s v="Services-Misc. Amusement &amp; Recreation"/>
    <s v="$384.71M"/>
    <n v="384710000"/>
    <n v="549.07000000000005"/>
    <n v="-10.94"/>
    <n v="54588753"/>
    <d v="2026-03-21T00:00:00"/>
    <s v="Complete"/>
    <m/>
  </r>
  <r>
    <s v="rcoringtond"/>
    <s v="symantec.com"/>
    <s v="Rowney"/>
    <s v="Corington"/>
    <s v="Male"/>
    <s v="Male"/>
    <s v="196.138.204.62"/>
    <s v="200.126.204.163"/>
    <n v="14"/>
    <n v="14"/>
    <s v="NASDAQ"/>
    <s v="ATHN"/>
    <s v="athenahealth, Inc."/>
    <x v="7"/>
    <s v="Business Services"/>
    <s v="$5.79B"/>
    <n v="5790000000"/>
    <n v="1646.87"/>
    <n v="14.73"/>
    <n v="27077006"/>
    <d v="2026-05-12T00:00:00"/>
    <s v="Complete"/>
    <m/>
  </r>
  <r>
    <s v="bmccambroise"/>
    <s v="ow.ly"/>
    <s v="Beryl"/>
    <s v="McCambrois"/>
    <s v="Female"/>
    <s v="Female"/>
    <s v="41.180.17.152"/>
    <s v="199.38.70.203"/>
    <n v="15"/>
    <n v="15"/>
    <s v="NASDAQ"/>
    <s v="CCCL"/>
    <s v="China Ceramics Co., Ltd."/>
    <x v="1"/>
    <s v="Building Materials"/>
    <s v="$4.5M"/>
    <n v="4500000"/>
    <n v="1380.58"/>
    <n v="15.63"/>
    <n v="51474524"/>
    <d v="2021-07-26T00:00:00"/>
    <s v="Complete"/>
    <m/>
  </r>
  <r>
    <s v="ltalmadgef"/>
    <s v="lycos.com"/>
    <s v="Lorrie"/>
    <s v="Talmadge"/>
    <s v="Male"/>
    <s v="Male"/>
    <s v="109.175.19.221"/>
    <s v="54.26.56.207"/>
    <n v="16"/>
    <n v="16"/>
    <s v="NYSE"/>
    <s v="UZB"/>
    <s v="United States Cellular Corporation"/>
    <x v="8"/>
    <s v="Telecommunications Equipment"/>
    <s v="N/A"/>
    <n v="0"/>
    <n v="594.49"/>
    <n v="1.24"/>
    <n v="139738511"/>
    <d v="2026-10-05T00:00:00"/>
    <s v="Missing"/>
    <m/>
  </r>
  <r>
    <s v="ctellenbachg"/>
    <s v="miibeian.gov.cn"/>
    <s v="Correy"/>
    <s v="Tellenbach"/>
    <s v="Male"/>
    <s v="Male"/>
    <s v="55.159.252.253"/>
    <s v="128.9.189.109"/>
    <n v="17"/>
    <n v="17"/>
    <s v="NYSE"/>
    <s v="COG"/>
    <s v="Cabot Oil &amp; Gas Corporation"/>
    <x v="9"/>
    <s v="Oil &amp; Gas Production"/>
    <s v="$10.76B"/>
    <n v="10760000000"/>
    <n v="1841.2"/>
    <n v="-2.2599999999999998"/>
    <n v="99838632"/>
    <d v="2021-04-27T00:00:00"/>
    <s v="Complete"/>
    <m/>
  </r>
  <r>
    <s v="bnevilleh"/>
    <s v="behance.net"/>
    <s v="Bertina"/>
    <s v="Neville"/>
    <s v="Genderfluid"/>
    <s v="Other"/>
    <s v="17.3.77.165"/>
    <s v="236.15.146.191"/>
    <n v="18"/>
    <n v="18"/>
    <s v="NYSE"/>
    <s v="HMLP"/>
    <s v="Hoegh LNG Partners LP"/>
    <x v="6"/>
    <s v="Marine Transportation"/>
    <s v="$628.6M"/>
    <n v="628600000"/>
    <n v="997.21"/>
    <n v="4.51"/>
    <n v="18856343"/>
    <d v="2020-09-17T00:00:00"/>
    <s v="Complete"/>
    <m/>
  </r>
  <r>
    <s v="ameeusi"/>
    <s v="mozilla.org"/>
    <s v="Allyson"/>
    <s v="Meeus"/>
    <s v="Female"/>
    <s v="Female"/>
    <s v="90.150.220.134"/>
    <s v="85.0.4.56"/>
    <n v="19"/>
    <n v="19"/>
    <s v="NYSE"/>
    <s v="MTB.WS"/>
    <s v="M&amp;T Bank Corporation"/>
    <x v="2"/>
    <s v="N/A"/>
    <s v="N/A"/>
    <n v="0"/>
    <n v="1332.11"/>
    <n v="19.95"/>
    <n v="78140111"/>
    <d v="2023-11-07T00:00:00"/>
    <s v="Missing"/>
    <m/>
  </r>
  <r>
    <s v="kbateupj"/>
    <s v="eventbrite.com"/>
    <s v="Kevon"/>
    <s v="Bateup"/>
    <s v="Genderqueer"/>
    <s v="Other"/>
    <s v="135.154.249.129"/>
    <s v="69.250.2.111"/>
    <n v="20"/>
    <n v="20"/>
    <s v="NYSE"/>
    <s v="BDX"/>
    <s v="Becton, Dickinson and Company"/>
    <x v="0"/>
    <s v="Medical/Dental Instruments"/>
    <s v="$43.49B"/>
    <n v="43490000000"/>
    <n v="69.09"/>
    <n v="7.63"/>
    <n v="91361040"/>
    <d v="2020-01-13T00:00:00"/>
    <s v="Complete"/>
    <m/>
  </r>
  <r>
    <s v="fcarillok"/>
    <s v="simplemachines.org"/>
    <s v="Falkner"/>
    <s v="Carillo"/>
    <s v="Male"/>
    <s v="Male"/>
    <s v="136.51.38.130"/>
    <s v="184.33.28.109"/>
    <n v="21"/>
    <n v="21"/>
    <s v="NYSE"/>
    <s v="SO"/>
    <s v="Southern Company (The)"/>
    <x v="8"/>
    <s v="Electric Utilities: Central"/>
    <s v="$51.25B"/>
    <n v="51250000000"/>
    <n v="95.3"/>
    <n v="-0.51"/>
    <n v="28474693"/>
    <d v="2022-03-04T00:00:00"/>
    <s v="Complete"/>
    <m/>
  </r>
  <r>
    <s v="dblackabyl"/>
    <s v="about.me"/>
    <s v="Davon"/>
    <s v="Blackaby"/>
    <s v="Bigender"/>
    <s v="Other"/>
    <s v="16.86.86.206"/>
    <s v="163.90.221.30"/>
    <n v="22"/>
    <n v="22"/>
    <s v="NASDAQ"/>
    <s v="ZNGA"/>
    <s v="Zynga Inc."/>
    <x v="4"/>
    <s v="EDP Services"/>
    <s v="$3.17B"/>
    <n v="3170000000"/>
    <n v="160.37"/>
    <n v="14.11"/>
    <n v="149428459"/>
    <d v="2021-11-18T00:00:00"/>
    <s v="Complete"/>
    <m/>
  </r>
  <r>
    <s v="pdockerym"/>
    <s v="themeforest.net"/>
    <s v="Pat"/>
    <s v="Dockery"/>
    <s v="Male"/>
    <s v="Male"/>
    <s v="111.84.168.172"/>
    <s v="217.63.119.27"/>
    <n v="23"/>
    <n v="23"/>
    <s v="NYSE"/>
    <s v="LXU"/>
    <s v="Lsb Industries Inc."/>
    <x v="10"/>
    <s v="Major Chemicals"/>
    <s v="$295.41M"/>
    <n v="295410000"/>
    <n v="1496.68"/>
    <n v="-5.87"/>
    <n v="134000009"/>
    <d v="2026-06-13T00:00:00"/>
    <s v="Complete"/>
    <m/>
  </r>
  <r>
    <s v="ewinhamn"/>
    <s v="irs.gov"/>
    <s v="Emogene"/>
    <s v="Winham"/>
    <s v="Female"/>
    <s v="Female"/>
    <s v="8.163.158.231"/>
    <s v="45.119.88.135"/>
    <n v="24"/>
    <n v="24"/>
    <s v="NASDAQ"/>
    <s v="ABMD"/>
    <s v="ABIOMED, Inc."/>
    <x v="0"/>
    <s v="Medical/Dental Instruments"/>
    <s v="$6.28B"/>
    <n v="6280000000"/>
    <n v="1367.88"/>
    <n v="16.190000000000001"/>
    <n v="138361710"/>
    <d v="2022-09-19T00:00:00"/>
    <s v="Complete"/>
    <m/>
  </r>
  <r>
    <s v="lburghallo"/>
    <s v="phpbb.com"/>
    <s v="Lorrie"/>
    <s v="Burghall"/>
    <s v="Male"/>
    <s v="Male"/>
    <s v="106.204.167.215"/>
    <s v="63.95.202.97"/>
    <n v="25"/>
    <n v="25"/>
    <s v="NASDAQ"/>
    <s v="PYDS"/>
    <s v="Payment Data Systems, Inc."/>
    <x v="3"/>
    <s v="Investment Bankers/Brokers/Service"/>
    <s v="$15.38M"/>
    <n v="15380000"/>
    <n v="1558.44"/>
    <n v="-6.67"/>
    <n v="196729450"/>
    <d v="2025-04-20T00:00:00"/>
    <s v="Complete"/>
    <m/>
  </r>
  <r>
    <s v="hdecrusep"/>
    <s v="4shared.com"/>
    <s v="Hy"/>
    <s v="Decruse"/>
    <s v="Agender"/>
    <s v="Other"/>
    <s v="140.147.219.233"/>
    <s v="128.91.63.41"/>
    <n v="26"/>
    <n v="26"/>
    <s v="NASDAQ"/>
    <s v="ASUR"/>
    <s v="Asure Software Inc"/>
    <x v="4"/>
    <s v="EDP Services"/>
    <s v="$172.9M"/>
    <n v="172900000"/>
    <n v="1296.78"/>
    <n v="-14.9"/>
    <n v="41442258"/>
    <d v="2026-06-28T00:00:00"/>
    <s v="Complete"/>
    <m/>
  </r>
  <r>
    <s v="tpicklessq"/>
    <s v="cocolog-nifty.com"/>
    <s v="Tucky"/>
    <s v="Pickless"/>
    <s v="Non-binary"/>
    <s v="Other"/>
    <s v="239.215.147.130"/>
    <s v="250.221.251.194"/>
    <n v="27"/>
    <n v="27"/>
    <s v="NYSE"/>
    <s v="JMT"/>
    <s v="Nuven Mortgage Opportunity Term Fund 2"/>
    <x v="2"/>
    <s v="N/A"/>
    <s v="$118.37M"/>
    <n v="118370000"/>
    <n v="1163.92"/>
    <n v="-19.59"/>
    <n v="139981740"/>
    <d v="2026-06-29T00:00:00"/>
    <s v="Missing"/>
    <m/>
  </r>
  <r>
    <s v="pbamblettr"/>
    <s v="wp.com"/>
    <s v="Palmer"/>
    <s v="Bamblett"/>
    <s v="Male"/>
    <s v="Male"/>
    <s v="103.105.98.208"/>
    <s v="135.149.3.175"/>
    <n v="28"/>
    <n v="28"/>
    <s v="NYSE"/>
    <s v="AVK"/>
    <s v="Advent Claymore Convertible Securities and Income Fund"/>
    <x v="2"/>
    <s v="N/A"/>
    <s v="$378.24M"/>
    <n v="378240000"/>
    <n v="1467.57"/>
    <n v="-9"/>
    <n v="194795912"/>
    <d v="2025-01-29T00:00:00"/>
    <s v="Missing"/>
    <m/>
  </r>
  <r>
    <s v="wflecknoes"/>
    <s v="sina.com.cn"/>
    <s v="Wandie"/>
    <s v="Flecknoe"/>
    <s v="Female"/>
    <s v="Female"/>
    <s v="83.187.21.149"/>
    <s v="238.0.177.1"/>
    <n v="29"/>
    <n v="29"/>
    <s v="NYSE"/>
    <s v="LFGR"/>
    <s v="Leaf Group Ltd."/>
    <x v="4"/>
    <s v="EDP Services"/>
    <s v="$162.87M"/>
    <n v="162870000"/>
    <n v="805.98"/>
    <n v="6.73"/>
    <n v="1041919"/>
    <d v="2025-03-04T00:00:00"/>
    <s v="Complete"/>
    <m/>
  </r>
  <r>
    <s v="ssoamest"/>
    <s v="php.net"/>
    <s v="Stan"/>
    <s v="Soames"/>
    <s v="Male"/>
    <s v="Male"/>
    <s v="18.46.16.89"/>
    <s v="102.173.226.153"/>
    <n v="30"/>
    <n v="30"/>
    <s v="NASDAQ"/>
    <s v="ICFI"/>
    <s v="ICF International, Inc."/>
    <x v="6"/>
    <s v="Professional Services"/>
    <s v="$882.65M"/>
    <n v="882650000"/>
    <n v="1510.86"/>
    <n v="5.96"/>
    <n v="94730962"/>
    <d v="2026-09-14T00:00:00"/>
    <s v="Complete"/>
    <m/>
  </r>
  <r>
    <s v="ematzu"/>
    <s v="w3.org"/>
    <s v="Elsworth"/>
    <s v="Matz"/>
    <s v="Male"/>
    <s v="Male"/>
    <s v="73.209.240.224"/>
    <s v="178.58.14.171"/>
    <n v="31"/>
    <n v="31"/>
    <s v="NASDAQ"/>
    <s v="CEMI"/>
    <s v="Chembio Diagnostics, Inc."/>
    <x v="0"/>
    <s v="Major Pharmaceuticals"/>
    <s v="$73.79M"/>
    <n v="73790000"/>
    <n v="1915.27"/>
    <n v="13.85"/>
    <n v="54209644"/>
    <d v="2020-01-20T00:00:00"/>
    <s v="Complete"/>
    <m/>
  </r>
  <r>
    <s v="rtenderv"/>
    <s v="ebay.com"/>
    <s v="Raviv"/>
    <s v="Tender"/>
    <s v="Male"/>
    <s v="Male"/>
    <s v="223.71.83.74"/>
    <s v="119.66.199.215"/>
    <n v="32"/>
    <n v="32"/>
    <s v="NASDAQ"/>
    <s v="WCFB"/>
    <s v="WCF Bancorp, Inc."/>
    <x v="3"/>
    <s v="Major Banks"/>
    <s v="$26.13M"/>
    <n v="26130000"/>
    <n v="178.74"/>
    <n v="-16.91"/>
    <n v="70251160"/>
    <d v="2026-05-23T00:00:00"/>
    <s v="Complete"/>
    <m/>
  </r>
  <r>
    <s v="boldacrew"/>
    <s v="skype.com"/>
    <s v="Barbabas"/>
    <s v="Oldacre"/>
    <s v="Genderfluid"/>
    <s v="Other"/>
    <s v="122.251.70.24"/>
    <s v="7.180.32.24"/>
    <n v="33"/>
    <n v="33"/>
    <s v="NASDAQ"/>
    <s v="ETSY"/>
    <s v="Etsy, Inc."/>
    <x v="7"/>
    <s v="Business Services"/>
    <s v="$1.59B"/>
    <n v="1590000000"/>
    <n v="922.91"/>
    <n v="14.8"/>
    <n v="181271276"/>
    <d v="2026-11-19T00:00:00"/>
    <s v="Complete"/>
    <m/>
  </r>
  <r>
    <s v="zdefranciscix"/>
    <s v="google.com.hk"/>
    <s v="Zebedee"/>
    <s v="De Francisci"/>
    <s v="Male"/>
    <s v="Male"/>
    <s v="91.1.27.179"/>
    <s v="39.16.70.225"/>
    <n v="34"/>
    <n v="34"/>
    <s v="NASDAQ"/>
    <s v="IIIN"/>
    <s v="Insteel Industries, Inc."/>
    <x v="1"/>
    <s v="Steel/Iron Ore"/>
    <s v="$605.76M"/>
    <n v="605760000"/>
    <n v="1272.42"/>
    <n v="13.97"/>
    <n v="79997222"/>
    <d v="2020-05-26T00:00:00"/>
    <s v="Complete"/>
    <m/>
  </r>
  <r>
    <s v="rmacdowaly"/>
    <s v="yelp.com"/>
    <s v="Rochell"/>
    <s v="MacDowal"/>
    <s v="Female"/>
    <s v="Female"/>
    <s v="153.109.6.43"/>
    <s v="236.18.213.165"/>
    <n v="35"/>
    <n v="35"/>
    <s v="NASDAQ"/>
    <s v="NHLD"/>
    <s v="National Holdings Corporation"/>
    <x v="3"/>
    <s v="Investment Bankers/Brokers/Service"/>
    <s v="$34.45M"/>
    <n v="34450000"/>
    <n v="502.61"/>
    <n v="18.84"/>
    <n v="64784873"/>
    <d v="2023-10-25T00:00:00"/>
    <s v="Complete"/>
    <m/>
  </r>
  <r>
    <s v="owarlawez"/>
    <s v="deliciousdays.com"/>
    <s v="Onfroi"/>
    <s v="Warlawe"/>
    <s v="Male"/>
    <s v="Male"/>
    <s v="113.77.100.238"/>
    <s v="156.160.243.167"/>
    <n v="36"/>
    <n v="36"/>
    <s v="NYSE"/>
    <s v="RGC"/>
    <s v="Regal Entertainment Group"/>
    <x v="6"/>
    <s v="Movies/Entertainment"/>
    <s v="$3.36B"/>
    <n v="3360000000"/>
    <n v="648.34"/>
    <n v="-2.06"/>
    <n v="52870009"/>
    <d v="2025-11-06T00:00:00"/>
    <s v="Complete"/>
    <m/>
  </r>
  <r>
    <s v="dsanford10"/>
    <s v="bloomberg.com"/>
    <s v="Darcee"/>
    <s v="Sanford"/>
    <s v="Female"/>
    <s v="Female"/>
    <s v="135.130.206.58"/>
    <s v="93.221.148.232"/>
    <n v="37"/>
    <n v="37"/>
    <s v="NASDAQ"/>
    <s v="NTWK"/>
    <s v="NetSol Technologies Inc."/>
    <x v="4"/>
    <s v="Computer Software: Prepackaged Software"/>
    <s v="$45.09M"/>
    <n v="45090000"/>
    <n v="620.94000000000005"/>
    <n v="-13.96"/>
    <n v="153684697"/>
    <d v="2023-06-11T00:00:00"/>
    <s v="Complete"/>
    <m/>
  </r>
  <r>
    <s v="wfoulkes11"/>
    <s v="businesswire.com"/>
    <s v="Warren"/>
    <s v="Foulkes"/>
    <s v="Male"/>
    <s v="Male"/>
    <s v="26.130.69.54"/>
    <s v="227.24.211.159"/>
    <n v="38"/>
    <n v="38"/>
    <s v="NYSE"/>
    <s v="ORC"/>
    <s v="Orchid Island Capital, Inc."/>
    <x v="6"/>
    <s v="Real Estate Investment Trusts"/>
    <s v="$350.52M"/>
    <n v="350520000"/>
    <n v="1965.59"/>
    <n v="17.96"/>
    <n v="96749130"/>
    <d v="2023-12-30T00:00:00"/>
    <s v="Complete"/>
    <m/>
  </r>
  <r>
    <s v="mkenzie12"/>
    <s v="bloomberg.com"/>
    <s v="Melitta"/>
    <s v="Kenzie"/>
    <s v="Female"/>
    <s v="Female"/>
    <s v="221.115.169.0"/>
    <s v="68.126.128.3"/>
    <n v="39"/>
    <n v="39"/>
    <s v="NYSE"/>
    <s v="OA"/>
    <s v="Orbital ATK, Inc."/>
    <x v="1"/>
    <s v="Military/Government/Technical"/>
    <s v="$5.74B"/>
    <n v="5740000000"/>
    <n v="956.14"/>
    <n v="4.3099999999999996"/>
    <n v="44583222"/>
    <d v="2021-06-11T00:00:00"/>
    <s v="Complete"/>
    <m/>
  </r>
  <r>
    <s v="ljiggins13"/>
    <s v="cornell.edu"/>
    <s v="Lucas"/>
    <s v="Jiggins"/>
    <s v="Male"/>
    <s v="Male"/>
    <s v="210.212.164.166"/>
    <s v="90.196.134.29"/>
    <n v="40"/>
    <n v="40"/>
    <s v="NASDAQ"/>
    <s v="APPN"/>
    <s v="Appian Corporation"/>
    <x v="4"/>
    <s v="Computer Software: Prepackaged Software"/>
    <s v="$1.07B"/>
    <n v="1070000000.0000001"/>
    <n v="904.14"/>
    <n v="-1.86"/>
    <n v="184214630"/>
    <d v="2021-06-06T00:00:00"/>
    <s v="Complete"/>
    <m/>
  </r>
  <r>
    <s v="kstoad14"/>
    <s v="prlog.org"/>
    <s v="Kelcie"/>
    <s v="Stoad"/>
    <s v="Female"/>
    <s v="Female"/>
    <s v="31.209.201.116"/>
    <s v="231.18.224.146"/>
    <n v="41"/>
    <n v="41"/>
    <s v="NASDAQ"/>
    <s v="TANNZ"/>
    <s v="TravelCenters of America LLC"/>
    <x v="11"/>
    <s v="Automotive Aftermarket"/>
    <s v="N/A"/>
    <n v="0"/>
    <n v="1851.58"/>
    <n v="-5.1100000000000003"/>
    <n v="197095068"/>
    <d v="2022-04-18T00:00:00"/>
    <s v="Missing"/>
    <m/>
  </r>
  <r>
    <s v="ccasiroli15"/>
    <s v="miitbeian.gov.cn"/>
    <s v="Chickie"/>
    <s v="Casiroli"/>
    <s v="Female"/>
    <s v="Female"/>
    <s v="96.139.76.66"/>
    <s v="221.157.14.19"/>
    <n v="42"/>
    <n v="42"/>
    <s v="NASDAQ"/>
    <s v="RARE"/>
    <s v="Ultragenyx Pharmaceutical Inc."/>
    <x v="0"/>
    <s v="Major Pharmaceuticals"/>
    <s v="$2.64B"/>
    <n v="2640000000"/>
    <n v="720.02"/>
    <n v="-17.46"/>
    <n v="180211723"/>
    <d v="2025-07-21T00:00:00"/>
    <s v="Complete"/>
    <m/>
  </r>
  <r>
    <s v="pgobourn16"/>
    <s v="e-recht24.de"/>
    <s v="Pierrette"/>
    <s v="Gobourn"/>
    <s v="Female"/>
    <s v="Female"/>
    <s v="184.248.76.50"/>
    <s v="229.216.218.215"/>
    <n v="43"/>
    <n v="43"/>
    <s v="NYSE"/>
    <s v="NTEST"/>
    <s v="NASDAQ TEST STOCK"/>
    <x v="2"/>
    <s v="N/A"/>
    <s v="N/A"/>
    <n v="0"/>
    <n v="1316.16"/>
    <n v="-15.58"/>
    <n v="194741029"/>
    <d v="2025-10-24T00:00:00"/>
    <s v="Missing"/>
    <m/>
  </r>
  <r>
    <s v="celam17"/>
    <s v="mozilla.com"/>
    <s v="Cchaddie"/>
    <s v="Elam"/>
    <s v="Male"/>
    <s v="Male"/>
    <s v="106.100.176.178"/>
    <s v="55.210.84.234"/>
    <n v="44"/>
    <n v="44"/>
    <s v="NASDAQ"/>
    <s v="AETI"/>
    <s v="American Electric Technologies, Inc."/>
    <x v="9"/>
    <s v="Industrial Machinery/Components"/>
    <s v="$12.31M"/>
    <n v="12310000"/>
    <n v="1628.53"/>
    <n v="5.58"/>
    <n v="92048561"/>
    <d v="2020-10-06T00:00:00"/>
    <s v="Complete"/>
    <m/>
  </r>
  <r>
    <s v="dmatitiaho18"/>
    <s v="imgur.com"/>
    <s v="Dick"/>
    <s v="Matitiaho"/>
    <s v="Male"/>
    <s v="Male"/>
    <s v="44.46.235.48"/>
    <s v="212.22.136.255"/>
    <n v="45"/>
    <n v="45"/>
    <s v="NYSE"/>
    <s v="PL^C"/>
    <s v="Protective Life Corporation"/>
    <x v="2"/>
    <s v="N/A"/>
    <s v="N/A"/>
    <n v="0"/>
    <n v="633.30999999999995"/>
    <n v="19.12"/>
    <n v="8126008"/>
    <d v="2021-02-27T00:00:00"/>
    <s v="Missing"/>
    <m/>
  </r>
  <r>
    <s v="lneillans19"/>
    <s v="sourceforge.net"/>
    <s v="Lisbeth"/>
    <s v="Neillans"/>
    <s v="Female"/>
    <s v="Female"/>
    <s v="122.15.171.200"/>
    <s v="88.47.117.99"/>
    <n v="46"/>
    <n v="46"/>
    <s v="NYSE"/>
    <s v="BAC^L"/>
    <s v="Bank of America Corporation"/>
    <x v="2"/>
    <s v="N/A"/>
    <s v="N/A"/>
    <n v="0"/>
    <n v="385.73"/>
    <n v="12.34"/>
    <n v="79648289"/>
    <d v="2025-12-29T00:00:00"/>
    <s v="Missing"/>
    <m/>
  </r>
  <r>
    <s v="alamdin1a"/>
    <s v="photobucket.com"/>
    <s v="Alyse"/>
    <s v="Lamdin"/>
    <s v="Female"/>
    <s v="Female"/>
    <s v="116.44.232.1"/>
    <s v="237.200.136.16"/>
    <n v="47"/>
    <n v="47"/>
    <s v="NASDAQ"/>
    <s v="CACC"/>
    <s v="Credit Acceptance Corporation"/>
    <x v="3"/>
    <s v="Finance: Consumer Services"/>
    <s v="$4.64B"/>
    <n v="4640000000"/>
    <n v="1831.05"/>
    <n v="4.87"/>
    <n v="136527708"/>
    <d v="2020-09-24T00:00:00"/>
    <s v="Complete"/>
    <m/>
  </r>
  <r>
    <s v="acruddace1b"/>
    <s v="springer.com"/>
    <s v="Alistair"/>
    <s v="Cruddace"/>
    <s v="Male"/>
    <s v="Male"/>
    <s v="242.5.103.114"/>
    <s v="174.34.12.135"/>
    <n v="48"/>
    <n v="48"/>
    <s v="NASDAQ"/>
    <s v="TAPR"/>
    <s v="Barclays Inverse US Treasury Composite ETN"/>
    <x v="3"/>
    <s v="Commercial Banks"/>
    <s v="$14.79M"/>
    <n v="14790000"/>
    <n v="1771.36"/>
    <n v="-19.86"/>
    <n v="102121445"/>
    <d v="2025-06-20T00:00:00"/>
    <s v="Complete"/>
    <m/>
  </r>
  <r>
    <s v="fsiddele1c"/>
    <s v="macromedia.com"/>
    <s v="Fidelity"/>
    <s v="Siddele"/>
    <s v="Female"/>
    <s v="Female"/>
    <s v="62.147.43.8"/>
    <s v="75.112.186.158"/>
    <n v="49"/>
    <n v="49"/>
    <s v="NYSE"/>
    <s v="TISI"/>
    <s v="Team, Inc."/>
    <x v="6"/>
    <s v="Other Consumer Services"/>
    <s v="$751.34M"/>
    <n v="751340000"/>
    <n v="882.05"/>
    <n v="-0.44"/>
    <n v="84604444"/>
    <d v="2022-10-27T00:00:00"/>
    <s v="Complete"/>
    <m/>
  </r>
  <r>
    <s v="hsaleway1d"/>
    <s v="gravatar.com"/>
    <s v="Happy"/>
    <s v="Saleway"/>
    <s v="Female"/>
    <s v="Female"/>
    <s v="22.26.238.238"/>
    <s v="15.137.154.148"/>
    <n v="50"/>
    <n v="50"/>
    <s v="NYSE"/>
    <s v="PZC"/>
    <s v="PIMCO California Municipal Income Fund III"/>
    <x v="2"/>
    <s v="N/A"/>
    <s v="$283.89M"/>
    <n v="283890000"/>
    <n v="750.55"/>
    <n v="-8.9"/>
    <n v="143293854"/>
    <d v="2024-09-25T00:00:00"/>
    <s v="Missing"/>
    <m/>
  </r>
  <r>
    <s v="pgriffithe1e"/>
    <s v="bloglines.com"/>
    <s v="Phelia"/>
    <s v="Griffithe"/>
    <s v="Female"/>
    <s v="Female"/>
    <s v="35.45.204.0"/>
    <s v="171.36.92.103"/>
    <n v="51"/>
    <n v="51"/>
    <s v="NYSE"/>
    <s v="WALA"/>
    <s v="Western Alliance Bancorporation"/>
    <x v="3"/>
    <s v="Major Banks"/>
    <s v="N/A"/>
    <n v="0"/>
    <n v="1403.81"/>
    <n v="-9.15"/>
    <n v="43382305"/>
    <d v="2026-12-20T00:00:00"/>
    <s v="Missing"/>
    <m/>
  </r>
  <r>
    <s v="bcaldow1f"/>
    <s v="hhs.gov"/>
    <s v="Brigitte"/>
    <s v="Caldow"/>
    <s v="Female"/>
    <s v="Female"/>
    <s v="154.196.35.29"/>
    <s v="140.1.206.7"/>
    <n v="52"/>
    <n v="52"/>
    <s v="NYSE"/>
    <s v="MTR"/>
    <s v="Mesa Royalty Trust"/>
    <x v="9"/>
    <s v="Oil &amp; Gas Production"/>
    <s v="$22.46M"/>
    <n v="22460000"/>
    <n v="649.53"/>
    <n v="-8.24"/>
    <n v="152637868"/>
    <d v="2025-01-24T00:00:00"/>
    <s v="Complete"/>
    <m/>
  </r>
  <r>
    <s v="lgosse1g"/>
    <s v="multiply.com"/>
    <s v="Lizzy"/>
    <s v="Gosse"/>
    <s v="Female"/>
    <s v="Female"/>
    <s v="16.161.130.55"/>
    <s v="192.245.205.20"/>
    <n v="53"/>
    <n v="53"/>
    <s v="NASDAQ"/>
    <s v="GLAD"/>
    <s v="Gladstone Capital Corporation"/>
    <x v="2"/>
    <s v="N/A"/>
    <s v="$253.65M"/>
    <n v="253650000"/>
    <n v="986.75"/>
    <n v="8.09"/>
    <n v="144932302"/>
    <d v="2023-05-23T00:00:00"/>
    <s v="Missing"/>
    <m/>
  </r>
  <r>
    <s v="kcathery1h"/>
    <s v="alibaba.com"/>
    <s v="Korney"/>
    <s v="Cathery"/>
    <s v="Bigender"/>
    <s v="Other"/>
    <s v="84.70.178.170"/>
    <s v="134.24.150.125"/>
    <n v="54"/>
    <n v="54"/>
    <s v="NYSE"/>
    <s v="AFSD"/>
    <s v="Aflac Incorporated"/>
    <x v="3"/>
    <s v="Accident &amp;Health Insurance"/>
    <s v="N/A"/>
    <n v="0"/>
    <n v="1056.47"/>
    <n v="11.83"/>
    <n v="6056229"/>
    <d v="2026-02-13T00:00:00"/>
    <s v="Missing"/>
    <m/>
  </r>
  <r>
    <s v="ijancar1i"/>
    <s v="biglobe.ne.jp"/>
    <s v="Iorgos"/>
    <s v="Jancar"/>
    <s v="Male"/>
    <s v="Male"/>
    <s v="141.31.179.142"/>
    <s v="101.125.106.238"/>
    <n v="55"/>
    <n v="55"/>
    <s v="NASDAQ"/>
    <s v="UCTT"/>
    <s v="Ultra Clean Holdings, Inc."/>
    <x v="4"/>
    <s v="Semiconductors"/>
    <s v="$690.58M"/>
    <n v="690580000"/>
    <n v="130.68"/>
    <n v="-14.63"/>
    <n v="130248022"/>
    <d v="2023-07-09T00:00:00"/>
    <s v="Complete"/>
    <m/>
  </r>
  <r>
    <s v="fbegent1j"/>
    <s v="usda.gov"/>
    <s v="Frieda"/>
    <s v="Begent"/>
    <s v="Female"/>
    <s v="Female"/>
    <s v="74.111.228.61"/>
    <s v="44.77.11.249"/>
    <n v="56"/>
    <n v="56"/>
    <s v="NYSE"/>
    <s v="JPM^E"/>
    <s v="J P Morgan Chase &amp; Co"/>
    <x v="2"/>
    <s v="N/A"/>
    <s v="N/A"/>
    <n v="0"/>
    <n v="61.73"/>
    <n v="-4.68"/>
    <n v="98835364"/>
    <d v="2022-08-31T00:00:00"/>
    <s v="Missing"/>
    <m/>
  </r>
  <r>
    <s v="kscoffham1k"/>
    <s v="networkadvertising.org"/>
    <s v="Ker"/>
    <s v="Scoffham"/>
    <s v="Male"/>
    <s v="Male"/>
    <s v="129.97.7.155"/>
    <s v="152.104.222.181"/>
    <n v="57"/>
    <n v="57"/>
    <s v="NASDAQ"/>
    <s v="IBKR"/>
    <s v="Interactive Brokers Group, Inc."/>
    <x v="3"/>
    <s v="Investment Bankers/Brokers/Service"/>
    <s v="$14.98B"/>
    <n v="14980000000"/>
    <n v="197.86"/>
    <n v="14.86"/>
    <n v="2375423"/>
    <d v="2024-03-24T00:00:00"/>
    <s v="Complete"/>
    <m/>
  </r>
  <r>
    <s v="vprince1l"/>
    <s v="msu.edu"/>
    <s v="Velma"/>
    <s v="Prince"/>
    <s v="Female"/>
    <s v="Female"/>
    <s v="169.104.84.10"/>
    <s v="99.176.239.198"/>
    <n v="58"/>
    <n v="58"/>
    <s v="NASDAQ"/>
    <s v="FFWM"/>
    <s v="First Foundation Inc."/>
    <x v="3"/>
    <s v="Major Banks"/>
    <s v="$543.15M"/>
    <n v="543150000"/>
    <n v="1811.05"/>
    <n v="-18.079999999999998"/>
    <n v="188371461"/>
    <d v="2022-11-23T00:00:00"/>
    <s v="Complete"/>
    <m/>
  </r>
  <r>
    <s v="jdavidovics1m"/>
    <s v="paypal.com"/>
    <s v="Jefferson"/>
    <s v="Davidovics"/>
    <s v="Male"/>
    <s v="Male"/>
    <s v="115.17.211.223"/>
    <s v="206.108.202.108"/>
    <n v="59"/>
    <n v="59"/>
    <s v="NYSE"/>
    <s v="DNB"/>
    <s v="Dun &amp; Bradstreet Corporation (The)"/>
    <x v="3"/>
    <s v="Finance: Consumer Services"/>
    <s v="$3.91B"/>
    <n v="3910000000"/>
    <n v="1010.92"/>
    <n v="13.8"/>
    <n v="132129358"/>
    <d v="2025-05-04T00:00:00"/>
    <s v="Complete"/>
    <m/>
  </r>
  <r>
    <s v="dupham1n"/>
    <s v="nba.com"/>
    <s v="Dav"/>
    <s v="Upham"/>
    <s v="Male"/>
    <s v="Male"/>
    <s v="238.255.180.85"/>
    <s v="53.206.80.187"/>
    <n v="60"/>
    <n v="60"/>
    <s v="NYSE"/>
    <s v="IIM"/>
    <s v="Invesco Value Municipal Income Trust"/>
    <x v="2"/>
    <s v="N/A"/>
    <s v="$713.38M"/>
    <n v="713380000"/>
    <n v="1370.52"/>
    <n v="-13.4"/>
    <n v="60185377"/>
    <d v="2025-07-22T00:00:00"/>
    <s v="Missing"/>
    <m/>
  </r>
  <r>
    <s v="athursby1o"/>
    <s v="yahoo.com"/>
    <s v="Anatollo"/>
    <s v="Thursby"/>
    <s v="Male"/>
    <s v="Male"/>
    <s v="73.181.58.197"/>
    <s v="175.24.223.71"/>
    <n v="61"/>
    <n v="61"/>
    <s v="NYSE"/>
    <s v="SHO^F"/>
    <s v="Sunstone Hotel Investors, Inc."/>
    <x v="2"/>
    <s v="N/A"/>
    <s v="N/A"/>
    <n v="0"/>
    <n v="736.92"/>
    <n v="-7.52"/>
    <n v="173261648"/>
    <d v="2024-02-01T00:00:00"/>
    <s v="Missing"/>
    <m/>
  </r>
  <r>
    <s v="bdollman1p"/>
    <s v="a8.net"/>
    <s v="Brockie"/>
    <s v="Dollman"/>
    <s v="Male"/>
    <s v="Male"/>
    <s v="243.189.99.247"/>
    <s v="84.222.239.5"/>
    <n v="62"/>
    <n v="62"/>
    <s v="NYSE"/>
    <s v="MCO"/>
    <s v="Moody's Corporation"/>
    <x v="3"/>
    <s v="Finance: Consumer Services"/>
    <s v="$23.39B"/>
    <n v="23390000000"/>
    <n v="785.18"/>
    <n v="9.23"/>
    <n v="142169489"/>
    <d v="2024-04-16T00:00:00"/>
    <s v="Complete"/>
    <m/>
  </r>
  <r>
    <s v="jatwood1q"/>
    <s v="angelfire.com"/>
    <s v="Joellen"/>
    <s v="Atwood"/>
    <s v="Female"/>
    <s v="Female"/>
    <s v="32.252.253.172"/>
    <s v="167.23.3.247"/>
    <n v="63"/>
    <n v="63"/>
    <s v="NASDAQ"/>
    <s v="GLDI"/>
    <s v="X-Links Gold Shares Covered Call ETN"/>
    <x v="3"/>
    <s v="Investment Bankers/Brokers/Service"/>
    <s v="$126.29M"/>
    <n v="126290000"/>
    <n v="1676.63"/>
    <n v="-3.6"/>
    <n v="18557893"/>
    <d v="2026-01-02T00:00:00"/>
    <s v="Complete"/>
    <m/>
  </r>
  <r>
    <s v="sbudden1r"/>
    <s v="gmpg.org"/>
    <s v="Sullivan"/>
    <s v="Budden"/>
    <s v="Male"/>
    <s v="Male"/>
    <s v="4.232.40.103"/>
    <s v="185.73.54.11"/>
    <n v="64"/>
    <n v="64"/>
    <s v="NASDAQ"/>
    <s v="BCBP"/>
    <s v="BCB Bancorp, Inc. (NJ)"/>
    <x v="3"/>
    <s v="Savings Institutions"/>
    <s v="$174.42M"/>
    <n v="174420000"/>
    <n v="561.39"/>
    <n v="-7.01"/>
    <n v="3288981"/>
    <d v="2024-10-22T00:00:00"/>
    <s v="Complete"/>
    <m/>
  </r>
  <r>
    <s v="gpayze1s"/>
    <s v="imgur.com"/>
    <s v="Gherardo"/>
    <s v="Payze"/>
    <s v="Male"/>
    <s v="Male"/>
    <s v="170.59.50.97"/>
    <s v="11.107.174.150"/>
    <n v="65"/>
    <n v="65"/>
    <s v="NASDAQ"/>
    <s v="KTCC"/>
    <s v="Key Tronic Corporation"/>
    <x v="4"/>
    <s v="Computer peripheral equipment"/>
    <s v="$73.17M"/>
    <n v="73170000"/>
    <n v="613.75"/>
    <n v="-9.98"/>
    <n v="126755075"/>
    <d v="2023-11-07T00:00:00"/>
    <s v="Complete"/>
    <m/>
  </r>
  <r>
    <s v="gpetel1t"/>
    <s v="java.com"/>
    <s v="Genevieve"/>
    <s v="Petel"/>
    <s v="Female"/>
    <s v="Female"/>
    <s v="96.76.60.24"/>
    <s v="212.2.173.16"/>
    <n v="66"/>
    <n v="66"/>
    <s v="NYSE"/>
    <s v="NTEST.B"/>
    <s v="NASDAQ TEST STOCK"/>
    <x v="2"/>
    <s v="N/A"/>
    <s v="N/A"/>
    <n v="0"/>
    <n v="1023.08"/>
    <n v="18.670000000000002"/>
    <n v="57346495"/>
    <d v="2021-05-07T00:00:00"/>
    <s v="Missing"/>
    <m/>
  </r>
  <r>
    <s v="tlabrow1u"/>
    <s v="squarespace.com"/>
    <s v="Tracey"/>
    <s v="Labrow"/>
    <s v="Female"/>
    <s v="Female"/>
    <s v="158.72.5.180"/>
    <s v="30.61.56.84"/>
    <n v="67"/>
    <n v="67"/>
    <s v="NYSE"/>
    <s v="CRC"/>
    <s v="California Resources Corporation"/>
    <x v="9"/>
    <s v="Oil &amp; Gas Production"/>
    <s v="$441.26M"/>
    <n v="441260000"/>
    <n v="953.79"/>
    <n v="-7"/>
    <n v="82271495"/>
    <d v="2021-01-29T00:00:00"/>
    <s v="Complete"/>
    <m/>
  </r>
  <r>
    <s v="cmckirton1v"/>
    <s v="utexas.edu"/>
    <s v="Cris"/>
    <s v="McKirton"/>
    <s v="Male"/>
    <s v="Male"/>
    <s v="33.241.203.151"/>
    <s v="113.153.102.57"/>
    <n v="68"/>
    <n v="68"/>
    <s v="NYSE"/>
    <s v="BDX"/>
    <s v="Becton, Dickinson and Company"/>
    <x v="0"/>
    <s v="Medical/Dental Instruments"/>
    <s v="$43.49B"/>
    <n v="43490000000"/>
    <n v="75.34"/>
    <n v="18.89"/>
    <n v="157125033"/>
    <d v="2022-11-14T00:00:00"/>
    <s v="Complete"/>
    <m/>
  </r>
  <r>
    <s v="fogeaney1w"/>
    <s v="tripod.com"/>
    <s v="Farlee"/>
    <s v="O'Geaney"/>
    <s v="Male"/>
    <s v="Male"/>
    <s v="198.154.45.203"/>
    <s v="123.123.51.131"/>
    <n v="69"/>
    <n v="69"/>
    <s v="NYSE"/>
    <s v="FHN^A"/>
    <s v="First Horizon National Corporation"/>
    <x v="2"/>
    <s v="N/A"/>
    <s v="N/A"/>
    <n v="0"/>
    <n v="1389.33"/>
    <n v="17.86"/>
    <n v="187657309"/>
    <d v="2021-01-07T00:00:00"/>
    <s v="Missing"/>
    <m/>
  </r>
  <r>
    <s v="hsomerscales1x"/>
    <s v="google.ca"/>
    <s v="Harvey"/>
    <s v="Somerscales"/>
    <s v="Male"/>
    <s v="Male"/>
    <s v="31.52.167.175"/>
    <s v="183.221.9.43"/>
    <n v="70"/>
    <n v="70"/>
    <s v="NASDAQ"/>
    <s v="NBN"/>
    <s v="Northeast Bancorp"/>
    <x v="3"/>
    <s v="Major Banks"/>
    <s v="$180.4M"/>
    <n v="180400000"/>
    <n v="957.53"/>
    <n v="-14.32"/>
    <n v="45479048"/>
    <d v="2026-08-01T00:00:00"/>
    <s v="Complete"/>
    <m/>
  </r>
  <r>
    <s v="nvedenisov1y"/>
    <s v="ocn.ne.jp"/>
    <s v="Natale"/>
    <s v="Vedenisov"/>
    <s v="Male"/>
    <s v="Male"/>
    <s v="139.255.207.48"/>
    <s v="201.110.130.172"/>
    <n v="71"/>
    <n v="71"/>
    <s v="NASDAQ"/>
    <s v="LVHD"/>
    <s v="Legg Mason Low Volatility High Dividend ETF"/>
    <x v="2"/>
    <s v="N/A"/>
    <s v="N/A"/>
    <n v="0"/>
    <n v="1463.97"/>
    <n v="6.08"/>
    <n v="171622545"/>
    <d v="2026-09-10T00:00:00"/>
    <s v="Missing"/>
    <m/>
  </r>
  <r>
    <s v="ckinnon1z"/>
    <s v="blinklist.com"/>
    <s v="Chev"/>
    <s v="Kinnon"/>
    <s v="Male"/>
    <s v="Male"/>
    <s v="9.235.50.248"/>
    <s v="206.2.116.18"/>
    <n v="72"/>
    <n v="72"/>
    <s v="NYSE"/>
    <s v="LGI"/>
    <s v="Lazard Global Total Return and Income Fund"/>
    <x v="2"/>
    <s v="N/A"/>
    <s v="$156.37M"/>
    <n v="156370000"/>
    <n v="1301.98"/>
    <n v="5.13"/>
    <n v="99605384"/>
    <d v="2023-04-29T00:00:00"/>
    <s v="Missing"/>
    <m/>
  </r>
  <r>
    <s v="mgeater20"/>
    <s v="sitemeter.com"/>
    <s v="Maurita"/>
    <s v="Geater"/>
    <s v="Female"/>
    <s v="Female"/>
    <s v="253.107.167.137"/>
    <s v="17.147.233.147"/>
    <n v="73"/>
    <n v="73"/>
    <s v="NYSE"/>
    <s v="HT^C"/>
    <s v="Hersha Hospitality Trust"/>
    <x v="2"/>
    <s v="N/A"/>
    <s v="N/A"/>
    <n v="0"/>
    <n v="1975.3"/>
    <n v="-6.07"/>
    <n v="108921333"/>
    <d v="2024-03-23T00:00:00"/>
    <s v="Missing"/>
    <m/>
  </r>
  <r>
    <s v="kswarbrick21"/>
    <s v="prnewswire.com"/>
    <s v="Kirsten"/>
    <s v="Swarbrick"/>
    <s v="Female"/>
    <s v="Female"/>
    <s v="62.114.139.114"/>
    <s v="218.206.61.2"/>
    <n v="74"/>
    <n v="74"/>
    <s v="NASDAQ"/>
    <s v="BSTC"/>
    <s v="BioSpecifics Technologies Corp"/>
    <x v="0"/>
    <s v="Major Pharmaceuticals"/>
    <s v="$345.31M"/>
    <n v="345310000"/>
    <n v="563.24"/>
    <n v="-0.5"/>
    <n v="122889349"/>
    <d v="2022-03-04T00:00:00"/>
    <s v="Complete"/>
    <m/>
  </r>
  <r>
    <s v="acolombier22"/>
    <s v="berkeley.edu"/>
    <s v="Antonia"/>
    <s v="Colombier"/>
    <s v="Female"/>
    <s v="Female"/>
    <s v="196.132.8.219"/>
    <s v="102.68.77.251"/>
    <n v="75"/>
    <n v="75"/>
    <s v="NASDAQ"/>
    <s v="RNST"/>
    <s v="Renasant Corporation"/>
    <x v="3"/>
    <s v="Major Banks"/>
    <s v="$1.94B"/>
    <n v="1940000000"/>
    <n v="1136.01"/>
    <n v="-1.36"/>
    <n v="126397315"/>
    <d v="2022-12-29T00:00:00"/>
    <s v="Complete"/>
    <m/>
  </r>
  <r>
    <s v="chenrie23"/>
    <s v="seattletimes.com"/>
    <s v="Cort"/>
    <s v="Henrie"/>
    <s v="Male"/>
    <s v="Male"/>
    <s v="100.180.232.9"/>
    <s v="63.115.70.85"/>
    <n v="76"/>
    <n v="76"/>
    <s v="NYSE"/>
    <s v="BORN"/>
    <s v="China New Borun Corporation"/>
    <x v="5"/>
    <s v="Beverages (Production/Distribution)"/>
    <s v="$34.21M"/>
    <n v="34210000"/>
    <n v="1916.04"/>
    <n v="9.65"/>
    <n v="62335111"/>
    <d v="2020-04-30T00:00:00"/>
    <s v="Complete"/>
    <m/>
  </r>
  <r>
    <s v="mwarsop24"/>
    <s v="salon.com"/>
    <s v="Miquela"/>
    <s v="Warsop"/>
    <s v="Female"/>
    <s v="Female"/>
    <s v="52.104.221.123"/>
    <s v="180.220.177.32"/>
    <n v="77"/>
    <n v="77"/>
    <s v="NYSE"/>
    <s v="PRE^G"/>
    <s v="PartnerRe Ltd."/>
    <x v="2"/>
    <s v="N/A"/>
    <s v="N/A"/>
    <n v="0"/>
    <n v="1968.73"/>
    <n v="19.059999999999999"/>
    <n v="194101242"/>
    <d v="2021-09-22T00:00:00"/>
    <s v="Missing"/>
    <m/>
  </r>
  <r>
    <s v="lmoraleda25"/>
    <s v="uol.com.br"/>
    <s v="Lyon"/>
    <s v="Moraleda"/>
    <s v="Male"/>
    <s v="Male"/>
    <s v="172.210.186.208"/>
    <s v="153.65.84.159"/>
    <n v="78"/>
    <n v="78"/>
    <s v="NYSE"/>
    <s v="PEB^D"/>
    <s v="Pebblebrook Hotel Trust"/>
    <x v="2"/>
    <s v="N/A"/>
    <s v="N/A"/>
    <n v="0"/>
    <n v="1430.46"/>
    <n v="-6.23"/>
    <n v="16264152"/>
    <d v="2025-04-14T00:00:00"/>
    <s v="Missing"/>
    <m/>
  </r>
  <r>
    <s v="anickoll26"/>
    <s v="sciencedaily.com"/>
    <s v="Abner"/>
    <s v="Nickoll"/>
    <s v="Male"/>
    <s v="Male"/>
    <s v="230.120.181.252"/>
    <s v="157.176.173.141"/>
    <n v="79"/>
    <n v="79"/>
    <s v="NYSE"/>
    <s v="BML^G"/>
    <s v="Bank of America Corporation"/>
    <x v="2"/>
    <s v="N/A"/>
    <s v="N/A"/>
    <n v="0"/>
    <n v="1250.4000000000001"/>
    <n v="16.73"/>
    <n v="35591014"/>
    <d v="2026-11-07T00:00:00"/>
    <s v="Missing"/>
    <m/>
  </r>
  <r>
    <s v="mphizacklea27"/>
    <s v="gizmodo.com"/>
    <s v="Mikkel"/>
    <s v="Phizacklea"/>
    <s v="Male"/>
    <s v="Male"/>
    <s v="222.86.98.194"/>
    <s v="195.42.75.196"/>
    <n v="80"/>
    <n v="80"/>
    <s v="NYSE"/>
    <s v="AHL^C"/>
    <s v="Aspen Insurance Holdings Limited"/>
    <x v="2"/>
    <s v="N/A"/>
    <s v="N/A"/>
    <n v="0"/>
    <n v="1370.69"/>
    <n v="-0.99"/>
    <n v="94442945"/>
    <d v="2025-02-15T00:00:00"/>
    <s v="Missing"/>
    <m/>
  </r>
  <r>
    <s v="hkliemke28"/>
    <s v="unicef.org"/>
    <s v="Had"/>
    <s v="Kliemke"/>
    <s v="Male"/>
    <s v="Male"/>
    <s v="229.115.45.54"/>
    <s v="156.156.135.36"/>
    <n v="81"/>
    <n v="81"/>
    <s v="NYSE"/>
    <s v="WNS"/>
    <s v="WNS (Holdings) Limited"/>
    <x v="7"/>
    <s v="Business Services"/>
    <s v="$1.63B"/>
    <n v="1630000000"/>
    <n v="1241.76"/>
    <n v="-0.04"/>
    <n v="62090166"/>
    <d v="2022-09-28T00:00:00"/>
    <s v="Complete"/>
    <m/>
  </r>
  <r>
    <s v="byoungman29"/>
    <s v="utexas.edu"/>
    <s v="Brianne"/>
    <s v="Youngman"/>
    <s v="Genderqueer"/>
    <s v="Other"/>
    <s v="147.161.161.161"/>
    <s v="1.12.47.68"/>
    <n v="82"/>
    <n v="82"/>
    <s v="NYSE"/>
    <s v="NVTA"/>
    <s v="Invitae Corporation"/>
    <x v="0"/>
    <s v="Medical Specialities"/>
    <s v="$395.64M"/>
    <n v="395640000"/>
    <n v="1778.93"/>
    <n v="-5.26"/>
    <n v="85225275"/>
    <d v="2024-10-08T00:00:00"/>
    <s v="Complete"/>
    <m/>
  </r>
  <r>
    <s v="lkellert2a"/>
    <s v="1688.com"/>
    <s v="Lorant"/>
    <s v="Kellert"/>
    <s v="Male"/>
    <s v="Male"/>
    <s v="201.124.67.19"/>
    <s v="101.134.73.159"/>
    <n v="83"/>
    <n v="83"/>
    <s v="NYSE"/>
    <s v="UZA"/>
    <s v="United States Cellular Corporation"/>
    <x v="8"/>
    <s v="Telecommunications Equipment"/>
    <s v="N/A"/>
    <n v="0"/>
    <n v="1455.13"/>
    <n v="8.1300000000000008"/>
    <n v="198030859"/>
    <d v="2026-12-18T00:00:00"/>
    <s v="Missing"/>
    <m/>
  </r>
  <r>
    <s v="rvalentelli2b"/>
    <s v="arizona.edu"/>
    <s v="Roman"/>
    <s v="Valentelli"/>
    <s v="Male"/>
    <s v="Male"/>
    <s v="57.77.54.55"/>
    <s v="232.181.48.245"/>
    <n v="84"/>
    <n v="84"/>
    <s v="NYSE"/>
    <s v="CR"/>
    <s v="Crane Company"/>
    <x v="1"/>
    <s v="Metal Fabrications"/>
    <s v="$4.72B"/>
    <n v="4720000000"/>
    <n v="1536.17"/>
    <n v="7.55"/>
    <n v="21651288"/>
    <d v="2021-04-27T00:00:00"/>
    <s v="Complete"/>
    <m/>
  </r>
  <r>
    <s v="bsunderland2c"/>
    <s v="joomla.org"/>
    <s v="Bayard"/>
    <s v="Sunderland"/>
    <s v="Male"/>
    <s v="Male"/>
    <s v="66.162.98.5"/>
    <s v="189.12.79.23"/>
    <n v="85"/>
    <n v="85"/>
    <s v="NASDAQ"/>
    <s v="SCACU"/>
    <s v="Saban Capital Acquisition Corp."/>
    <x v="2"/>
    <s v="N/A"/>
    <s v="N/A"/>
    <n v="0"/>
    <n v="1128.0899999999999"/>
    <n v="-7.76"/>
    <n v="74481238"/>
    <d v="2022-01-07T00:00:00"/>
    <s v="Missing"/>
    <m/>
  </r>
  <r>
    <s v="crossey2d"/>
    <s v="youtu.be"/>
    <s v="Corbett"/>
    <s v="Rossey"/>
    <s v="Male"/>
    <s v="Male"/>
    <s v="142.249.64.59"/>
    <s v="95.56.30.75"/>
    <n v="86"/>
    <n v="86"/>
    <s v="NYSE"/>
    <s v="QEP"/>
    <s v="QEP Resources, Inc."/>
    <x v="9"/>
    <s v="Oil &amp; Gas Production"/>
    <s v="$2.18B"/>
    <n v="2180000000"/>
    <n v="188.68"/>
    <n v="9.1300000000000008"/>
    <n v="32426784"/>
    <d v="2024-05-24T00:00:00"/>
    <s v="Complete"/>
    <m/>
  </r>
  <r>
    <s v="ytrubshaw2e"/>
    <s v="imageshack.us"/>
    <s v="Yurik"/>
    <s v="Trubshaw"/>
    <s v="Male"/>
    <s v="Male"/>
    <s v="185.122.150.142"/>
    <s v="209.38.140.114"/>
    <n v="87"/>
    <n v="87"/>
    <s v="NYSE"/>
    <s v="FT"/>
    <s v="Franklin Universal Trust"/>
    <x v="2"/>
    <s v="N/A"/>
    <s v="$184.47M"/>
    <n v="184470000"/>
    <n v="540.97"/>
    <n v="-15.14"/>
    <n v="78581562"/>
    <d v="2024-07-15T00:00:00"/>
    <s v="Missing"/>
    <m/>
  </r>
  <r>
    <s v="swright2f"/>
    <s v="nytimes.com"/>
    <s v="Susanetta"/>
    <s v="Wright"/>
    <s v="Female"/>
    <s v="Female"/>
    <s v="36.152.77.240"/>
    <s v="64.209.218.227"/>
    <n v="88"/>
    <n v="88"/>
    <s v="NASDAQ"/>
    <s v="NVIV"/>
    <s v="InVivo Therapeutics Holdings Corp."/>
    <x v="0"/>
    <s v="Medical/Dental Instruments"/>
    <s v="$69.13M"/>
    <n v="69130000"/>
    <n v="1289.3399999999999"/>
    <n v="11.87"/>
    <n v="62169079"/>
    <d v="2022-03-28T00:00:00"/>
    <s v="Complete"/>
    <m/>
  </r>
  <r>
    <s v="rgallyhaock2g"/>
    <s v="tinyurl.com"/>
    <s v="Risa"/>
    <s v="Gallyhaock"/>
    <s v="Female"/>
    <s v="Female"/>
    <s v="240.152.53.255"/>
    <s v="176.129.201.251"/>
    <n v="89"/>
    <n v="89"/>
    <s v="NASDAQ"/>
    <s v="EKSO"/>
    <s v="Ekso Bionics Holdings, Inc."/>
    <x v="1"/>
    <s v="Industrial Machinery/Components"/>
    <s v="$49.22M"/>
    <n v="49220000"/>
    <n v="1033.4000000000001"/>
    <n v="16.79"/>
    <n v="38465455"/>
    <d v="2023-10-28T00:00:00"/>
    <s v="Complete"/>
    <m/>
  </r>
  <r>
    <s v="kheard2h"/>
    <s v="infoseek.co.jp"/>
    <s v="Katerina"/>
    <s v="Heard"/>
    <s v="Female"/>
    <s v="Female"/>
    <s v="58.121.240.101"/>
    <s v="217.223.139.198"/>
    <n v="90"/>
    <n v="90"/>
    <s v="NASDAQ"/>
    <s v="ITI"/>
    <s v="Iteris, Inc."/>
    <x v="11"/>
    <s v="Telecommunications Equipment"/>
    <s v="$182.94M"/>
    <n v="182940000"/>
    <n v="872.08"/>
    <n v="9.77"/>
    <n v="31234104"/>
    <d v="2023-09-10T00:00:00"/>
    <s v="Complete"/>
    <m/>
  </r>
  <r>
    <s v="jbarnbrook2i"/>
    <s v="businessweek.com"/>
    <s v="Jeanette"/>
    <s v="Barnbrook"/>
    <s v="Female"/>
    <s v="Female"/>
    <s v="73.130.227.135"/>
    <s v="184.184.167.106"/>
    <n v="91"/>
    <n v="91"/>
    <s v="NYSE"/>
    <s v="COT"/>
    <s v="Cott Corporation"/>
    <x v="5"/>
    <s v="Beverages (Production/Distribution)"/>
    <s v="$1.97B"/>
    <n v="1970000000"/>
    <n v="497.37"/>
    <n v="-4.12"/>
    <n v="124374862"/>
    <d v="2023-01-16T00:00:00"/>
    <s v="Complete"/>
    <m/>
  </r>
  <r>
    <s v="mlucey2j"/>
    <s v="cornell.edu"/>
    <s v="Mychal"/>
    <s v="Lucey"/>
    <s v="Male"/>
    <s v="Male"/>
    <s v="35.202.97.120"/>
    <s v="106.206.70.212"/>
    <n v="92"/>
    <n v="92"/>
    <s v="NYSE"/>
    <s v="RLGY"/>
    <s v="Realogy Holdings Corp."/>
    <x v="3"/>
    <s v="Real Estate"/>
    <s v="$4.14B"/>
    <n v="4139999999.9999995"/>
    <n v="233.08"/>
    <n v="-11.03"/>
    <n v="4356642"/>
    <d v="2023-05-18T00:00:00"/>
    <s v="Complete"/>
    <m/>
  </r>
  <r>
    <s v="schatfield2k"/>
    <s v="sun.com"/>
    <s v="Shanda"/>
    <s v="Chatfield"/>
    <s v="Female"/>
    <s v="Female"/>
    <s v="156.81.55.249"/>
    <s v="83.237.195.156"/>
    <n v="93"/>
    <n v="93"/>
    <s v="NASDAQ"/>
    <s v="MSBI"/>
    <s v="Midland States Bancorp, Inc."/>
    <x v="3"/>
    <s v="Major Banks"/>
    <s v="$655.78M"/>
    <n v="655780000"/>
    <n v="573.25"/>
    <n v="12.55"/>
    <n v="121898054"/>
    <d v="2026-01-29T00:00:00"/>
    <s v="Complete"/>
    <m/>
  </r>
  <r>
    <s v="econant2l"/>
    <s v="gov.uk"/>
    <s v="El"/>
    <s v="Conant"/>
    <s v="Male"/>
    <s v="Male"/>
    <s v="6.153.176.217"/>
    <s v="88.19.34.178"/>
    <n v="94"/>
    <n v="94"/>
    <s v="NYSE"/>
    <s v="REVG"/>
    <s v="REV Group, Inc."/>
    <x v="1"/>
    <s v="Auto Manufacturing"/>
    <s v="$1.92B"/>
    <n v="1920000000"/>
    <n v="1020.42"/>
    <n v="7.22"/>
    <n v="25429401"/>
    <d v="2025-09-25T00:00:00"/>
    <s v="Complete"/>
    <m/>
  </r>
  <r>
    <s v="spenrose2m"/>
    <s v="tmall.com"/>
    <s v="Shanan"/>
    <s v="Penrose"/>
    <s v="Male"/>
    <s v="Male"/>
    <s v="159.59.99.174"/>
    <s v="167.16.215.229"/>
    <n v="95"/>
    <n v="95"/>
    <s v="NASDAQ"/>
    <s v="LMOS"/>
    <s v="Lumos Networks Corp."/>
    <x v="8"/>
    <s v="Telecommunications Equipment"/>
    <s v="$427.4M"/>
    <n v="427400000"/>
    <n v="32.270000000000003"/>
    <n v="13.11"/>
    <n v="26218439"/>
    <d v="2021-04-15T00:00:00"/>
    <s v="Complete"/>
    <m/>
  </r>
  <r>
    <s v="mashe2n"/>
    <s v="angelfire.com"/>
    <s v="Monroe"/>
    <s v="Ashe"/>
    <s v="Male"/>
    <s v="Male"/>
    <s v="56.58.85.93"/>
    <s v="175.218.180.36"/>
    <n v="96"/>
    <n v="96"/>
    <s v="NYSE"/>
    <s v="TSLF"/>
    <s v="THL Credit Senior Loan Fund"/>
    <x v="2"/>
    <s v="N/A"/>
    <s v="$133.17M"/>
    <n v="133169999.99999999"/>
    <n v="447.9"/>
    <n v="-8.0299999999999994"/>
    <n v="136116150"/>
    <d v="2020-07-22T00:00:00"/>
    <s v="Missing"/>
    <m/>
  </r>
  <r>
    <s v="lmccolm2o"/>
    <s v="last.fm"/>
    <s v="Libbey"/>
    <s v="McColm"/>
    <s v="Female"/>
    <s v="Female"/>
    <s v="198.160.30.62"/>
    <s v="218.225.76.141"/>
    <n v="97"/>
    <n v="97"/>
    <s v="NASDAQ"/>
    <s v="CHDN"/>
    <s v="Churchill Downs, Incorporated"/>
    <x v="6"/>
    <s v="Services-Misc. Amusement &amp; Recreation"/>
    <s v="$2.83B"/>
    <n v="2830000000"/>
    <n v="599.4"/>
    <n v="16.170000000000002"/>
    <n v="28100951"/>
    <d v="2022-02-15T00:00:00"/>
    <s v="Complete"/>
    <m/>
  </r>
  <r>
    <s v="lnolan2p"/>
    <s v="youtube.com"/>
    <s v="Lanette"/>
    <s v="Nolan"/>
    <s v="Female"/>
    <s v="Female"/>
    <s v="212.51.251.28"/>
    <s v="46.78.254.184"/>
    <n v="98"/>
    <n v="98"/>
    <s v="NYSE"/>
    <s v="LII"/>
    <s v="Lennox International, Inc."/>
    <x v="1"/>
    <s v="Industrial Machinery/Components"/>
    <s v="$8.05B"/>
    <n v="8050000000.000001"/>
    <n v="794.34"/>
    <n v="16.86"/>
    <n v="149411695"/>
    <d v="2022-02-04T00:00:00"/>
    <s v="Complete"/>
    <m/>
  </r>
  <r>
    <s v="adyshart2q"/>
    <s v="stumbleupon.com"/>
    <s v="Aldrich"/>
    <s v="Dyshart"/>
    <s v="Bigender"/>
    <s v="Other"/>
    <s v="112.183.116.115"/>
    <s v="254.202.111.65"/>
    <n v="99"/>
    <n v="99"/>
    <s v="NASDAQ"/>
    <s v="CDW"/>
    <s v="CDW Corporation"/>
    <x v="6"/>
    <s v="Catalog/Specialty Distribution"/>
    <s v="$9.73B"/>
    <n v="9730000000"/>
    <n v="1988.92"/>
    <n v="19.670000000000002"/>
    <n v="168609941"/>
    <d v="2021-05-23T00:00:00"/>
    <s v="Complete"/>
    <m/>
  </r>
  <r>
    <s v="afilochov2r"/>
    <s v="cornell.edu"/>
    <s v="Ashien"/>
    <s v="Filochov"/>
    <s v="Female"/>
    <s v="Female"/>
    <s v="7.78.72.171"/>
    <s v="134.33.247.187"/>
    <n v="100"/>
    <n v="100"/>
    <s v="NASDAQ"/>
    <s v="PCYO"/>
    <s v="Pure Cycle Corporation"/>
    <x v="8"/>
    <s v="Water Supply"/>
    <s v="$188.85M"/>
    <n v="188850000"/>
    <n v="157.22"/>
    <n v="-7.62"/>
    <n v="129723433"/>
    <d v="2023-09-27T00:00:00"/>
    <s v="Complete"/>
    <m/>
  </r>
  <r>
    <s v="wfishly2s"/>
    <s v="uiuc.edu"/>
    <s v="Westbrooke"/>
    <s v="Fishly"/>
    <s v="Male"/>
    <s v="Male"/>
    <s v="156.243.177.219"/>
    <s v="208.241.111.222"/>
    <n v="101"/>
    <n v="101"/>
    <s v="NASDAQ"/>
    <s v="SRUNU"/>
    <s v="Silver Run Acquisition Corporation II"/>
    <x v="3"/>
    <s v="Business Services"/>
    <s v="N/A"/>
    <n v="0"/>
    <n v="1219.6500000000001"/>
    <n v="9.35"/>
    <n v="109620162"/>
    <d v="2023-11-17T00:00:00"/>
    <s v="Missing"/>
    <m/>
  </r>
  <r>
    <s v="lfain2t"/>
    <s v="cafepress.com"/>
    <s v="Lonna"/>
    <s v="Fain"/>
    <s v="Female"/>
    <s v="Female"/>
    <s v="93.97.121.185"/>
    <s v="185.151.233.216"/>
    <n v="102"/>
    <n v="102"/>
    <s v="NYSE"/>
    <s v="TCF.WS"/>
    <s v="TCF Financial Corporation"/>
    <x v="2"/>
    <s v="N/A"/>
    <s v="N/A"/>
    <n v="0"/>
    <n v="127.01"/>
    <n v="-2.17"/>
    <n v="188106513"/>
    <d v="2022-10-16T00:00:00"/>
    <s v="Missing"/>
    <m/>
  </r>
  <r>
    <s v="ryelyashev2u"/>
    <s v="hc360.com"/>
    <s v="Rosa"/>
    <s v="Yelyashev"/>
    <s v="Genderqueer"/>
    <s v="Other"/>
    <s v="240.106.131.145"/>
    <s v="218.9.224.20"/>
    <n v="103"/>
    <n v="103"/>
    <s v="NASDAQ"/>
    <s v="AMOV"/>
    <s v="America Movil, S.A.B. de C.V."/>
    <x v="8"/>
    <s v="Telecommunications Equipment"/>
    <s v="$51.95B"/>
    <n v="51950000000"/>
    <n v="1300.58"/>
    <n v="-12.57"/>
    <n v="1096096"/>
    <d v="2021-04-21T00:00:00"/>
    <s v="Complete"/>
    <m/>
  </r>
  <r>
    <s v="sarnaudon2v"/>
    <s v="wiley.com"/>
    <s v="Sutherlan"/>
    <s v="Arnaudon"/>
    <s v="Male"/>
    <s v="Male"/>
    <s v="0.29.179.173"/>
    <s v="239.245.152.212"/>
    <n v="104"/>
    <n v="104"/>
    <s v="NASDAQ"/>
    <s v="NTRS"/>
    <s v="Northern Trust Corporation"/>
    <x v="3"/>
    <s v="Major Banks"/>
    <s v="$21.71B"/>
    <n v="21710000000"/>
    <n v="1363.41"/>
    <n v="-1.84"/>
    <n v="155653743"/>
    <d v="2023-11-28T00:00:00"/>
    <s v="Complete"/>
    <m/>
  </r>
  <r>
    <s v="gfarey2w"/>
    <s v="cbc.ca"/>
    <s v="Garner"/>
    <s v="Farey"/>
    <s v="Male"/>
    <s v="Male"/>
    <s v="113.201.203.40"/>
    <s v="200.217.133.242"/>
    <n v="105"/>
    <n v="105"/>
    <s v="NASDAQ"/>
    <s v="GFN"/>
    <s v="General Finance Corporation"/>
    <x v="4"/>
    <s v="Diversified Commercial Services"/>
    <s v="$125.85M"/>
    <n v="125850000"/>
    <n v="1756.48"/>
    <n v="6.85"/>
    <n v="49961408"/>
    <d v="2020-04-21T00:00:00"/>
    <s v="Complete"/>
    <m/>
  </r>
  <r>
    <s v="lfilipiak2x"/>
    <s v="issuu.com"/>
    <s v="Lani"/>
    <s v="Filipiak"/>
    <s v="Female"/>
    <s v="Female"/>
    <s v="129.129.234.91"/>
    <s v="87.135.122.129"/>
    <n v="106"/>
    <n v="106"/>
    <s v="NYSE"/>
    <s v="WFC^Q"/>
    <s v="Wells Fargo &amp; Company"/>
    <x v="2"/>
    <s v="N/A"/>
    <s v="N/A"/>
    <n v="0"/>
    <n v="828.02"/>
    <n v="-5.55"/>
    <n v="34730067"/>
    <d v="2026-02-07T00:00:00"/>
    <s v="Missing"/>
    <m/>
  </r>
  <r>
    <s v="htrett2y"/>
    <s v="gmpg.org"/>
    <s v="Hube"/>
    <s v="Trett"/>
    <s v="Genderfluid"/>
    <s v="Other"/>
    <s v="47.210.235.155"/>
    <s v="160.35.213.107"/>
    <n v="107"/>
    <n v="107"/>
    <s v="NYSE"/>
    <s v="AGU"/>
    <s v="Agrium Inc."/>
    <x v="10"/>
    <s v="Agricultural Chemicals"/>
    <s v="$12.97B"/>
    <n v="12970000000"/>
    <n v="1496.85"/>
    <n v="-14.41"/>
    <n v="15627245"/>
    <d v="2021-03-20T00:00:00"/>
    <s v="Complete"/>
    <m/>
  </r>
  <r>
    <s v="sgyngyll2z"/>
    <s v="google.it"/>
    <s v="Sisely"/>
    <s v="Gyngyll"/>
    <s v="Female"/>
    <s v="Female"/>
    <s v="92.0.97.207"/>
    <s v="120.206.47.203"/>
    <n v="108"/>
    <n v="108"/>
    <s v="NASDAQ"/>
    <s v="CHEKW"/>
    <s v="Check-Cap Ltd."/>
    <x v="0"/>
    <s v="Medical Electronics"/>
    <s v="N/A"/>
    <n v="0"/>
    <n v="236.92"/>
    <n v="12.69"/>
    <n v="89130586"/>
    <d v="2026-04-06T00:00:00"/>
    <s v="Missing"/>
    <m/>
  </r>
  <r>
    <s v="dantoniades30"/>
    <s v="dagondesign.com"/>
    <s v="Darby"/>
    <s v="Antoniades"/>
    <s v="Male"/>
    <s v="Male"/>
    <s v="53.41.86.111"/>
    <s v="196.183.94.65"/>
    <n v="109"/>
    <n v="109"/>
    <s v="NYSE"/>
    <s v="EMF"/>
    <s v="Templeton Emerging Markets Fund"/>
    <x v="2"/>
    <s v="N/A"/>
    <s v="$266.9M"/>
    <n v="266899999.99999997"/>
    <n v="698.93"/>
    <n v="-0.68"/>
    <n v="126127031"/>
    <d v="2023-09-09T00:00:00"/>
    <s v="Missing"/>
    <m/>
  </r>
  <r>
    <s v="akuhnel31"/>
    <s v="surveymonkey.com"/>
    <s v="Avictor"/>
    <s v="Kuhnel"/>
    <s v="Male"/>
    <s v="Male"/>
    <s v="173.203.199.57"/>
    <s v="78.187.82.11"/>
    <n v="110"/>
    <n v="110"/>
    <s v="NYSE"/>
    <s v="BTE"/>
    <s v="Baytex Energy Corp"/>
    <x v="9"/>
    <s v="Oil &amp; Gas Production"/>
    <s v="$592.54M"/>
    <n v="592540000"/>
    <n v="589.23"/>
    <n v="-0.2"/>
    <n v="149528143"/>
    <d v="2022-04-06T00:00:00"/>
    <s v="Complete"/>
    <m/>
  </r>
  <r>
    <s v="ldivall32"/>
    <s v="loc.gov"/>
    <s v="Lorry"/>
    <s v="Divall"/>
    <s v="Male"/>
    <s v="Male"/>
    <s v="67.177.72.88"/>
    <s v="232.163.210.77"/>
    <n v="111"/>
    <n v="111"/>
    <s v="NASDAQ"/>
    <s v="NXEOW"/>
    <s v="Nexeo Solutions, Inc."/>
    <x v="11"/>
    <s v="Specialty Chemicals"/>
    <s v="N/A"/>
    <n v="0"/>
    <n v="1416.79"/>
    <n v="-17"/>
    <n v="183913102"/>
    <d v="2022-11-07T00:00:00"/>
    <s v="Missing"/>
    <m/>
  </r>
  <r>
    <s v="ifronzek33"/>
    <s v="pcworld.com"/>
    <s v="Ignazio"/>
    <s v="Fronzek"/>
    <s v="Male"/>
    <s v="Male"/>
    <s v="73.240.218.80"/>
    <s v="95.56.93.226"/>
    <n v="112"/>
    <n v="112"/>
    <s v="NYSE"/>
    <s v="EGF"/>
    <s v="Blackrock Enhanced Government Fund, Inc"/>
    <x v="2"/>
    <s v="N/A"/>
    <s v="$86.58M"/>
    <n v="86580000"/>
    <n v="1727.54"/>
    <n v="-12.45"/>
    <n v="149095583"/>
    <d v="2026-02-23T00:00:00"/>
    <s v="Missing"/>
    <m/>
  </r>
  <r>
    <s v="ieskrick34"/>
    <s v="booking.com"/>
    <s v="Inness"/>
    <s v="Eskrick"/>
    <s v="Male"/>
    <s v="Male"/>
    <s v="106.100.66.182"/>
    <s v="234.168.81.172"/>
    <n v="113"/>
    <n v="113"/>
    <s v="NYSE"/>
    <s v="ARNC"/>
    <s v="Arconic Inc."/>
    <x v="1"/>
    <s v="Metal Fabrications"/>
    <s v="$11.65B"/>
    <n v="11650000000"/>
    <n v="1034.51"/>
    <n v="-4.7"/>
    <n v="143392427"/>
    <d v="2020-07-28T00:00:00"/>
    <s v="Complete"/>
    <m/>
  </r>
  <r>
    <s v="dtroop35"/>
    <s v="buzzfeed.com"/>
    <s v="Danie"/>
    <s v="Troop"/>
    <s v="Male"/>
    <s v="Male"/>
    <s v="234.173.41.0"/>
    <s v="161.5.145.139"/>
    <n v="114"/>
    <n v="114"/>
    <s v="NYSE"/>
    <s v="CNK"/>
    <s v="Cinemark Holdings Inc"/>
    <x v="6"/>
    <s v="Movies/Entertainment"/>
    <s v="$4.82B"/>
    <n v="4820000000"/>
    <n v="102.89"/>
    <n v="-9.7100000000000009"/>
    <n v="48554099"/>
    <d v="2023-11-01T00:00:00"/>
    <s v="Complete"/>
    <m/>
  </r>
  <r>
    <s v="rgenicke36"/>
    <s v="harvard.edu"/>
    <s v="Rosalind"/>
    <s v="Genicke"/>
    <s v="Female"/>
    <s v="Female"/>
    <s v="53.152.51.39"/>
    <s v="185.147.140.139"/>
    <n v="115"/>
    <n v="115"/>
    <s v="NYSE"/>
    <s v="VTA"/>
    <s v="Invesco Credit Opportunities Fund"/>
    <x v="2"/>
    <s v="N/A"/>
    <s v="$888.39M"/>
    <n v="888390000"/>
    <n v="746.37"/>
    <n v="-11.33"/>
    <n v="2828427"/>
    <d v="2020-10-14T00:00:00"/>
    <s v="Missing"/>
    <m/>
  </r>
  <r>
    <s v="glozano37"/>
    <s v="yale.edu"/>
    <s v="Gaby"/>
    <s v="Lozano"/>
    <s v="Male"/>
    <s v="Male"/>
    <s v="232.203.22.125"/>
    <s v="74.23.142.37"/>
    <n v="116"/>
    <n v="116"/>
    <s v="NASDAQ"/>
    <s v="CASI"/>
    <s v="CASI Pharmaceuticals, Inc."/>
    <x v="0"/>
    <s v="Biotechnology: Biological Products (No Diagnostic Substances)"/>
    <s v="$55.38M"/>
    <n v="55380000"/>
    <n v="557.53"/>
    <n v="19.899999999999999"/>
    <n v="37183396"/>
    <d v="2024-08-11T00:00:00"/>
    <s v="Complete"/>
    <m/>
  </r>
  <r>
    <s v="jclaxson38"/>
    <s v="ted.com"/>
    <s v="Jaime"/>
    <s v="Claxson"/>
    <s v="Male"/>
    <s v="Male"/>
    <s v="212.69.63.227"/>
    <s v="230.207.100.49"/>
    <n v="117"/>
    <n v="117"/>
    <s v="NASDAQ"/>
    <s v="QPAC"/>
    <s v="Quinpario Acquisition Corp. 2"/>
    <x v="7"/>
    <s v="Business Services"/>
    <s v="$288.2M"/>
    <n v="288200000"/>
    <n v="47.28"/>
    <n v="18.649999999999999"/>
    <n v="80058295"/>
    <d v="2021-10-24T00:00:00"/>
    <s v="Complete"/>
    <m/>
  </r>
  <r>
    <s v="fguyonneau39"/>
    <s v="imgur.com"/>
    <s v="Florian"/>
    <s v="Guyonneau"/>
    <s v="Male"/>
    <s v="Male"/>
    <s v="187.71.133.169"/>
    <s v="247.171.168.150"/>
    <n v="118"/>
    <n v="118"/>
    <s v="NASDAQ"/>
    <s v="HQY"/>
    <s v="HealthEquity, Inc."/>
    <x v="7"/>
    <s v="Business Services"/>
    <s v="$3.07B"/>
    <n v="3070000000"/>
    <n v="850.36"/>
    <n v="-3.83"/>
    <n v="48593368"/>
    <d v="2025-05-01T00:00:00"/>
    <s v="Complete"/>
    <m/>
  </r>
  <r>
    <s v="naharoni3a"/>
    <s v="last.fm"/>
    <s v="Noland"/>
    <s v="Aharoni"/>
    <s v="Male"/>
    <s v="Male"/>
    <s v="102.104.87.227"/>
    <s v="58.243.237.162"/>
    <n v="119"/>
    <n v="119"/>
    <s v="NASDAQ"/>
    <s v="AMAG"/>
    <s v="AMAG Pharmaceuticals, Inc."/>
    <x v="0"/>
    <s v="Major Pharmaceuticals"/>
    <s v="$574.74M"/>
    <n v="574740000"/>
    <n v="629.96"/>
    <n v="-2.3199999999999998"/>
    <n v="188531613"/>
    <d v="2023-02-08T00:00:00"/>
    <s v="Complete"/>
    <m/>
  </r>
  <r>
    <s v="sdinley3b"/>
    <s v="soup.io"/>
    <s v="Si"/>
    <s v="Dinley"/>
    <s v="Male"/>
    <s v="Male"/>
    <s v="158.182.16.69"/>
    <s v="13.105.94.232"/>
    <n v="120"/>
    <n v="120"/>
    <s v="NASDAQ"/>
    <s v="FNBG"/>
    <s v="FNB Bancorp"/>
    <x v="3"/>
    <s v="Major Banks"/>
    <s v="$200.83M"/>
    <n v="200830000"/>
    <n v="78.489999999999995"/>
    <n v="-18.829999999999998"/>
    <n v="170086056"/>
    <d v="2022-10-09T00:00:00"/>
    <s v="Complete"/>
    <m/>
  </r>
  <r>
    <s v="rleasor3c"/>
    <s v="admin.ch"/>
    <s v="Rebecka"/>
    <s v="Leasor"/>
    <s v="Female"/>
    <s v="Female"/>
    <s v="137.80.0.97"/>
    <s v="72.253.11.127"/>
    <n v="121"/>
    <n v="121"/>
    <s v="NYSE"/>
    <s v="GJP"/>
    <s v="Synthetic Fixed-Income Securities, Inc."/>
    <x v="2"/>
    <s v="N/A"/>
    <s v="N/A"/>
    <n v="0"/>
    <n v="753.6"/>
    <n v="-2.2599999999999998"/>
    <n v="179370937"/>
    <d v="2024-05-04T00:00:00"/>
    <s v="Missing"/>
    <m/>
  </r>
  <r>
    <s v="apenrith3d"/>
    <s v="mac.com"/>
    <s v="Albina"/>
    <s v="Penrith"/>
    <s v="Female"/>
    <s v="Female"/>
    <s v="158.112.26.101"/>
    <s v="128.135.35.11"/>
    <n v="122"/>
    <n v="122"/>
    <s v="NASDAQ"/>
    <s v="FIBK"/>
    <s v="First Interstate BancSystem, Inc."/>
    <x v="3"/>
    <s v="Major Banks"/>
    <s v="$2.13B"/>
    <n v="2130000000"/>
    <n v="402.82"/>
    <n v="-10.74"/>
    <n v="188336918"/>
    <d v="2021-05-24T00:00:00"/>
    <s v="Complete"/>
    <m/>
  </r>
  <r>
    <s v="amilksop3e"/>
    <s v="reference.com"/>
    <s v="Ado"/>
    <s v="Milksop"/>
    <s v="Male"/>
    <s v="Male"/>
    <s v="231.189.126.1"/>
    <s v="102.213.17.69"/>
    <n v="123"/>
    <n v="123"/>
    <s v="NYSE"/>
    <s v="AWR"/>
    <s v="American States Water Company"/>
    <x v="8"/>
    <s v="Water Supply"/>
    <s v="$1.83B"/>
    <n v="1830000000"/>
    <n v="1989.1"/>
    <n v="-19.2"/>
    <n v="120909502"/>
    <d v="2022-08-14T00:00:00"/>
    <s v="Complete"/>
    <m/>
  </r>
  <r>
    <s v="sgreaser3f"/>
    <s v="cyberchimps.com"/>
    <s v="Saw"/>
    <s v="Greaser"/>
    <s v="Male"/>
    <s v="Male"/>
    <s v="247.116.173.112"/>
    <s v="164.159.126.162"/>
    <n v="124"/>
    <n v="124"/>
    <s v="NYSE"/>
    <s v="HP"/>
    <s v="Helmerich &amp; Payne, Inc."/>
    <x v="9"/>
    <s v="Oil &amp; Gas Production"/>
    <s v="$5.97B"/>
    <n v="5970000000"/>
    <n v="1816.25"/>
    <n v="-13.9"/>
    <n v="140544936"/>
    <d v="2025-10-03T00:00:00"/>
    <s v="Complete"/>
    <m/>
  </r>
  <r>
    <s v="eheddy3g"/>
    <s v="dagondesign.com"/>
    <s v="Ede"/>
    <s v="Heddy"/>
    <s v="Female"/>
    <s v="Female"/>
    <s v="95.14.98.7"/>
    <s v="180.226.216.216"/>
    <n v="125"/>
    <n v="125"/>
    <s v="NYSE"/>
    <s v="WMK"/>
    <s v="Weis Markets, Inc."/>
    <x v="6"/>
    <s v="Food Chains"/>
    <s v="$1.3B"/>
    <n v="1300000000"/>
    <n v="971.6"/>
    <n v="12.28"/>
    <n v="38486599"/>
    <d v="2026-11-28T00:00:00"/>
    <s v="Complete"/>
    <m/>
  </r>
  <r>
    <s v="blongland3h"/>
    <s v="imgur.com"/>
    <s v="Brandtr"/>
    <s v="Longland"/>
    <s v="Male"/>
    <s v="Male"/>
    <s v="131.166.119.117"/>
    <s v="100.30.52.63"/>
    <n v="126"/>
    <n v="126"/>
    <s v="NASDAQ"/>
    <s v="LECO"/>
    <s v="Lincoln Electric Holdings, Inc."/>
    <x v="4"/>
    <s v="Industrial Machinery/Components"/>
    <s v="$6.35B"/>
    <n v="6350000000"/>
    <n v="673.9"/>
    <n v="-2.31"/>
    <n v="123531873"/>
    <d v="2026-11-07T00:00:00"/>
    <s v="Complete"/>
    <m/>
  </r>
  <r>
    <s v="spylkynyton3i"/>
    <s v="wordpress.org"/>
    <s v="Silvana"/>
    <s v="Pylkynyton"/>
    <s v="Female"/>
    <s v="Female"/>
    <s v="88.60.63.137"/>
    <s v="168.72.164.52"/>
    <n v="127"/>
    <n v="127"/>
    <s v="NASDAQ"/>
    <s v="VYMI"/>
    <s v="Vanguard International High Dividend Yield ETF"/>
    <x v="2"/>
    <s v="N/A"/>
    <s v="$371.88M"/>
    <n v="371880000"/>
    <n v="387.69"/>
    <n v="7.87"/>
    <n v="42785377"/>
    <d v="2021-07-08T00:00:00"/>
    <s v="Missing"/>
    <m/>
  </r>
  <r>
    <s v="kscroxton3j"/>
    <s v="wordpress.org"/>
    <s v="King"/>
    <s v="Scroxton"/>
    <s v="Male"/>
    <s v="Male"/>
    <s v="207.4.0.208"/>
    <s v="231.188.128.210"/>
    <n v="128"/>
    <n v="128"/>
    <s v="NASDAQ"/>
    <s v="TICC"/>
    <s v="TICC Capital Corp."/>
    <x v="2"/>
    <s v="N/A"/>
    <s v="$361.9M"/>
    <n v="361900000"/>
    <n v="1817.74"/>
    <n v="-15.99"/>
    <n v="122360752"/>
    <d v="2026-06-29T00:00:00"/>
    <s v="Missing"/>
    <m/>
  </r>
  <r>
    <s v="kbanton3k"/>
    <s v="paginegialle.it"/>
    <s v="Kit"/>
    <s v="Banton"/>
    <s v="Female"/>
    <s v="Female"/>
    <s v="56.28.144.1"/>
    <s v="84.100.139.58"/>
    <n v="129"/>
    <n v="129"/>
    <s v="NYSE"/>
    <s v="AVT"/>
    <s v="Avnet, Inc."/>
    <x v="5"/>
    <s v="Electronic Components"/>
    <s v="$4.82B"/>
    <n v="4820000000"/>
    <n v="38.130000000000003"/>
    <n v="7.42"/>
    <n v="121985755"/>
    <d v="2021-04-25T00:00:00"/>
    <s v="Complete"/>
    <m/>
  </r>
  <r>
    <s v="fstruss3l"/>
    <s v="flickr.com"/>
    <s v="Flin"/>
    <s v="Struss"/>
    <s v="Male"/>
    <s v="Male"/>
    <s v="190.125.111.83"/>
    <s v="242.114.20.11"/>
    <n v="130"/>
    <n v="130"/>
    <s v="NYSE"/>
    <s v="CFR^A"/>
    <s v="Cullen/Frost Bankers, Inc."/>
    <x v="2"/>
    <s v="N/A"/>
    <s v="N/A"/>
    <n v="0"/>
    <n v="1803.55"/>
    <n v="-8.9700000000000006"/>
    <n v="196225609"/>
    <d v="2025-10-11T00:00:00"/>
    <s v="Missing"/>
    <m/>
  </r>
  <r>
    <s v="mspurgeon3m"/>
    <s v="tmall.com"/>
    <s v="Margalo"/>
    <s v="Spurgeon"/>
    <s v="Female"/>
    <s v="Female"/>
    <s v="240.15.196.87"/>
    <s v="226.27.104.39"/>
    <n v="131"/>
    <n v="131"/>
    <s v="NASDAQ"/>
    <s v="DXYN"/>
    <s v="The Dixie Group, Inc."/>
    <x v="11"/>
    <s v="Home Furnishings"/>
    <s v="$71.76M"/>
    <n v="71760000"/>
    <n v="1061.3699999999999"/>
    <n v="-8.76"/>
    <n v="152594374"/>
    <d v="2026-10-30T00:00:00"/>
    <s v="Complete"/>
    <m/>
  </r>
  <r>
    <s v="llondors3n"/>
    <s v="g.co"/>
    <s v="Lindy"/>
    <s v="Londors"/>
    <s v="Female"/>
    <s v="Female"/>
    <s v="224.244.244.178"/>
    <s v="240.136.179.19"/>
    <n v="132"/>
    <n v="132"/>
    <s v="NASDAQ"/>
    <s v="DWLD"/>
    <s v="Davis Select Worldwide ETF"/>
    <x v="2"/>
    <s v="N/A"/>
    <s v="N/A"/>
    <n v="0"/>
    <n v="1036.01"/>
    <n v="-11.41"/>
    <n v="3309772"/>
    <d v="2025-12-02T00:00:00"/>
    <s v="Missing"/>
    <m/>
  </r>
  <r>
    <s v="aedmonson3o"/>
    <s v="hc360.com"/>
    <s v="Abby"/>
    <s v="Edmonson"/>
    <s v="Female"/>
    <s v="Female"/>
    <s v="226.121.85.250"/>
    <s v="215.51.51.201"/>
    <n v="133"/>
    <n v="133"/>
    <s v="NASDAQ"/>
    <s v="HCOM"/>
    <s v="Hawaiian Telcom Holdco, Inc."/>
    <x v="6"/>
    <s v="Telecommunications Equipment"/>
    <s v="$301.17M"/>
    <n v="301170000"/>
    <n v="1856.42"/>
    <n v="0.18"/>
    <n v="163734551"/>
    <d v="2022-01-19T00:00:00"/>
    <s v="Complete"/>
    <m/>
  </r>
  <r>
    <s v="dgoodlad3p"/>
    <s v="cdbaby.com"/>
    <s v="Dionis"/>
    <s v="Goodlad"/>
    <s v="Female"/>
    <s v="Female"/>
    <s v="108.255.228.118"/>
    <s v="63.119.171.91"/>
    <n v="134"/>
    <n v="134"/>
    <s v="NYSE"/>
    <s v="RRC"/>
    <s v="Range Resources Corporation"/>
    <x v="9"/>
    <s v="Oil &amp; Gas Production"/>
    <s v="$5.79B"/>
    <n v="5790000000"/>
    <n v="770.98"/>
    <n v="-4.1900000000000004"/>
    <n v="112856062"/>
    <d v="2022-08-11T00:00:00"/>
    <s v="Complete"/>
    <m/>
  </r>
  <r>
    <s v="chedon3q"/>
    <s v="admin.ch"/>
    <s v="Christina"/>
    <s v="Hedon"/>
    <s v="Female"/>
    <s v="Female"/>
    <s v="137.169.211.57"/>
    <s v="79.154.152.122"/>
    <n v="135"/>
    <n v="135"/>
    <s v="NYSE"/>
    <s v="CBPX"/>
    <s v="Continental Building Products, Inc."/>
    <x v="1"/>
    <s v="Building Materials"/>
    <s v="$927.58M"/>
    <n v="927580000"/>
    <n v="321.08"/>
    <n v="-7.53"/>
    <n v="182058723"/>
    <d v="2023-10-12T00:00:00"/>
    <s v="Complete"/>
    <m/>
  </r>
  <r>
    <s v="dbroggini3r"/>
    <s v="google.pl"/>
    <s v="Denis"/>
    <s v="Broggini"/>
    <s v="Male"/>
    <s v="Male"/>
    <s v="148.53.52.226"/>
    <s v="17.154.254.149"/>
    <n v="136"/>
    <n v="136"/>
    <s v="NASDAQ"/>
    <s v="CASS"/>
    <s v="Cass Information Systems, Inc"/>
    <x v="7"/>
    <s v="Business Services"/>
    <s v="$738.7M"/>
    <n v="738700000"/>
    <n v="583.66999999999996"/>
    <n v="4.78"/>
    <n v="147098482"/>
    <d v="2023-01-16T00:00:00"/>
    <s v="Complete"/>
    <m/>
  </r>
  <r>
    <s v="velphey3s"/>
    <s v="facebook.com"/>
    <s v="Vivianne"/>
    <s v="Elphey"/>
    <s v="Female"/>
    <s v="Female"/>
    <s v="149.181.96.104"/>
    <s v="199.208.149.15"/>
    <n v="137"/>
    <n v="137"/>
    <s v="NYSE"/>
    <s v="PSA^X"/>
    <s v="Public Storage"/>
    <x v="2"/>
    <s v="N/A"/>
    <s v="N/A"/>
    <n v="0"/>
    <n v="1833.1"/>
    <n v="1.77"/>
    <n v="126724626"/>
    <d v="2024-06-21T00:00:00"/>
    <s v="Missing"/>
    <m/>
  </r>
  <r>
    <s v="tcavil3t"/>
    <s v="microsoft.com"/>
    <s v="Timmy"/>
    <s v="Cavil"/>
    <s v="Female"/>
    <s v="Female"/>
    <s v="134.84.119.216"/>
    <s v="66.226.109.141"/>
    <n v="138"/>
    <n v="138"/>
    <s v="NASDAQ"/>
    <s v="AGZD"/>
    <s v="WisdomTree Barclays Interest Rate Hedged U.S. Aggregate Bond F"/>
    <x v="2"/>
    <s v="N/A"/>
    <s v="$23.97M"/>
    <n v="23970000"/>
    <n v="818.89"/>
    <n v="8.07"/>
    <n v="84686987"/>
    <d v="2022-02-21T00:00:00"/>
    <s v="Missing"/>
    <m/>
  </r>
  <r>
    <s v="tkarlmann3u"/>
    <s v="pagesperso-orange.fr"/>
    <s v="Thorndike"/>
    <s v="Karlmann"/>
    <s v="Male"/>
    <s v="Male"/>
    <s v="58.154.176.189"/>
    <s v="178.87.213.234"/>
    <n v="139"/>
    <n v="139"/>
    <s v="NYSE"/>
    <s v="PCF"/>
    <s v="Putnam High Income Bond Fund"/>
    <x v="2"/>
    <s v="N/A"/>
    <s v="$114.59M"/>
    <n v="114590000"/>
    <n v="1862.42"/>
    <n v="-10.35"/>
    <n v="32932841"/>
    <d v="2023-05-20T00:00:00"/>
    <s v="Missing"/>
    <m/>
  </r>
  <r>
    <s v="bdehooch3v"/>
    <s v="nsw.gov.au"/>
    <s v="Borden"/>
    <s v="De Hooch"/>
    <s v="Male"/>
    <s v="Male"/>
    <s v="253.59.251.208"/>
    <s v="162.238.248.39"/>
    <n v="140"/>
    <n v="140"/>
    <s v="NASDAQ"/>
    <s v="GAINO"/>
    <s v="Gladstone Investment Corporation"/>
    <x v="2"/>
    <s v="N/A"/>
    <s v="N/A"/>
    <n v="0"/>
    <n v="573.91"/>
    <n v="11.34"/>
    <n v="55744992"/>
    <d v="2022-03-08T00:00:00"/>
    <s v="Missing"/>
    <m/>
  </r>
  <r>
    <s v="fpennigar3w"/>
    <s v="pen.io"/>
    <s v="Florina"/>
    <s v="Pennigar"/>
    <s v="Female"/>
    <s v="Female"/>
    <s v="215.117.111.193"/>
    <s v="255.249.191.11"/>
    <n v="141"/>
    <n v="141"/>
    <s v="NASDAQ"/>
    <s v="OTIV"/>
    <s v="On Track Innovations Ltd"/>
    <x v="4"/>
    <s v="Semiconductors"/>
    <s v="$51.37M"/>
    <n v="51370000"/>
    <n v="40.74"/>
    <n v="-7.38"/>
    <n v="184965939"/>
    <d v="2023-10-03T00:00:00"/>
    <s v="Complete"/>
    <m/>
  </r>
  <r>
    <s v="ghowe3x"/>
    <s v="java.com"/>
    <s v="Gilligan"/>
    <s v="Howe"/>
    <s v="Female"/>
    <s v="Female"/>
    <s v="37.36.62.211"/>
    <s v="208.230.115.172"/>
    <n v="142"/>
    <n v="142"/>
    <s v="NYSE"/>
    <s v="JRS"/>
    <s v="Nuveen Real Estate Fund"/>
    <x v="2"/>
    <s v="N/A"/>
    <s v="$328.51M"/>
    <n v="328510000"/>
    <n v="1969.03"/>
    <n v="-9.2899999999999991"/>
    <n v="72893855"/>
    <d v="2023-01-14T00:00:00"/>
    <s v="Missing"/>
    <m/>
  </r>
  <r>
    <s v="nkillshaw3y"/>
    <s v="last.fm"/>
    <s v="Nappy"/>
    <s v="Killshaw"/>
    <s v="Male"/>
    <s v="Male"/>
    <s v="241.72.181.202"/>
    <s v="156.140.121.142"/>
    <n v="143"/>
    <n v="143"/>
    <s v="NASDAQ"/>
    <s v="AXGN"/>
    <s v="AxoGen, Inc."/>
    <x v="0"/>
    <s v="Biotechnology: Electromedical &amp; Electrotherapeutic Apparatus"/>
    <s v="$488.16M"/>
    <n v="488160000"/>
    <n v="1533.82"/>
    <n v="9.36"/>
    <n v="86872522"/>
    <d v="2020-10-05T00:00:00"/>
    <s v="Complete"/>
    <m/>
  </r>
  <r>
    <s v="jpadilla3z"/>
    <s v="soundcloud.com"/>
    <s v="Jeramie"/>
    <s v="Padilla"/>
    <s v="Male"/>
    <s v="Male"/>
    <s v="25.172.11.83"/>
    <s v="137.253.54.247"/>
    <n v="144"/>
    <n v="144"/>
    <s v="NASDAQ"/>
    <s v="HLG"/>
    <s v="Hailiang Education Group Inc."/>
    <x v="6"/>
    <s v="Other Consumer Services"/>
    <s v="$205.6M"/>
    <n v="205600000"/>
    <n v="14.1"/>
    <n v="-5.74"/>
    <n v="991184"/>
    <d v="2026-09-26T00:00:00"/>
    <s v="Complete"/>
    <m/>
  </r>
  <r>
    <s v="spyrah40"/>
    <s v="xrea.com"/>
    <s v="Sigismond"/>
    <s v="Pyrah"/>
    <s v="Male"/>
    <s v="Male"/>
    <s v="208.191.61.213"/>
    <s v="79.118.70.48"/>
    <n v="145"/>
    <n v="145"/>
    <s v="NYSE"/>
    <s v="ORN"/>
    <s v="Orion Group Holdings, Inc."/>
    <x v="10"/>
    <s v="Military/Government/Technical"/>
    <s v="$198.43M"/>
    <n v="198430000"/>
    <n v="1584.38"/>
    <n v="0.12"/>
    <n v="44677890"/>
    <d v="2021-05-07T00:00:00"/>
    <s v="Complete"/>
    <m/>
  </r>
  <r>
    <s v="alintall41"/>
    <s v="google.fr"/>
    <s v="Agnesse"/>
    <s v="Lintall"/>
    <s v="Female"/>
    <s v="Female"/>
    <s v="155.1.196.55"/>
    <s v="140.167.1.116"/>
    <n v="146"/>
    <n v="146"/>
    <s v="NYSE"/>
    <s v="COTY"/>
    <s v="Coty Inc."/>
    <x v="5"/>
    <s v="Package Goods/Cosmetics"/>
    <s v="$14.24B"/>
    <n v="14240000000"/>
    <n v="1038.8"/>
    <n v="-6.1"/>
    <n v="103606752"/>
    <d v="2025-10-28T00:00:00"/>
    <s v="Complete"/>
    <m/>
  </r>
  <r>
    <s v="bgillion42"/>
    <s v="facebook.com"/>
    <s v="Borden"/>
    <s v="Gillion"/>
    <s v="Male"/>
    <s v="Male"/>
    <s v="180.11.149.178"/>
    <s v="177.103.27.10"/>
    <n v="147"/>
    <n v="147"/>
    <s v="NYSE"/>
    <s v="MFT"/>
    <s v="Blackrock MuniYield Investment QualityFund"/>
    <x v="2"/>
    <s v="N/A"/>
    <s v="$120.08M"/>
    <n v="120080000"/>
    <n v="1272.1500000000001"/>
    <n v="6.82"/>
    <n v="164794385"/>
    <d v="2026-10-02T00:00:00"/>
    <s v="Missing"/>
    <m/>
  </r>
  <r>
    <s v="mmolyneux43"/>
    <s v="amazon.co.uk"/>
    <s v="Moria"/>
    <s v="Molyneux"/>
    <s v="Female"/>
    <s v="Female"/>
    <s v="4.169.113.107"/>
    <s v="216.25.49.19"/>
    <n v="148"/>
    <n v="148"/>
    <s v="NYSE"/>
    <s v="FLT"/>
    <s v="FleetCor Technologies, Inc."/>
    <x v="7"/>
    <s v="Business Services"/>
    <s v="$13.32B"/>
    <n v="13320000000"/>
    <n v="636.5"/>
    <n v="-0.85"/>
    <n v="195028494"/>
    <d v="2025-08-08T00:00:00"/>
    <s v="Complete"/>
    <m/>
  </r>
  <r>
    <s v="dmckeurtan44"/>
    <s v="php.net"/>
    <s v="Dyanne"/>
    <s v="McKeurtan"/>
    <s v="Female"/>
    <s v="Female"/>
    <s v="50.120.203.112"/>
    <s v="98.72.51.140"/>
    <n v="149"/>
    <n v="149"/>
    <s v="NASDAQ"/>
    <s v="VSAT"/>
    <s v="ViaSat, Inc."/>
    <x v="4"/>
    <s v="Radio And Television Broadcasting And Communications Equipment"/>
    <s v="$3.9B"/>
    <n v="3900000000"/>
    <n v="934.39"/>
    <n v="1.38"/>
    <n v="182176822"/>
    <d v="2026-04-09T00:00:00"/>
    <s v="Complete"/>
    <m/>
  </r>
  <r>
    <s v="zgergler45"/>
    <s v="imdb.com"/>
    <s v="Zane"/>
    <s v="Gergler"/>
    <s v="Male"/>
    <s v="Male"/>
    <s v="222.242.250.99"/>
    <s v="231.16.229.30"/>
    <n v="150"/>
    <n v="150"/>
    <s v="NYSE"/>
    <s v="TRNO^A.CL"/>
    <s v="Terreno Realty Corporation"/>
    <x v="2"/>
    <s v="N/A"/>
    <s v="N/A"/>
    <n v="0"/>
    <n v="1077.69"/>
    <n v="-5.6"/>
    <n v="89734530"/>
    <d v="2020-07-09T00:00:00"/>
    <s v="Missing"/>
    <m/>
  </r>
  <r>
    <s v="stedorenko46"/>
    <s v="europa.eu"/>
    <s v="Sophia"/>
    <s v="Tedorenko"/>
    <s v="Female"/>
    <s v="Female"/>
    <s v="204.36.23.168"/>
    <s v="93.47.32.53"/>
    <n v="151"/>
    <n v="151"/>
    <s v="NASDAQ"/>
    <s v="WB"/>
    <s v="Weibo Corporation"/>
    <x v="4"/>
    <s v="Computer Software: Programming, Data Processing"/>
    <s v="$15.51B"/>
    <n v="15510000000"/>
    <n v="365.73"/>
    <n v="-5.57"/>
    <n v="28683693"/>
    <d v="2021-11-28T00:00:00"/>
    <s v="Complete"/>
    <m/>
  </r>
  <r>
    <s v="gbrumen47"/>
    <s v="youtu.be"/>
    <s v="Giavani"/>
    <s v="Brumen"/>
    <s v="Male"/>
    <s v="Male"/>
    <s v="27.231.69.95"/>
    <s v="45.34.170.235"/>
    <n v="152"/>
    <n v="152"/>
    <s v="NASDAQ"/>
    <s v="EAGL"/>
    <s v="Double Eagle Acquisition Corp."/>
    <x v="3"/>
    <s v="Business Services"/>
    <s v="$628.13M"/>
    <n v="628130000"/>
    <n v="204.67"/>
    <n v="-8.64"/>
    <n v="106999137"/>
    <d v="2020-11-12T00:00:00"/>
    <s v="Complete"/>
    <m/>
  </r>
  <r>
    <s v="gbagnall48"/>
    <s v="baidu.com"/>
    <s v="Georgie"/>
    <s v="Bagnall"/>
    <s v="Male"/>
    <s v="Male"/>
    <s v="168.100.55.9"/>
    <s v="225.104.77.236"/>
    <n v="153"/>
    <n v="153"/>
    <s v="NASDAQ"/>
    <s v="SLGN"/>
    <s v="Silgan Holdings Inc."/>
    <x v="11"/>
    <s v="Containers/Packaging"/>
    <s v="$3.49B"/>
    <n v="3490000000"/>
    <n v="315.56"/>
    <n v="-7.11"/>
    <n v="192596129"/>
    <d v="2021-11-08T00:00:00"/>
    <s v="Complete"/>
    <m/>
  </r>
  <r>
    <s v="hsommerton49"/>
    <s v="prnewswire.com"/>
    <s v="Hubert"/>
    <s v="Sommerton"/>
    <s v="Agender"/>
    <s v="Other"/>
    <s v="230.248.209.56"/>
    <s v="196.106.50.92"/>
    <n v="154"/>
    <n v="154"/>
    <s v="NASDAQ"/>
    <s v="PYPL"/>
    <s v="PayPal Holdings, Inc."/>
    <x v="7"/>
    <s v="Business Services"/>
    <s v="$62.27B"/>
    <n v="62270000000"/>
    <n v="1206.28"/>
    <n v="-11.48"/>
    <n v="122500161"/>
    <d v="2026-03-30T00:00:00"/>
    <s v="Complete"/>
    <m/>
  </r>
  <r>
    <s v="hsterricks4a"/>
    <s v="cloudflare.com"/>
    <s v="Harlen"/>
    <s v="Sterricks"/>
    <s v="Male"/>
    <s v="Male"/>
    <s v="222.161.12.165"/>
    <s v="119.204.63.101"/>
    <n v="155"/>
    <n v="155"/>
    <s v="NYSE"/>
    <s v="MH^A"/>
    <s v="Maiden Holdings, Ltd."/>
    <x v="2"/>
    <s v="N/A"/>
    <s v="N/A"/>
    <n v="0"/>
    <n v="398.51"/>
    <n v="-11.9"/>
    <n v="199433499"/>
    <d v="2024-10-06T00:00:00"/>
    <s v="Missing"/>
    <m/>
  </r>
  <r>
    <s v="aeble4b"/>
    <s v="nbcnews.com"/>
    <s v="Alexio"/>
    <s v="Eble"/>
    <s v="Male"/>
    <s v="Male"/>
    <s v="27.109.69.176"/>
    <s v="246.102.151.224"/>
    <n v="156"/>
    <n v="156"/>
    <s v="NYSE"/>
    <s v="RHT"/>
    <s v="Red Hat, Inc."/>
    <x v="4"/>
    <s v="Computer Software: Programming, Data Processing"/>
    <s v="$15.62B"/>
    <n v="15620000000"/>
    <n v="99.45"/>
    <n v="-8.74"/>
    <n v="197494865"/>
    <d v="2026-06-05T00:00:00"/>
    <s v="Complete"/>
    <m/>
  </r>
  <r>
    <s v="mkoenen4c"/>
    <s v="youtu.be"/>
    <s v="Merissa"/>
    <s v="Koenen"/>
    <s v="Female"/>
    <s v="Female"/>
    <s v="76.234.200.202"/>
    <s v="12.218.164.8"/>
    <n v="157"/>
    <n v="157"/>
    <s v="NYSE"/>
    <s v="CLNS^E"/>
    <s v="Colony NorthStar, Inc."/>
    <x v="2"/>
    <s v="N/A"/>
    <s v="N/A"/>
    <n v="0"/>
    <n v="1295.82"/>
    <n v="16.28"/>
    <n v="161450373"/>
    <d v="2025-10-04T00:00:00"/>
    <s v="Missing"/>
    <m/>
  </r>
  <r>
    <s v="ladamski4d"/>
    <s v="yahoo.co.jp"/>
    <s v="Luisa"/>
    <s v="Adamski"/>
    <s v="Female"/>
    <s v="Female"/>
    <s v="177.81.66.50"/>
    <s v="111.65.221.137"/>
    <n v="158"/>
    <n v="158"/>
    <s v="NASDAQ"/>
    <s v="EBTC"/>
    <s v="Enterprise Bancorp Inc"/>
    <x v="3"/>
    <s v="Major Banks"/>
    <s v="$414.73M"/>
    <n v="414730000"/>
    <n v="1812.01"/>
    <n v="10.52"/>
    <n v="51249609"/>
    <d v="2022-02-05T00:00:00"/>
    <s v="Complete"/>
    <m/>
  </r>
  <r>
    <s v="edayes4e"/>
    <s v="unesco.org"/>
    <s v="Elfrieda"/>
    <s v="Dayes"/>
    <s v="Female"/>
    <s v="Female"/>
    <s v="224.149.39.94"/>
    <s v="114.176.55.99"/>
    <n v="159"/>
    <n v="159"/>
    <s v="NYSE"/>
    <s v="CMS"/>
    <s v="CMS Energy Corporation"/>
    <x v="8"/>
    <s v="Power Generation"/>
    <s v="$13.53B"/>
    <n v="13530000000"/>
    <n v="228.82"/>
    <n v="11.93"/>
    <n v="84589315"/>
    <d v="2022-03-17T00:00:00"/>
    <s v="Complete"/>
    <m/>
  </r>
  <r>
    <s v="awitsey4f"/>
    <s v="netvibes.com"/>
    <s v="Adria"/>
    <s v="Witsey"/>
    <s v="Female"/>
    <s v="Female"/>
    <s v="134.203.186.74"/>
    <s v="38.151.28.2"/>
    <n v="160"/>
    <n v="160"/>
    <s v="NASDAQ"/>
    <s v="CFMS"/>
    <s v="ConforMIS, Inc."/>
    <x v="0"/>
    <s v="Industrial Specialties"/>
    <s v="$180.66M"/>
    <n v="180660000"/>
    <n v="624.6"/>
    <n v="1.37"/>
    <n v="153539552"/>
    <d v="2020-04-14T00:00:00"/>
    <s v="Complete"/>
    <m/>
  </r>
  <r>
    <s v="ngodbolt4g"/>
    <s v="virginia.edu"/>
    <s v="Nessa"/>
    <s v="Godbolt"/>
    <s v="Female"/>
    <s v="Female"/>
    <s v="239.49.106.79"/>
    <s v="33.92.136.230"/>
    <n v="161"/>
    <n v="161"/>
    <s v="NASDAQ"/>
    <s v="BASI"/>
    <s v="Bioanalytical Systems, Inc."/>
    <x v="0"/>
    <s v="Biotechnology: Commercial Physical &amp; Biological Resarch"/>
    <s v="$13.02M"/>
    <n v="13020000"/>
    <n v="1473.68"/>
    <n v="-18.11"/>
    <n v="147688697"/>
    <d v="2023-07-17T00:00:00"/>
    <s v="Complete"/>
    <m/>
  </r>
  <r>
    <s v="dreany4h"/>
    <s v="oaic.gov.au"/>
    <s v="Dick"/>
    <s v="Reany"/>
    <s v="Male"/>
    <s v="Male"/>
    <s v="49.147.240.167"/>
    <s v="241.6.160.143"/>
    <n v="162"/>
    <n v="162"/>
    <s v="NASDAQ"/>
    <s v="LLEX"/>
    <s v="Lilis Energy, Inc."/>
    <x v="9"/>
    <s v="Oil &amp; Gas Production"/>
    <s v="$267.73M"/>
    <n v="267730000.00000003"/>
    <n v="1161.6500000000001"/>
    <n v="18.14"/>
    <n v="164777040"/>
    <d v="2020-02-19T00:00:00"/>
    <s v="Complete"/>
    <m/>
  </r>
  <r>
    <s v="prundle4i"/>
    <s v="jiathis.com"/>
    <s v="Paulie"/>
    <s v="Rundle"/>
    <s v="Female"/>
    <s v="Female"/>
    <s v="6.18.186.92"/>
    <s v="119.168.94.215"/>
    <n v="163"/>
    <n v="163"/>
    <s v="NASDAQ"/>
    <s v="VCYT"/>
    <s v="Veracyte, Inc."/>
    <x v="0"/>
    <s v="Medical Specialities"/>
    <s v="$259.78M"/>
    <n v="259779999.99999997"/>
    <n v="1025.1500000000001"/>
    <n v="-14.32"/>
    <n v="87093141"/>
    <d v="2022-05-15T00:00:00"/>
    <s v="Complete"/>
    <m/>
  </r>
  <r>
    <s v="oforson4j"/>
    <s v="soup.io"/>
    <s v="Olivia"/>
    <s v="Forson"/>
    <s v="Female"/>
    <s v="Female"/>
    <s v="21.129.66.161"/>
    <s v="107.129.48.234"/>
    <n v="164"/>
    <n v="164"/>
    <s v="NYSE"/>
    <s v="BLL"/>
    <s v="Ball Corporation"/>
    <x v="11"/>
    <s v="Containers/Packaging"/>
    <s v="$14.45B"/>
    <n v="14450000000"/>
    <n v="1247.8599999999999"/>
    <n v="18.97"/>
    <n v="122494379"/>
    <d v="2026-07-21T00:00:00"/>
    <s v="Complete"/>
    <m/>
  </r>
  <r>
    <s v="sbrewse4k"/>
    <s v="wix.com"/>
    <s v="Stevana"/>
    <s v="Brewse"/>
    <s v="Female"/>
    <s v="Female"/>
    <s v="159.53.231.44"/>
    <s v="50.184.143.60"/>
    <n v="165"/>
    <n v="165"/>
    <s v="NYSE"/>
    <s v="IR"/>
    <s v="Ingersoll-Rand plc (Ireland)"/>
    <x v="1"/>
    <s v="Auto Parts:O.E.M."/>
    <s v="$23.64B"/>
    <n v="23640000000"/>
    <n v="250.05"/>
    <n v="-5.33"/>
    <n v="102372428"/>
    <d v="2025-07-19T00:00:00"/>
    <s v="Complete"/>
    <m/>
  </r>
  <r>
    <s v="caudibert4l"/>
    <s v="cornell.edu"/>
    <s v="Calla"/>
    <s v="Audibert"/>
    <s v="Female"/>
    <s v="Female"/>
    <s v="117.16.54.237"/>
    <s v="18.232.14.47"/>
    <n v="166"/>
    <n v="166"/>
    <s v="NASDAQ"/>
    <s v="ASBB"/>
    <s v="ASB Bancorp, Inc."/>
    <x v="3"/>
    <s v="Savings Institutions"/>
    <s v="$167.24M"/>
    <n v="167240000"/>
    <n v="1327.22"/>
    <n v="-10.67"/>
    <n v="19694795"/>
    <d v="2022-01-22T00:00:00"/>
    <s v="Complete"/>
    <m/>
  </r>
  <r>
    <s v="gfearneley4m"/>
    <s v="dion.ne.jp"/>
    <s v="Gavin"/>
    <s v="Fearneley"/>
    <s v="Male"/>
    <s v="Male"/>
    <s v="159.229.215.134"/>
    <s v="141.65.215.194"/>
    <n v="167"/>
    <n v="167"/>
    <s v="NYSE"/>
    <s v="OI"/>
    <s v="Owens-Illinois, Inc."/>
    <x v="11"/>
    <s v="Containers/Packaging"/>
    <s v="$3.72B"/>
    <n v="3720000000"/>
    <n v="900.78"/>
    <n v="2.16"/>
    <n v="18837395"/>
    <d v="2020-05-28T00:00:00"/>
    <s v="Complete"/>
    <m/>
  </r>
  <r>
    <s v="tbicknell4n"/>
    <s v="dyndns.org"/>
    <s v="Trstram"/>
    <s v="Bicknell"/>
    <s v="Male"/>
    <s v="Male"/>
    <s v="168.81.84.15"/>
    <s v="128.192.125.252"/>
    <n v="168"/>
    <n v="168"/>
    <s v="NYSE"/>
    <s v="JPT"/>
    <s v="Nuveen Preferred and Income 2022 Term Fund"/>
    <x v="2"/>
    <s v="N/A"/>
    <s v="$171.9M"/>
    <n v="171900000"/>
    <n v="1887.58"/>
    <n v="-14.64"/>
    <n v="165091024"/>
    <d v="2020-10-11T00:00:00"/>
    <s v="Missing"/>
    <m/>
  </r>
  <r>
    <s v="dmattis4o"/>
    <s v="ed.gov"/>
    <s v="Diane-marie"/>
    <s v="Mattis"/>
    <s v="Female"/>
    <s v="Female"/>
    <s v="70.132.175.150"/>
    <s v="7.221.235.132"/>
    <n v="169"/>
    <n v="169"/>
    <s v="NYSE"/>
    <s v="CTLT"/>
    <s v="Catalent, Inc."/>
    <x v="0"/>
    <s v="Major Pharmaceuticals"/>
    <s v="$4.61B"/>
    <n v="4610000000"/>
    <n v="1475.21"/>
    <n v="10.220000000000001"/>
    <n v="120726077"/>
    <d v="2025-09-08T00:00:00"/>
    <s v="Complete"/>
    <m/>
  </r>
  <r>
    <s v="epfeffer4p"/>
    <s v="clickbank.net"/>
    <s v="Erinn"/>
    <s v="Pfeffer"/>
    <s v="Female"/>
    <s v="Female"/>
    <s v="158.47.5.146"/>
    <s v="210.121.121.167"/>
    <n v="170"/>
    <n v="170"/>
    <s v="NASDAQ"/>
    <s v="PKBK"/>
    <s v="Parke Bancorp, Inc."/>
    <x v="3"/>
    <s v="Major Banks"/>
    <s v="$161.78M"/>
    <n v="161780000"/>
    <n v="501.63"/>
    <n v="7.81"/>
    <n v="38375048"/>
    <d v="2024-04-26T00:00:00"/>
    <s v="Complete"/>
    <m/>
  </r>
  <r>
    <s v="areeves4q"/>
    <s v="ebay.co.uk"/>
    <s v="Arlene"/>
    <s v="Reeves"/>
    <s v="Female"/>
    <s v="Female"/>
    <s v="252.103.34.228"/>
    <s v="64.182.21.57"/>
    <n v="171"/>
    <n v="171"/>
    <s v="NASDAQ"/>
    <s v="MBTF"/>
    <s v="M B T Financial Corp"/>
    <x v="3"/>
    <s v="Major Banks"/>
    <s v="$229.8M"/>
    <n v="229800000"/>
    <n v="232.86"/>
    <n v="17.45"/>
    <n v="61384716"/>
    <d v="2023-01-12T00:00:00"/>
    <s v="Complete"/>
    <m/>
  </r>
  <r>
    <s v="aabadam4r"/>
    <s v="bing.com"/>
    <s v="Ancell"/>
    <s v="Abadam"/>
    <s v="Male"/>
    <s v="Male"/>
    <s v="218.196.109.59"/>
    <s v="91.171.233.200"/>
    <n v="172"/>
    <n v="172"/>
    <s v="NASDAQ"/>
    <s v="YIN"/>
    <s v="Yintech Investment Holdings Limited"/>
    <x v="3"/>
    <s v="Investment Bankers/Brokers/Service"/>
    <s v="$725.83M"/>
    <n v="725830000"/>
    <n v="763.12"/>
    <n v="-14.15"/>
    <n v="160786732"/>
    <d v="2024-05-23T00:00:00"/>
    <s v="Complete"/>
    <m/>
  </r>
  <r>
    <s v="vivashev4s"/>
    <s v="ebay.co.uk"/>
    <s v="Vanna"/>
    <s v="Ivashev"/>
    <s v="Female"/>
    <s v="Female"/>
    <s v="194.237.147.16"/>
    <s v="108.183.26.59"/>
    <n v="173"/>
    <n v="173"/>
    <s v="NYSE"/>
    <s v="CMS"/>
    <s v="CMS Energy Corporation"/>
    <x v="8"/>
    <s v="Power Generation"/>
    <s v="$13.53B"/>
    <n v="13530000000"/>
    <n v="1296.3900000000001"/>
    <n v="15"/>
    <n v="183185806"/>
    <d v="2022-12-13T00:00:00"/>
    <s v="Complete"/>
    <m/>
  </r>
  <r>
    <s v="acoathup4t"/>
    <s v="geocities.com"/>
    <s v="Archambault"/>
    <s v="Coathup"/>
    <s v="Male"/>
    <s v="Male"/>
    <s v="32.237.10.31"/>
    <s v="202.81.63.131"/>
    <n v="174"/>
    <n v="174"/>
    <s v="NASDAQ"/>
    <s v="FHCO"/>
    <s v="Female Health Company (The)"/>
    <x v="10"/>
    <s v="Specialty Chemicals"/>
    <s v="$36.35M"/>
    <n v="36350000"/>
    <n v="1648.66"/>
    <n v="15.47"/>
    <n v="119200481"/>
    <d v="2024-08-08T00:00:00"/>
    <s v="Complete"/>
    <m/>
  </r>
  <r>
    <s v="reydel4u"/>
    <s v="nydailynews.com"/>
    <s v="Roch"/>
    <s v="Eydel"/>
    <s v="Female"/>
    <s v="Female"/>
    <s v="140.224.182.182"/>
    <s v="83.17.227.181"/>
    <n v="175"/>
    <n v="175"/>
    <s v="NYSE"/>
    <s v="NTEST.C"/>
    <s v="NASDAQ TEST STOCK"/>
    <x v="2"/>
    <s v="N/A"/>
    <s v="N/A"/>
    <n v="0"/>
    <n v="210.28"/>
    <n v="-6.05"/>
    <n v="13618348"/>
    <d v="2022-06-06T00:00:00"/>
    <s v="Missing"/>
    <m/>
  </r>
  <r>
    <s v="cmewes4v"/>
    <s v="gov.uk"/>
    <s v="Corette"/>
    <s v="Mewes"/>
    <s v="Female"/>
    <s v="Female"/>
    <s v="189.0.135.6"/>
    <s v="94.123.70.37"/>
    <n v="176"/>
    <n v="176"/>
    <s v="NASDAQ"/>
    <s v="OIIM"/>
    <s v="O2Micro International Limited"/>
    <x v="4"/>
    <s v="Semiconductors"/>
    <s v="$47.92M"/>
    <n v="47920000"/>
    <n v="713.08"/>
    <n v="0.92"/>
    <n v="94882450"/>
    <d v="2024-11-05T00:00:00"/>
    <s v="Complete"/>
    <m/>
  </r>
  <r>
    <s v="egelardi4w"/>
    <s v="friendfeed.com"/>
    <s v="Eden"/>
    <s v="Gelardi"/>
    <s v="Female"/>
    <s v="Female"/>
    <s v="146.41.152.187"/>
    <s v="130.234.8.101"/>
    <n v="177"/>
    <n v="177"/>
    <s v="NASDAQ"/>
    <s v="CTAS"/>
    <s v="Cintas Corporation"/>
    <x v="5"/>
    <s v="Apparel"/>
    <s v="$13.74B"/>
    <n v="13740000000"/>
    <n v="181.84"/>
    <n v="3.13"/>
    <n v="65244268"/>
    <d v="2021-10-20T00:00:00"/>
    <s v="Complete"/>
    <m/>
  </r>
  <r>
    <s v="mmaasz4x"/>
    <s v="mysql.com"/>
    <s v="Maggie"/>
    <s v="Maasz"/>
    <s v="Female"/>
    <s v="Female"/>
    <s v="124.108.140.195"/>
    <s v="124.20.126.100"/>
    <n v="178"/>
    <n v="178"/>
    <s v="NYSE"/>
    <s v="SCCO"/>
    <s v="Southern Copper Corporation"/>
    <x v="10"/>
    <s v="Precious Metals"/>
    <s v="$26.62B"/>
    <n v="26620000000"/>
    <n v="624.62"/>
    <n v="-10.24"/>
    <n v="115190011"/>
    <d v="2021-03-24T00:00:00"/>
    <s v="Complete"/>
    <m/>
  </r>
  <r>
    <s v="cpuckrin4y"/>
    <s v="google.de"/>
    <s v="Cobby"/>
    <s v="Puckrin"/>
    <s v="Male"/>
    <s v="Male"/>
    <s v="81.125.103.160"/>
    <s v="145.15.53.205"/>
    <n v="179"/>
    <n v="179"/>
    <s v="NYSE"/>
    <s v="AKS"/>
    <s v="AK Steel Holding Corporation"/>
    <x v="10"/>
    <s v="Steel/Iron Ore"/>
    <s v="$1.89B"/>
    <n v="1890000000"/>
    <n v="963.21"/>
    <n v="-10.41"/>
    <n v="33774370"/>
    <d v="2022-04-24T00:00:00"/>
    <s v="Complete"/>
    <m/>
  </r>
  <r>
    <s v="cwalthall4z"/>
    <s v="independent.co.uk"/>
    <s v="Cammy"/>
    <s v="Walthall"/>
    <s v="Female"/>
    <s v="Female"/>
    <s v="173.205.96.158"/>
    <s v="244.127.131.234"/>
    <n v="180"/>
    <n v="180"/>
    <s v="NASDAQ"/>
    <s v="MGNX"/>
    <s v="MacroGenics, Inc."/>
    <x v="0"/>
    <s v="Major Pharmaceuticals"/>
    <s v="$658.69M"/>
    <n v="658690000"/>
    <n v="942.07"/>
    <n v="-7.0000000000000007E-2"/>
    <n v="186479343"/>
    <d v="2023-04-08T00:00:00"/>
    <s v="Complete"/>
    <m/>
  </r>
  <r>
    <s v="rfrounks50"/>
    <s v="discuz.net"/>
    <s v="Roscoe"/>
    <s v="Frounks"/>
    <s v="Male"/>
    <s v="Male"/>
    <s v="83.118.200.248"/>
    <s v="117.178.101.1"/>
    <n v="181"/>
    <n v="181"/>
    <s v="NYSE"/>
    <s v="SSW"/>
    <s v="Seaspan Corporation"/>
    <x v="12"/>
    <s v="Marine Transportation"/>
    <s v="$649.92M"/>
    <n v="649920000"/>
    <n v="1088.9100000000001"/>
    <n v="-8.82"/>
    <n v="122232870"/>
    <d v="2021-09-25T00:00:00"/>
    <s v="Complete"/>
    <m/>
  </r>
  <r>
    <s v="acomford51"/>
    <s v="cloudflare.com"/>
    <s v="Aidan"/>
    <s v="Comford"/>
    <s v="Non-binary"/>
    <s v="Other"/>
    <s v="1.46.57.143"/>
    <s v="64.96.54.188"/>
    <n v="182"/>
    <n v="182"/>
    <s v="NASDAQ"/>
    <s v="WTFCW"/>
    <s v="Wintrust Financial Corporation"/>
    <x v="3"/>
    <s v="Major Banks"/>
    <s v="N/A"/>
    <n v="0"/>
    <n v="1563.11"/>
    <n v="11.37"/>
    <n v="199120343"/>
    <d v="2022-04-23T00:00:00"/>
    <s v="Missing"/>
    <m/>
  </r>
  <r>
    <s v="nleacock52"/>
    <s v="netscape.com"/>
    <s v="Nonnah"/>
    <s v="Leacock"/>
    <s v="Bigender"/>
    <s v="Other"/>
    <s v="138.28.48.139"/>
    <s v="49.169.117.164"/>
    <n v="183"/>
    <n v="183"/>
    <s v="NYSE"/>
    <s v="DXB"/>
    <s v="Deutsche Bank AG"/>
    <x v="3"/>
    <s v="Major Banks"/>
    <s v="N/A"/>
    <n v="0"/>
    <n v="56.21"/>
    <n v="11.11"/>
    <n v="190368780"/>
    <d v="2026-04-07T00:00:00"/>
    <s v="Missing"/>
    <m/>
  </r>
  <r>
    <s v="ekimmel53"/>
    <s v="storify.com"/>
    <s v="Elke"/>
    <s v="Kimmel"/>
    <s v="Female"/>
    <s v="Female"/>
    <s v="239.86.241.5"/>
    <s v="65.63.116.205"/>
    <n v="184"/>
    <n v="184"/>
    <s v="NASDAQ"/>
    <s v="MYOK"/>
    <s v="MyoKardia, Inc."/>
    <x v="0"/>
    <s v="Major Pharmaceuticals"/>
    <s v="$445.1M"/>
    <n v="445100000"/>
    <n v="270.51"/>
    <n v="-14.07"/>
    <n v="78856177"/>
    <d v="2022-11-19T00:00:00"/>
    <s v="Complete"/>
    <m/>
  </r>
  <r>
    <s v="tmelledy54"/>
    <s v="irs.gov"/>
    <s v="Turner"/>
    <s v="Melledy"/>
    <s v="Male"/>
    <s v="Male"/>
    <s v="118.33.62.241"/>
    <s v="151.250.167.46"/>
    <n v="185"/>
    <n v="185"/>
    <s v="NYSE"/>
    <s v="SMG"/>
    <s v="Scotts Miracle-Gro Company (The)"/>
    <x v="10"/>
    <s v="Agricultural Chemicals"/>
    <s v="$5.23B"/>
    <n v="5230000000"/>
    <n v="827.69"/>
    <n v="7.95"/>
    <n v="25418444"/>
    <d v="2024-09-27T00:00:00"/>
    <s v="Complete"/>
    <m/>
  </r>
  <r>
    <s v="ablowfield55"/>
    <s v="youtu.be"/>
    <s v="Anabel"/>
    <s v="Blowfield"/>
    <s v="Female"/>
    <s v="Female"/>
    <s v="12.25.109.187"/>
    <s v="128.223.33.210"/>
    <n v="186"/>
    <n v="186"/>
    <s v="NYSE"/>
    <s v="MAS"/>
    <s v="Masco Corporation"/>
    <x v="10"/>
    <s v="Forest Products"/>
    <s v="$12.32B"/>
    <n v="12320000000"/>
    <n v="941.07"/>
    <n v="3.13"/>
    <n v="115955950"/>
    <d v="2020-10-27T00:00:00"/>
    <s v="Complete"/>
    <m/>
  </r>
  <r>
    <s v="scondie56"/>
    <s v="people.com.cn"/>
    <s v="Shermy"/>
    <s v="Condie"/>
    <s v="Male"/>
    <s v="Male"/>
    <s v="159.38.79.250"/>
    <s v="230.120.138.38"/>
    <n v="187"/>
    <n v="187"/>
    <s v="NASDAQ"/>
    <s v="DWAQ"/>
    <s v="PowerShares DWA NASDAQ Momentum Portfolio"/>
    <x v="2"/>
    <s v="N/A"/>
    <s v="$35.54M"/>
    <n v="35540000"/>
    <n v="212.83"/>
    <n v="-13.47"/>
    <n v="177871156"/>
    <d v="2025-09-29T00:00:00"/>
    <s v="Missing"/>
    <m/>
  </r>
  <r>
    <s v="jansett57"/>
    <s v="simplemachines.org"/>
    <s v="Javier"/>
    <s v="Ansett"/>
    <s v="Male"/>
    <s v="Male"/>
    <s v="183.19.210.54"/>
    <s v="224.123.145.166"/>
    <n v="188"/>
    <n v="188"/>
    <s v="NASDAQ"/>
    <s v="GNTX"/>
    <s v="Gentex Corporation"/>
    <x v="1"/>
    <s v="Auto Parts:O.E.M."/>
    <s v="$5.21B"/>
    <n v="5210000000"/>
    <n v="297.35000000000002"/>
    <n v="-13.27"/>
    <n v="168107560"/>
    <d v="2025-12-06T00:00:00"/>
    <s v="Complete"/>
    <m/>
  </r>
  <r>
    <s v="sglayzer58"/>
    <s v="behance.net"/>
    <s v="Sisely"/>
    <s v="Glayzer"/>
    <s v="Female"/>
    <s v="Female"/>
    <s v="112.245.158.240"/>
    <s v="113.99.221.94"/>
    <n v="189"/>
    <n v="189"/>
    <s v="NYSE"/>
    <s v="WD"/>
    <s v="Walker &amp; Dunlop, Inc."/>
    <x v="3"/>
    <s v="Finance: Consumer Services"/>
    <s v="$1.5B"/>
    <n v="1500000000"/>
    <n v="959.18"/>
    <n v="19.64"/>
    <n v="164184324"/>
    <d v="2026-02-08T00:00:00"/>
    <s v="Complete"/>
    <m/>
  </r>
  <r>
    <s v="bshrubshall59"/>
    <s v="statcounter.com"/>
    <s v="Bar"/>
    <s v="Shrubshall"/>
    <s v="Male"/>
    <s v="Male"/>
    <s v="155.241.67.103"/>
    <s v="1.207.53.206"/>
    <n v="190"/>
    <n v="190"/>
    <s v="NASDAQ"/>
    <s v="PLW"/>
    <s v="PowerShares 1-30 Laddered Treasury Portfolio"/>
    <x v="2"/>
    <s v="N/A"/>
    <s v="$183.15M"/>
    <n v="183150000"/>
    <n v="584.61"/>
    <n v="12.86"/>
    <n v="121135412"/>
    <d v="2022-01-21T00:00:00"/>
    <s v="Missing"/>
    <m/>
  </r>
  <r>
    <s v="hduker5a"/>
    <s v="huffingtonpost.com"/>
    <s v="Heda"/>
    <s v="Duker"/>
    <s v="Female"/>
    <s v="Female"/>
    <s v="236.99.45.195"/>
    <s v="109.0.141.154"/>
    <n v="191"/>
    <n v="191"/>
    <s v="NYSE"/>
    <s v="APD"/>
    <s v="Air Products and Chemicals, Inc."/>
    <x v="10"/>
    <s v="Major Chemicals"/>
    <s v="$31.68B"/>
    <n v="31680000000"/>
    <n v="1937.55"/>
    <n v="7.86"/>
    <n v="13449737"/>
    <d v="2026-08-13T00:00:00"/>
    <s v="Complete"/>
    <m/>
  </r>
  <r>
    <s v="tgladwish5b"/>
    <s v="google.cn"/>
    <s v="Theresina"/>
    <s v="Gladwish"/>
    <s v="Female"/>
    <s v="Female"/>
    <s v="5.10.214.50"/>
    <s v="154.130.209.208"/>
    <n v="192"/>
    <n v="192"/>
    <s v="NYSE"/>
    <s v="PYT"/>
    <s v="PPlus Trust"/>
    <x v="3"/>
    <s v="Finance: Consumer Services"/>
    <s v="N/A"/>
    <n v="0"/>
    <n v="750.55"/>
    <n v="6.84"/>
    <n v="132064942"/>
    <d v="2026-06-28T00:00:00"/>
    <s v="Missing"/>
    <m/>
  </r>
  <r>
    <s v="dsharland5c"/>
    <s v="1und1.de"/>
    <s v="Dall"/>
    <s v="Sharland"/>
    <s v="Male"/>
    <s v="Male"/>
    <s v="176.184.210.19"/>
    <s v="86.142.57.233"/>
    <n v="193"/>
    <n v="193"/>
    <s v="NYSE"/>
    <s v="GVA"/>
    <s v="Granite Construction Incorporated"/>
    <x v="10"/>
    <s v="Military/Government/Technical"/>
    <s v="$1.97B"/>
    <n v="1970000000"/>
    <n v="1686.21"/>
    <n v="-0.2"/>
    <n v="179048528"/>
    <d v="2022-01-01T00:00:00"/>
    <s v="Complete"/>
    <m/>
  </r>
  <r>
    <s v="abithell5d"/>
    <s v="edublogs.org"/>
    <s v="Alaster"/>
    <s v="Bithell"/>
    <s v="Male"/>
    <s v="Male"/>
    <s v="180.93.99.59"/>
    <s v="20.157.183.155"/>
    <n v="194"/>
    <n v="194"/>
    <s v="NYSE"/>
    <s v="NTEST.B"/>
    <s v="NASDAQ TEST STOCK"/>
    <x v="2"/>
    <s v="N/A"/>
    <s v="N/A"/>
    <n v="0"/>
    <n v="1815.86"/>
    <n v="11.61"/>
    <n v="45032096"/>
    <d v="2022-08-09T00:00:00"/>
    <s v="Missing"/>
    <m/>
  </r>
  <r>
    <s v="hdisman5e"/>
    <s v="seesaa.net"/>
    <s v="Hinze"/>
    <s v="Disman"/>
    <s v="Male"/>
    <s v="Male"/>
    <s v="110.185.167.162"/>
    <s v="212.141.148.70"/>
    <n v="195"/>
    <n v="195"/>
    <s v="NASDAQ"/>
    <s v="CUTR"/>
    <s v="Cutera, Inc."/>
    <x v="0"/>
    <s v="Biotechnology: Electromedical &amp; Electrotherapeutic Apparatus"/>
    <s v="$323.6M"/>
    <n v="323600000"/>
    <n v="777.48"/>
    <n v="-9.92"/>
    <n v="194674309"/>
    <d v="2022-04-03T00:00:00"/>
    <s v="Complete"/>
    <m/>
  </r>
  <r>
    <s v="jlukock5f"/>
    <s v="indiegogo.com"/>
    <s v="June"/>
    <s v="Lukock"/>
    <s v="Female"/>
    <s v="Female"/>
    <s v="79.178.146.6"/>
    <s v="13.175.91.99"/>
    <n v="196"/>
    <n v="196"/>
    <s v="NASDAQ"/>
    <s v="BIIB"/>
    <s v="Biogen Inc."/>
    <x v="0"/>
    <s v="Biotechnology: Biological Products (No Diagnostic Substances)"/>
    <s v="$53.4B"/>
    <n v="53400000000"/>
    <n v="1908.48"/>
    <n v="-1.56"/>
    <n v="124664661"/>
    <d v="2024-07-07T00:00:00"/>
    <s v="Complete"/>
    <m/>
  </r>
  <r>
    <s v="mburgwin5g"/>
    <s v="163.com"/>
    <s v="Maxie"/>
    <s v="Burgwin"/>
    <s v="Male"/>
    <s v="Male"/>
    <s v="92.89.21.249"/>
    <s v="196.128.66.159"/>
    <n v="197"/>
    <n v="197"/>
    <s v="NYSE"/>
    <s v="MSB"/>
    <s v="Mesabi Trust"/>
    <x v="10"/>
    <s v="Precious Metals"/>
    <s v="$173.18M"/>
    <n v="173180000"/>
    <n v="582.03"/>
    <n v="-1.77"/>
    <n v="49627537"/>
    <d v="2020-01-02T00:00:00"/>
    <s v="Complete"/>
    <m/>
  </r>
  <r>
    <s v="csisson5h"/>
    <s v="moonfruit.com"/>
    <s v="Christabel"/>
    <s v="Sisson"/>
    <s v="Female"/>
    <s v="Female"/>
    <s v="175.238.105.126"/>
    <s v="133.222.4.109"/>
    <n v="198"/>
    <n v="198"/>
    <s v="NASDAQ"/>
    <s v="CCCR"/>
    <s v="China Commercial Credit, Inc."/>
    <x v="3"/>
    <s v="Major Banks"/>
    <s v="$53.7M"/>
    <n v="53700000"/>
    <n v="1769.69"/>
    <n v="2.6"/>
    <n v="121118394"/>
    <d v="2025-12-05T00:00:00"/>
    <s v="Complete"/>
    <m/>
  </r>
  <r>
    <s v="amalcolm5i"/>
    <s v="usa.gov"/>
    <s v="Aldridge"/>
    <s v="Malcolm"/>
    <s v="Polygender"/>
    <s v="Other"/>
    <s v="88.77.76.85"/>
    <s v="148.107.23.183"/>
    <n v="199"/>
    <n v="199"/>
    <s v="NASDAQ"/>
    <s v="OTTW"/>
    <s v="Ottawa Bancorp, Inc."/>
    <x v="3"/>
    <s v="Savings Institutions"/>
    <s v="$48.54M"/>
    <n v="48540000"/>
    <n v="1211.5999999999999"/>
    <n v="2.88"/>
    <n v="45151700"/>
    <d v="2025-04-20T00:00:00"/>
    <s v="Complete"/>
    <m/>
  </r>
  <r>
    <s v="cbenson5j"/>
    <s v="businessweek.com"/>
    <s v="Chloe"/>
    <s v="Benson"/>
    <s v="Female"/>
    <s v="Female"/>
    <s v="153.231.195.58"/>
    <s v="146.41.40.239"/>
    <n v="200"/>
    <n v="200"/>
    <s v="NYSE"/>
    <s v="PRE^G"/>
    <s v="PartnerRe Ltd."/>
    <x v="2"/>
    <s v="N/A"/>
    <s v="N/A"/>
    <n v="0"/>
    <n v="311.22000000000003"/>
    <n v="7.16"/>
    <n v="193778438"/>
    <d v="2022-11-19T00:00:00"/>
    <s v="Missing"/>
    <m/>
  </r>
  <r>
    <s v="astiger5k"/>
    <s v="jugem.jp"/>
    <s v="Ashli"/>
    <s v="Stiger"/>
    <s v="Female"/>
    <s v="Female"/>
    <s v="117.238.234.53"/>
    <s v="78.107.108.253"/>
    <n v="201"/>
    <n v="201"/>
    <s v="NASDAQ"/>
    <s v="SSBI"/>
    <s v="Summit State Bank"/>
    <x v="2"/>
    <s v="N/A"/>
    <s v="$78.86M"/>
    <n v="78860000"/>
    <n v="735.4"/>
    <n v="-9.84"/>
    <n v="168975603"/>
    <d v="2026-10-22T00:00:00"/>
    <s v="Missing"/>
    <m/>
  </r>
  <r>
    <s v="eklawi5l"/>
    <s v="guardian.co.uk"/>
    <s v="Elsie"/>
    <s v="Klawi"/>
    <s v="Female"/>
    <s v="Female"/>
    <s v="38.251.117.80"/>
    <s v="225.181.223.229"/>
    <n v="202"/>
    <n v="202"/>
    <s v="NYSE"/>
    <s v="PMC"/>
    <s v="Pharmerica Corporation"/>
    <x v="0"/>
    <s v="Medical/Nursing Services"/>
    <s v="$778.92M"/>
    <n v="778920000"/>
    <n v="1056.05"/>
    <n v="-14.44"/>
    <n v="146104870"/>
    <d v="2026-04-26T00:00:00"/>
    <s v="Complete"/>
    <m/>
  </r>
  <r>
    <s v="sarniz5m"/>
    <s v="bbc.co.uk"/>
    <s v="Sig"/>
    <s v="Arniz"/>
    <s v="Male"/>
    <s v="Male"/>
    <s v="136.81.60.171"/>
    <s v="90.244.20.197"/>
    <n v="203"/>
    <n v="203"/>
    <s v="NYSE"/>
    <s v="SHOP"/>
    <s v="Shopify Inc."/>
    <x v="4"/>
    <s v="Computer Software: Prepackaged Software"/>
    <s v="$7.35B"/>
    <n v="7350000000"/>
    <n v="1938.93"/>
    <n v="-19.72"/>
    <n v="158867679"/>
    <d v="2022-10-07T00:00:00"/>
    <s v="Complete"/>
    <m/>
  </r>
  <r>
    <s v="gsains5n"/>
    <s v="guardian.co.uk"/>
    <s v="Gianina"/>
    <s v="Sains"/>
    <s v="Genderfluid"/>
    <s v="Other"/>
    <s v="157.222.146.147"/>
    <s v="37.121.147.75"/>
    <n v="204"/>
    <n v="204"/>
    <s v="NYSE"/>
    <s v="FLOW"/>
    <s v="SPX FLOW, Inc."/>
    <x v="4"/>
    <s v="Industrial Machinery/Components"/>
    <s v="$1.64B"/>
    <n v="1640000000"/>
    <n v="685.09"/>
    <n v="-0.12"/>
    <n v="104718317"/>
    <d v="2021-05-17T00:00:00"/>
    <s v="Complete"/>
    <m/>
  </r>
  <r>
    <s v="hmcgready5o"/>
    <s v="examiner.com"/>
    <s v="Haley"/>
    <s v="McGready"/>
    <s v="Male"/>
    <s v="Male"/>
    <s v="171.120.250.155"/>
    <s v="39.229.87.62"/>
    <n v="205"/>
    <n v="205"/>
    <s v="NASDAQ"/>
    <s v="HOLI"/>
    <s v="Hollysys Automation Technologies, Ltd."/>
    <x v="9"/>
    <s v="Industrial Machinery/Components"/>
    <s v="$1.04B"/>
    <n v="1040000000"/>
    <n v="1265.19"/>
    <n v="14.92"/>
    <n v="28399264"/>
    <d v="2025-05-18T00:00:00"/>
    <s v="Complete"/>
    <m/>
  </r>
  <r>
    <s v="klegat5p"/>
    <s v="virginia.edu"/>
    <s v="Koenraad"/>
    <s v="Legat"/>
    <s v="Male"/>
    <s v="Male"/>
    <s v="208.13.146.107"/>
    <s v="30.114.109.236"/>
    <n v="206"/>
    <n v="206"/>
    <s v="NYSE"/>
    <s v="NNC"/>
    <s v="Nuveen North Carolina Quality Municipal Income Fd"/>
    <x v="2"/>
    <s v="N/A"/>
    <s v="$220.34M"/>
    <n v="220340000"/>
    <n v="135.71"/>
    <n v="-8.69"/>
    <n v="174112700"/>
    <d v="2021-11-24T00:00:00"/>
    <s v="Missing"/>
    <m/>
  </r>
  <r>
    <s v="cmonte5q"/>
    <s v="salon.com"/>
    <s v="Clerissa"/>
    <s v="Monte"/>
    <s v="Female"/>
    <s v="Female"/>
    <s v="37.0.58.139"/>
    <s v="193.196.171.3"/>
    <n v="207"/>
    <n v="207"/>
    <s v="NYSE"/>
    <s v="REXR^A"/>
    <s v="Rexford Industrial Realty, Inc."/>
    <x v="2"/>
    <s v="N/A"/>
    <s v="N/A"/>
    <n v="0"/>
    <n v="1055.17"/>
    <n v="-8.27"/>
    <n v="186629318"/>
    <d v="2022-07-31T00:00:00"/>
    <s v="Missing"/>
    <m/>
  </r>
  <r>
    <s v="cmaginn5r"/>
    <s v="oracle.com"/>
    <s v="Colin"/>
    <s v="Maginn"/>
    <s v="Male"/>
    <s v="Male"/>
    <s v="40.159.245.201"/>
    <s v="60.106.12.40"/>
    <n v="208"/>
    <n v="208"/>
    <s v="NASDAQ"/>
    <s v="KINS"/>
    <s v="Kingstone Companies, Inc"/>
    <x v="3"/>
    <s v="Property-Casualty Insurers"/>
    <s v="$166.26M"/>
    <n v="166260000"/>
    <n v="568.4"/>
    <n v="-17.09"/>
    <n v="120990808"/>
    <d v="2022-10-16T00:00:00"/>
    <s v="Complete"/>
    <m/>
  </r>
  <r>
    <s v="gblackley5s"/>
    <s v="biblegateway.com"/>
    <s v="Gertie"/>
    <s v="Blackley"/>
    <s v="Female"/>
    <s v="Female"/>
    <s v="121.105.204.91"/>
    <s v="214.215.170.64"/>
    <n v="209"/>
    <n v="209"/>
    <s v="NYSE"/>
    <s v="TAL"/>
    <s v="TAL Education Group"/>
    <x v="6"/>
    <s v="Other Consumer Services"/>
    <s v="$9.56B"/>
    <n v="9560000000"/>
    <n v="750.03"/>
    <n v="-0.62"/>
    <n v="88680172"/>
    <d v="2024-05-03T00:00:00"/>
    <s v="Complete"/>
    <m/>
  </r>
  <r>
    <s v="lsaul5t"/>
    <s v="ca.gov"/>
    <s v="Lil"/>
    <s v="Saul"/>
    <s v="Female"/>
    <s v="Female"/>
    <s v="207.110.43.19"/>
    <s v="170.160.201.44"/>
    <n v="210"/>
    <n v="210"/>
    <s v="NYSE"/>
    <s v="JPM.WS"/>
    <s v="J P Morgan Chase &amp; Co"/>
    <x v="2"/>
    <s v="N/A"/>
    <s v="N/A"/>
    <n v="0"/>
    <n v="752.44"/>
    <n v="-17.12"/>
    <n v="96196896"/>
    <d v="2024-10-22T00:00:00"/>
    <s v="Missing"/>
    <m/>
  </r>
  <r>
    <s v="bhorburgh5u"/>
    <s v="scientificamerican.com"/>
    <s v="Bone"/>
    <s v="Horburgh"/>
    <s v="Male"/>
    <s v="Male"/>
    <s v="73.199.213.149"/>
    <s v="98.197.206.203"/>
    <n v="211"/>
    <n v="211"/>
    <s v="NASDAQ"/>
    <s v="CPST"/>
    <s v="Capstone Turbine Corporation"/>
    <x v="9"/>
    <s v="Industrial Machinery/Components"/>
    <s v="$28.65M"/>
    <n v="28650000"/>
    <n v="1513.57"/>
    <n v="10.47"/>
    <n v="194146331"/>
    <d v="2024-07-23T00:00:00"/>
    <s v="Complete"/>
    <m/>
  </r>
  <r>
    <s v="mcoarser5v"/>
    <s v="google.ca"/>
    <s v="Marcellina"/>
    <s v="Coarser"/>
    <s v="Female"/>
    <s v="Female"/>
    <s v="13.134.82.33"/>
    <s v="197.231.141.99"/>
    <n v="212"/>
    <n v="212"/>
    <s v="NASDAQ"/>
    <s v="HOTRW"/>
    <s v="Chanticleer Holdings, Inc."/>
    <x v="6"/>
    <s v="Restaurants"/>
    <s v="N/A"/>
    <n v="0"/>
    <n v="725.23"/>
    <n v="5.74"/>
    <n v="104670967"/>
    <d v="2022-04-04T00:00:00"/>
    <s v="Missing"/>
    <m/>
  </r>
  <r>
    <s v="mhaughey5w"/>
    <s v="angelfire.com"/>
    <s v="Mathian"/>
    <s v="Haughey"/>
    <s v="Genderqueer"/>
    <s v="Other"/>
    <s v="161.55.211.252"/>
    <s v="32.150.228.117"/>
    <n v="213"/>
    <n v="213"/>
    <s v="NASDAQ"/>
    <s v="SPKE"/>
    <s v="Spark Energy, Inc."/>
    <x v="8"/>
    <s v="Power Generation"/>
    <s v="$806.93M"/>
    <n v="806930000"/>
    <n v="1589.43"/>
    <n v="2.86"/>
    <n v="173240675"/>
    <d v="2021-12-14T00:00:00"/>
    <s v="Complete"/>
    <m/>
  </r>
  <r>
    <s v="hwaller5x"/>
    <s v="washington.edu"/>
    <s v="Hillie"/>
    <s v="Waller"/>
    <s v="Male"/>
    <s v="Male"/>
    <s v="160.166.188.110"/>
    <s v="250.172.45.175"/>
    <n v="214"/>
    <n v="214"/>
    <s v="NASDAQ"/>
    <s v="NCIT"/>
    <s v="NCI, Inc."/>
    <x v="4"/>
    <s v="EDP Services"/>
    <s v="$276.46M"/>
    <n v="276460000"/>
    <n v="293.08999999999997"/>
    <n v="-17.97"/>
    <n v="75958678"/>
    <d v="2024-03-29T00:00:00"/>
    <s v="Complete"/>
    <m/>
  </r>
  <r>
    <s v="gfoote5y"/>
    <s v="last.fm"/>
    <s v="Guglielmo"/>
    <s v="Foote"/>
    <s v="Male"/>
    <s v="Male"/>
    <s v="19.171.150.188"/>
    <s v="226.57.149.74"/>
    <n v="215"/>
    <n v="215"/>
    <s v="NYSE"/>
    <s v="STE"/>
    <s v="STERIS plc"/>
    <x v="0"/>
    <s v="Industrial Specialties"/>
    <s v="$6.96B"/>
    <n v="6960000000"/>
    <n v="609.86"/>
    <n v="-13.81"/>
    <n v="93821861"/>
    <d v="2022-08-29T00:00:00"/>
    <s v="Complete"/>
    <m/>
  </r>
  <r>
    <s v="sparris5z"/>
    <s v="vinaora.com"/>
    <s v="Starla"/>
    <s v="Parris"/>
    <s v="Female"/>
    <s v="Female"/>
    <s v="17.187.37.250"/>
    <s v="144.14.127.211"/>
    <n v="216"/>
    <n v="216"/>
    <s v="NASDAQ"/>
    <s v="VIIZ"/>
    <s v="VelocityShares VIX Medium-Term ETN"/>
    <x v="3"/>
    <s v="Investment Bankers/Brokers/Service"/>
    <s v="$1.14M"/>
    <n v="1140000"/>
    <n v="906.3"/>
    <n v="5.28"/>
    <n v="75092856"/>
    <d v="2026-11-04T00:00:00"/>
    <s v="Complete"/>
    <m/>
  </r>
  <r>
    <s v="tbrewin60"/>
    <s v="diigo.com"/>
    <s v="Tann"/>
    <s v="Brewin"/>
    <s v="Male"/>
    <s v="Male"/>
    <s v="68.204.229.240"/>
    <s v="241.253.52.142"/>
    <n v="217"/>
    <n v="217"/>
    <s v="NYSE"/>
    <s v="LGF.A"/>
    <s v="Lions Gate Entertainment Corporation"/>
    <x v="2"/>
    <s v="N/A"/>
    <s v="N/A"/>
    <n v="0"/>
    <n v="380.45"/>
    <n v="2.44"/>
    <n v="11316900"/>
    <d v="2021-09-09T00:00:00"/>
    <s v="Missing"/>
    <m/>
  </r>
  <r>
    <s v="anitti61"/>
    <s v="earthlink.net"/>
    <s v="Adelina"/>
    <s v="Nitti"/>
    <s v="Female"/>
    <s v="Female"/>
    <s v="35.89.190.2"/>
    <s v="240.150.198.239"/>
    <n v="218"/>
    <n v="218"/>
    <s v="NYSE"/>
    <s v="KEY"/>
    <s v="KeyCorp"/>
    <x v="3"/>
    <s v="Major Banks"/>
    <s v="$20.32B"/>
    <n v="20320000000"/>
    <n v="1098.73"/>
    <n v="13.59"/>
    <n v="71904162"/>
    <d v="2022-08-15T00:00:00"/>
    <s v="Complete"/>
    <m/>
  </r>
  <r>
    <s v="cather62"/>
    <s v="hao123.com"/>
    <s v="Cele"/>
    <s v="Ather"/>
    <s v="Female"/>
    <s v="Female"/>
    <s v="62.171.223.17"/>
    <s v="35.110.127.5"/>
    <n v="219"/>
    <n v="219"/>
    <s v="NYSE"/>
    <s v="BAK"/>
    <s v="Braskem S.A."/>
    <x v="10"/>
    <s v="Major Chemicals"/>
    <s v="$7.97B"/>
    <n v="7970000000"/>
    <n v="1385.27"/>
    <n v="-6.82"/>
    <n v="86721365"/>
    <d v="2022-09-20T00:00:00"/>
    <s v="Complete"/>
    <m/>
  </r>
  <r>
    <s v="jdinan63"/>
    <s v="amazon.com"/>
    <s v="Jerrome"/>
    <s v="Dinan"/>
    <s v="Male"/>
    <s v="Male"/>
    <s v="129.141.7.161"/>
    <s v="48.162.193.165"/>
    <n v="220"/>
    <n v="220"/>
    <s v="NASDAQ"/>
    <s v="VIA"/>
    <s v="Viacom Inc."/>
    <x v="6"/>
    <s v="Television Services"/>
    <s v="$15.55B"/>
    <n v="15550000000"/>
    <n v="1715.81"/>
    <n v="-2.85"/>
    <n v="91894325"/>
    <d v="2025-02-18T00:00:00"/>
    <s v="Complete"/>
    <m/>
  </r>
  <r>
    <s v="sewles64"/>
    <s v="newsvine.com"/>
    <s v="Shoshana"/>
    <s v="Ewles"/>
    <s v="Female"/>
    <s v="Female"/>
    <s v="213.218.64.59"/>
    <s v="81.143.251.199"/>
    <n v="221"/>
    <n v="221"/>
    <s v="NYSE"/>
    <s v="DST"/>
    <s v="DST Systems, Inc."/>
    <x v="4"/>
    <s v="EDP Services"/>
    <s v="$7.32B"/>
    <n v="7320000000"/>
    <n v="1990.49"/>
    <n v="-3.11"/>
    <n v="39680077"/>
    <d v="2021-08-21T00:00:00"/>
    <s v="Complete"/>
    <m/>
  </r>
  <r>
    <s v="kmaccosto65"/>
    <s v="howstuffworks.com"/>
    <s v="Koenraad"/>
    <s v="MacCosto"/>
    <s v="Male"/>
    <s v="Male"/>
    <s v="80.24.155.212"/>
    <s v="236.132.50.198"/>
    <n v="222"/>
    <n v="222"/>
    <s v="NYSE"/>
    <s v="TCF^B"/>
    <s v="TCF Financial Corporation"/>
    <x v="2"/>
    <s v="N/A"/>
    <s v="N/A"/>
    <n v="0"/>
    <n v="678.95"/>
    <n v="0.94"/>
    <n v="49785779"/>
    <d v="2020-05-08T00:00:00"/>
    <s v="Missing"/>
    <m/>
  </r>
  <r>
    <s v="msneesbie66"/>
    <s v="pbs.org"/>
    <s v="Marylee"/>
    <s v="Sneesbie"/>
    <s v="Female"/>
    <s v="Female"/>
    <s v="230.121.177.203"/>
    <s v="216.104.142.52"/>
    <n v="223"/>
    <n v="223"/>
    <s v="NASDAQ"/>
    <s v="TANNL"/>
    <s v="TravelCenters of America LLC"/>
    <x v="11"/>
    <s v="Automotive Aftermarket"/>
    <s v="N/A"/>
    <n v="0"/>
    <n v="1701.73"/>
    <n v="-15.48"/>
    <n v="115255728"/>
    <d v="2025-11-09T00:00:00"/>
    <s v="Missing"/>
    <m/>
  </r>
  <r>
    <s v="edecaze67"/>
    <s v="sogou.com"/>
    <s v="Ebony"/>
    <s v="Decaze"/>
    <s v="Female"/>
    <s v="Female"/>
    <s v="241.5.148.184"/>
    <s v="40.192.48.6"/>
    <n v="224"/>
    <n v="224"/>
    <s v="NASDAQ"/>
    <s v="AMCN"/>
    <s v="AirMedia Group Inc"/>
    <x v="4"/>
    <s v="Advertising"/>
    <s v="$95.78M"/>
    <n v="95780000"/>
    <n v="1439.11"/>
    <n v="4.21"/>
    <n v="93460219"/>
    <d v="2021-03-31T00:00:00"/>
    <s v="Complete"/>
    <m/>
  </r>
  <r>
    <s v="jdauncey68"/>
    <s v="mysql.com"/>
    <s v="Jory"/>
    <s v="Dauncey"/>
    <s v="Male"/>
    <s v="Male"/>
    <s v="125.218.171.82"/>
    <s v="46.235.52.236"/>
    <n v="225"/>
    <n v="225"/>
    <s v="NASDAQ"/>
    <s v="NTNX"/>
    <s v="Nutanix, Inc."/>
    <x v="4"/>
    <s v="Computer Software: Prepackaged Software"/>
    <s v="$2.68B"/>
    <n v="2680000000"/>
    <n v="639.75"/>
    <n v="-10.32"/>
    <n v="126998874"/>
    <d v="2023-10-29T00:00:00"/>
    <s v="Complete"/>
    <m/>
  </r>
  <r>
    <s v="bgylle69"/>
    <s v="house.gov"/>
    <s v="Briana"/>
    <s v="Gylle"/>
    <s v="Female"/>
    <s v="Female"/>
    <s v="87.76.36.125"/>
    <s v="212.86.231.117"/>
    <n v="226"/>
    <n v="226"/>
    <s v="NASDAQ"/>
    <s v="BSTG"/>
    <s v="Biostage, Inc."/>
    <x v="0"/>
    <s v="Medical/Dental Instruments"/>
    <s v="$12.03M"/>
    <n v="12030000"/>
    <n v="74.099999999999994"/>
    <n v="16.36"/>
    <n v="33732261"/>
    <d v="2021-04-29T00:00:00"/>
    <s v="Complete"/>
    <m/>
  </r>
  <r>
    <s v="hkuhle6a"/>
    <s v="walmart.com"/>
    <s v="Hyacintha"/>
    <s v="Kuhle"/>
    <s v="Female"/>
    <s v="Female"/>
    <s v="158.167.0.121"/>
    <s v="182.9.83.111"/>
    <n v="227"/>
    <n v="227"/>
    <s v="NASDAQ"/>
    <s v="FRBA"/>
    <s v="First Bank"/>
    <x v="2"/>
    <s v="N/A"/>
    <s v="$137.6M"/>
    <n v="137600000"/>
    <n v="339.58"/>
    <n v="15.87"/>
    <n v="15801277"/>
    <d v="2021-03-25T00:00:00"/>
    <s v="Missing"/>
    <m/>
  </r>
  <r>
    <s v="rpetigrew6b"/>
    <s v="arstechnica.com"/>
    <s v="Rustie"/>
    <s v="Petigrew"/>
    <s v="Male"/>
    <s v="Male"/>
    <s v="54.59.11.21"/>
    <s v="203.133.236.240"/>
    <n v="228"/>
    <n v="228"/>
    <s v="NYSE"/>
    <s v="SCM"/>
    <s v="Stellus Capital Investment Corporation"/>
    <x v="2"/>
    <s v="N/A"/>
    <s v="$213.68M"/>
    <n v="213680000"/>
    <n v="1816.91"/>
    <n v="9.16"/>
    <n v="188828416"/>
    <d v="2020-12-07T00:00:00"/>
    <s v="Missing"/>
    <m/>
  </r>
  <r>
    <s v="tvolant6c"/>
    <s v="quantcast.com"/>
    <s v="Torey"/>
    <s v="Volant"/>
    <s v="Female"/>
    <s v="Female"/>
    <s v="215.220.238.216"/>
    <s v="36.71.33.248"/>
    <n v="229"/>
    <n v="229"/>
    <s v="NYSE"/>
    <s v="PSA^Z"/>
    <s v="Public Storage"/>
    <x v="2"/>
    <s v="N/A"/>
    <s v="N/A"/>
    <n v="0"/>
    <n v="1512.34"/>
    <n v="-14.47"/>
    <n v="132689098"/>
    <d v="2023-03-05T00:00:00"/>
    <s v="Missing"/>
    <m/>
  </r>
  <r>
    <s v="ajezzard6d"/>
    <s v="artisteer.com"/>
    <s v="Antony"/>
    <s v="Jezzard"/>
    <s v="Male"/>
    <s v="Male"/>
    <s v="85.201.185.243"/>
    <s v="66.225.207.129"/>
    <n v="230"/>
    <n v="230"/>
    <s v="NYSE"/>
    <s v="EEA"/>
    <s v="European Equity Fund, Inc. (The)"/>
    <x v="2"/>
    <s v="N/A"/>
    <s v="$75.98M"/>
    <n v="75980000"/>
    <n v="516.26"/>
    <n v="-4.34"/>
    <n v="194945150"/>
    <d v="2021-07-30T00:00:00"/>
    <s v="Missing"/>
    <m/>
  </r>
  <r>
    <s v="wwhyke6e"/>
    <s v="t.co"/>
    <s v="Wilona"/>
    <s v="Whyke"/>
    <s v="Genderqueer"/>
    <s v="Other"/>
    <s v="206.230.157.64"/>
    <s v="134.171.74.186"/>
    <n v="231"/>
    <n v="231"/>
    <s v="NASDAQ"/>
    <s v="QBAK"/>
    <s v="Qualstar Corporation"/>
    <x v="4"/>
    <s v="Electronic Components"/>
    <s v="$11.21M"/>
    <n v="11210000"/>
    <n v="1897.14"/>
    <n v="-19.93"/>
    <n v="44436998"/>
    <d v="2022-01-10T00:00:00"/>
    <s v="Complete"/>
    <m/>
  </r>
  <r>
    <s v="pconnah6f"/>
    <s v="g.co"/>
    <s v="Paloma"/>
    <s v="Connah"/>
    <s v="Female"/>
    <s v="Female"/>
    <s v="150.1.230.85"/>
    <s v="199.149.116.226"/>
    <n v="232"/>
    <n v="232"/>
    <s v="NYSE"/>
    <s v="MN"/>
    <s v="Manning &amp; Napier, Inc."/>
    <x v="3"/>
    <s v="Investment Managers"/>
    <s v="$63.23M"/>
    <n v="63230000"/>
    <n v="1605.73"/>
    <n v="-7.38"/>
    <n v="132693108"/>
    <d v="2026-07-11T00:00:00"/>
    <s v="Complete"/>
    <m/>
  </r>
  <r>
    <s v="iflowitt6g"/>
    <s v="bloomberg.com"/>
    <s v="Ignaz"/>
    <s v="Flowitt"/>
    <s v="Male"/>
    <s v="Male"/>
    <s v="103.206.162.188"/>
    <s v="92.153.241.24"/>
    <n v="233"/>
    <n v="233"/>
    <s v="NASDAQ"/>
    <s v="PMD"/>
    <s v="Psychemedics Corporation"/>
    <x v="0"/>
    <s v="Medical Specialities"/>
    <s v="$118.92M"/>
    <n v="118920000"/>
    <n v="942.14"/>
    <n v="-9.36"/>
    <n v="147992187"/>
    <d v="2022-12-29T00:00:00"/>
    <s v="Complete"/>
    <m/>
  </r>
  <r>
    <s v="gwetter6h"/>
    <s v="123-reg.co.uk"/>
    <s v="Germayne"/>
    <s v="Wetter"/>
    <s v="Male"/>
    <s v="Male"/>
    <s v="14.123.138.116"/>
    <s v="78.122.225.191"/>
    <n v="234"/>
    <n v="234"/>
    <s v="NASDAQ"/>
    <s v="APOP"/>
    <s v="Cellect Biotechnology Ltd."/>
    <x v="2"/>
    <s v="N/A"/>
    <s v="$43.5M"/>
    <n v="43500000"/>
    <n v="631.92999999999995"/>
    <n v="4.54"/>
    <n v="66861912"/>
    <d v="2026-12-11T00:00:00"/>
    <s v="Missing"/>
    <m/>
  </r>
  <r>
    <s v="scobson6i"/>
    <s v="hibu.com"/>
    <s v="Sherlocke"/>
    <s v="Cobson"/>
    <s v="Male"/>
    <s v="Male"/>
    <s v="223.170.98.134"/>
    <s v="202.12.175.1"/>
    <n v="235"/>
    <n v="235"/>
    <s v="NASDAQ"/>
    <s v="ABTX"/>
    <s v="Allegiance Bancshares, Inc."/>
    <x v="3"/>
    <s v="Major Banks"/>
    <s v="$514.79M"/>
    <n v="514789999.99999994"/>
    <n v="505.17"/>
    <n v="-0.54"/>
    <n v="131988946"/>
    <d v="2020-10-18T00:00:00"/>
    <s v="Complete"/>
    <m/>
  </r>
  <r>
    <s v="availlant6j"/>
    <s v="smh.com.au"/>
    <s v="Alta"/>
    <s v="Vaillant"/>
    <s v="Female"/>
    <s v="Female"/>
    <s v="82.36.114.163"/>
    <s v="159.218.146.182"/>
    <n v="236"/>
    <n v="236"/>
    <s v="NYSE"/>
    <s v="CIG"/>
    <s v="Comp En De Mn Cemig ADS"/>
    <x v="8"/>
    <s v="Electric Utilities: Central"/>
    <s v="$2.9B"/>
    <n v="2900000000"/>
    <n v="530.78"/>
    <n v="-15.91"/>
    <n v="74517302"/>
    <d v="2024-04-24T00:00:00"/>
    <s v="Complete"/>
    <m/>
  </r>
  <r>
    <s v="gpicott6k"/>
    <s v="hc360.com"/>
    <s v="Gerri"/>
    <s v="Picott"/>
    <s v="Male"/>
    <s v="Male"/>
    <s v="83.231.252.98"/>
    <s v="195.216.199.226"/>
    <n v="237"/>
    <n v="237"/>
    <s v="NASDAQ"/>
    <s v="TENX"/>
    <s v="Tenax Therapeutics, Inc."/>
    <x v="0"/>
    <s v="Biotechnology: Commercial Physical &amp; Biological Resarch"/>
    <s v="$14.89M"/>
    <n v="14890000"/>
    <n v="1927.7"/>
    <n v="0.89"/>
    <n v="82217388"/>
    <d v="2020-07-12T00:00:00"/>
    <s v="Complete"/>
    <m/>
  </r>
  <r>
    <s v="prubanenko6l"/>
    <s v="mit.edu"/>
    <s v="Papageno"/>
    <s v="Rubanenko"/>
    <s v="Male"/>
    <s v="Male"/>
    <s v="244.100.223.115"/>
    <s v="158.136.120.42"/>
    <n v="238"/>
    <n v="238"/>
    <s v="NASDAQ"/>
    <s v="CHKP"/>
    <s v="Check Point Software Technologies Ltd."/>
    <x v="4"/>
    <s v="Computer Software: Prepackaged Software"/>
    <s v="$18.26B"/>
    <n v="18260000000"/>
    <n v="1546.37"/>
    <n v="14.4"/>
    <n v="171784911"/>
    <d v="2025-06-12T00:00:00"/>
    <s v="Complete"/>
    <m/>
  </r>
  <r>
    <s v="svonsalzberg6m"/>
    <s v="dion.ne.jp"/>
    <s v="Sam"/>
    <s v="Von Salzberg"/>
    <s v="Female"/>
    <s v="Female"/>
    <s v="172.61.183.113"/>
    <s v="20.218.215.99"/>
    <n v="239"/>
    <n v="239"/>
    <s v="NASDAQ"/>
    <s v="BJRI"/>
    <s v="BJ's Restaurants, Inc."/>
    <x v="6"/>
    <s v="Restaurants"/>
    <s v="$834.31M"/>
    <n v="834310000"/>
    <n v="1872.68"/>
    <n v="-13.81"/>
    <n v="159454011"/>
    <d v="2023-12-18T00:00:00"/>
    <s v="Complete"/>
    <m/>
  </r>
  <r>
    <s v="vzanassi6n"/>
    <s v="nhs.uk"/>
    <s v="Vicky"/>
    <s v="Zanassi"/>
    <s v="Female"/>
    <s v="Female"/>
    <s v="249.8.150.221"/>
    <s v="124.150.223.151"/>
    <n v="240"/>
    <n v="240"/>
    <s v="NASDAQ"/>
    <s v="PRGS"/>
    <s v="Progress Software Corporation"/>
    <x v="4"/>
    <s v="Computer Software: Prepackaged Software"/>
    <s v="$1.41B"/>
    <n v="1410000000"/>
    <n v="1790.46"/>
    <n v="-6.82"/>
    <n v="148541591"/>
    <d v="2023-09-30T00:00:00"/>
    <s v="Complete"/>
    <m/>
  </r>
  <r>
    <s v="aembleton6o"/>
    <s v="foxnews.com"/>
    <s v="Aldridge"/>
    <s v="Embleton"/>
    <s v="Male"/>
    <s v="Male"/>
    <s v="0.198.252.127"/>
    <s v="149.28.169.238"/>
    <n v="241"/>
    <n v="241"/>
    <s v="NASDAQ"/>
    <s v="QURE"/>
    <s v="uniQure N.V."/>
    <x v="0"/>
    <s v="Major Pharmaceuticals"/>
    <s v="$127.38M"/>
    <n v="127380000"/>
    <n v="817.08"/>
    <n v="-11.46"/>
    <n v="161408576"/>
    <d v="2026-12-18T00:00:00"/>
    <s v="Complete"/>
    <m/>
  </r>
  <r>
    <s v="hmccoll6p"/>
    <s v="ebay.co.uk"/>
    <s v="Hermina"/>
    <s v="McColl"/>
    <s v="Female"/>
    <s v="Female"/>
    <s v="188.227.224.70"/>
    <s v="218.157.40.123"/>
    <n v="242"/>
    <n v="242"/>
    <s v="NASDAQ"/>
    <s v="DLTR"/>
    <s v="Dollar Tree, Inc."/>
    <x v="6"/>
    <s v="Department/Specialty Retail Stores"/>
    <s v="$16.58B"/>
    <n v="16579999999.999998"/>
    <n v="1991.59"/>
    <n v="19.239999999999998"/>
    <n v="85510570"/>
    <d v="2023-11-06T00:00:00"/>
    <s v="Complete"/>
    <m/>
  </r>
  <r>
    <s v="gscotson6q"/>
    <s v="mashable.com"/>
    <s v="Gavin"/>
    <s v="Scotson"/>
    <s v="Male"/>
    <s v="Male"/>
    <s v="140.255.221.176"/>
    <s v="168.134.154.51"/>
    <n v="243"/>
    <n v="243"/>
    <s v="NASDAQ"/>
    <s v="QSII"/>
    <s v="Quality Systems, Inc."/>
    <x v="4"/>
    <s v="EDP Services"/>
    <s v="$1.07B"/>
    <n v="1070000000.0000001"/>
    <n v="46.44"/>
    <n v="-2.74"/>
    <n v="174637528"/>
    <d v="2023-10-17T00:00:00"/>
    <s v="Complete"/>
    <m/>
  </r>
  <r>
    <s v="gperfect6r"/>
    <s v="army.mil"/>
    <s v="Gabriellia"/>
    <s v="Perfect"/>
    <s v="Female"/>
    <s v="Female"/>
    <s v="22.215.8.5"/>
    <s v="15.63.247.166"/>
    <n v="244"/>
    <n v="244"/>
    <s v="NASDAQ"/>
    <s v="FFBC"/>
    <s v="First Financial Bancorp."/>
    <x v="3"/>
    <s v="Major Banks"/>
    <s v="$1.7B"/>
    <n v="1700000000"/>
    <n v="582.65"/>
    <n v="4.54"/>
    <n v="120542934"/>
    <d v="2026-06-13T00:00:00"/>
    <s v="Complete"/>
    <m/>
  </r>
  <r>
    <s v="djuett6s"/>
    <s v="shareasale.com"/>
    <s v="Darya"/>
    <s v="Juett"/>
    <s v="Female"/>
    <s v="Female"/>
    <s v="66.7.49.117"/>
    <s v="35.105.100.6"/>
    <n v="245"/>
    <n v="245"/>
    <s v="NASDAQ"/>
    <s v="OHGI"/>
    <s v="One Horizon Group, Inc."/>
    <x v="8"/>
    <s v="Telecommunications Equipment"/>
    <s v="$5.79M"/>
    <n v="5790000"/>
    <n v="1485.9"/>
    <n v="15.63"/>
    <n v="38195132"/>
    <d v="2020-01-24T00:00:00"/>
    <s v="Complete"/>
    <m/>
  </r>
  <r>
    <s v="acharlton6t"/>
    <s v="earthlink.net"/>
    <s v="Arline"/>
    <s v="Charlton"/>
    <s v="Female"/>
    <s v="Female"/>
    <s v="156.73.254.8"/>
    <s v="12.170.110.162"/>
    <n v="246"/>
    <n v="246"/>
    <s v="NASDAQ"/>
    <s v="TORM          "/>
    <s v="TOR Minerals International Inc"/>
    <x v="10"/>
    <s v="Major Chemicals"/>
    <s v="$26.92M"/>
    <n v="26920000"/>
    <n v="218.89"/>
    <n v="-9.69"/>
    <n v="146861788"/>
    <d v="2022-09-19T00:00:00"/>
    <s v="Complete"/>
    <m/>
  </r>
  <r>
    <s v="wmcilrath6u"/>
    <s v="disqus.com"/>
    <s v="Wynny"/>
    <s v="McIlrath"/>
    <s v="Female"/>
    <s v="Female"/>
    <s v="2.124.23.162"/>
    <s v="179.194.117.200"/>
    <n v="247"/>
    <n v="247"/>
    <s v="NASDAQ"/>
    <s v="EDUC"/>
    <s v="Educational Development Corporation"/>
    <x v="11"/>
    <s v="Consumer Specialties"/>
    <s v="$42.15M"/>
    <n v="42150000"/>
    <n v="1019.85"/>
    <n v="-15.03"/>
    <n v="174041138"/>
    <d v="2025-01-15T00:00:00"/>
    <s v="Complete"/>
    <m/>
  </r>
  <r>
    <s v="tclines6v"/>
    <s v="weibo.com"/>
    <s v="Thorstein"/>
    <s v="Clines"/>
    <s v="Male"/>
    <s v="Male"/>
    <s v="20.223.23.213"/>
    <s v="62.61.107.214"/>
    <n v="248"/>
    <n v="248"/>
    <s v="NYSE"/>
    <s v="ANTX"/>
    <s v="Anthem, Inc."/>
    <x v="0"/>
    <s v="Medical Specialities"/>
    <s v="$13.93B"/>
    <n v="13930000000"/>
    <n v="837.72"/>
    <n v="-8.6"/>
    <n v="104148590"/>
    <d v="2020-06-27T00:00:00"/>
    <s v="Complete"/>
    <m/>
  </r>
  <r>
    <s v="jellingworth6w"/>
    <s v="ask.com"/>
    <s v="Jaime"/>
    <s v="Ellingworth"/>
    <s v="Male"/>
    <s v="Male"/>
    <s v="190.154.43.78"/>
    <s v="122.116.26.67"/>
    <n v="249"/>
    <n v="249"/>
    <s v="NYSE"/>
    <s v="CIE"/>
    <s v="Cobalt International Energy, Inc."/>
    <x v="9"/>
    <s v="Oil &amp; Gas Production"/>
    <s v="$93.34M"/>
    <n v="93340000"/>
    <n v="912.7"/>
    <n v="-17.18"/>
    <n v="182719655"/>
    <d v="2026-02-11T00:00:00"/>
    <s v="Complete"/>
    <m/>
  </r>
  <r>
    <s v="gbidgood6x"/>
    <s v="homestead.com"/>
    <s v="Gabriell"/>
    <s v="Bidgood"/>
    <s v="Female"/>
    <s v="Female"/>
    <s v="222.169.44.37"/>
    <s v="228.185.184.196"/>
    <n v="250"/>
    <n v="250"/>
    <s v="NYSE"/>
    <s v="RFP"/>
    <s v="Resolute Forest Products Inc."/>
    <x v="10"/>
    <s v="Paper"/>
    <s v="$413.36M"/>
    <n v="413360000"/>
    <n v="536.12"/>
    <n v="-16.02"/>
    <n v="92757153"/>
    <d v="2024-08-25T00:00:00"/>
    <s v="Complete"/>
    <m/>
  </r>
  <r>
    <s v="cfeldhuhn6y"/>
    <s v="vistaprint.com"/>
    <s v="Cristabel"/>
    <s v="Feldhuhn"/>
    <s v="Female"/>
    <s v="Female"/>
    <s v="151.187.97.128"/>
    <s v="41.26.149.101"/>
    <n v="251"/>
    <n v="251"/>
    <s v="NYSE"/>
    <s v="DRH"/>
    <s v="Diamondrock Hospitality Company"/>
    <x v="6"/>
    <s v="Real Estate Investment Trusts"/>
    <s v="$2.32B"/>
    <n v="2320000000"/>
    <n v="262.27999999999997"/>
    <n v="-1.78"/>
    <n v="45452202"/>
    <d v="2021-07-23T00:00:00"/>
    <s v="Complete"/>
    <m/>
  </r>
  <r>
    <s v="dmacafee6z"/>
    <s v="spotify.com"/>
    <s v="Delmar"/>
    <s v="MacAfee"/>
    <s v="Male"/>
    <s v="Male"/>
    <s v="193.230.254.19"/>
    <s v="97.157.15.55"/>
    <n v="252"/>
    <n v="252"/>
    <s v="NASDAQ"/>
    <s v="FV"/>
    <s v="First Trust Dorsey Wright Focus 5 ETF"/>
    <x v="2"/>
    <s v="N/A"/>
    <s v="$2.46B"/>
    <n v="2460000000"/>
    <n v="1518.74"/>
    <n v="17.32"/>
    <n v="98631988"/>
    <d v="2022-11-24T00:00:00"/>
    <s v="Missing"/>
    <m/>
  </r>
  <r>
    <s v="jtrevaskiss70"/>
    <s v="slideshare.net"/>
    <s v="Jonell"/>
    <s v="Trevaskiss"/>
    <s v="Female"/>
    <s v="Female"/>
    <s v="167.47.52.59"/>
    <s v="45.122.54.108"/>
    <n v="253"/>
    <n v="253"/>
    <s v="NASDAQ"/>
    <s v="CTRV"/>
    <s v="ContraVir Pharmaceuticals Inc"/>
    <x v="0"/>
    <s v="Major Pharmaceuticals"/>
    <s v="$47.48M"/>
    <n v="47480000"/>
    <n v="1553.75"/>
    <n v="-4.25"/>
    <n v="184307504"/>
    <d v="2023-04-03T00:00:00"/>
    <s v="Complete"/>
    <m/>
  </r>
  <r>
    <s v="athonger71"/>
    <s v="ucoz.com"/>
    <s v="August"/>
    <s v="Thonger"/>
    <s v="Bigender"/>
    <s v="Other"/>
    <s v="64.221.94.138"/>
    <s v="24.251.92.224"/>
    <n v="254"/>
    <n v="254"/>
    <s v="NYSE"/>
    <s v="MYN"/>
    <s v="Blackrock MuniYield New York Quality Fund, Inc."/>
    <x v="2"/>
    <s v="N/A"/>
    <s v="$520.17M"/>
    <n v="520169999.99999994"/>
    <n v="1823.97"/>
    <n v="-3.02"/>
    <n v="55587553"/>
    <d v="2025-07-21T00:00:00"/>
    <s v="Missing"/>
    <m/>
  </r>
  <r>
    <s v="tmulcahy72"/>
    <s v="elegantthemes.com"/>
    <s v="Tybie"/>
    <s v="Mulcahy"/>
    <s v="Female"/>
    <s v="Female"/>
    <s v="162.237.62.156"/>
    <s v="201.1.91.166"/>
    <n v="255"/>
    <n v="255"/>
    <s v="NYSE"/>
    <s v="CRY"/>
    <s v="CryoLife, Inc."/>
    <x v="0"/>
    <s v="Medical/Dental Instruments"/>
    <s v="$615.32M"/>
    <n v="615320000"/>
    <n v="1343.1"/>
    <n v="-17.8"/>
    <n v="6639748"/>
    <d v="2025-01-29T00:00:00"/>
    <s v="Complete"/>
    <m/>
  </r>
  <r>
    <s v="sbaxstare73"/>
    <s v="deviantart.com"/>
    <s v="Susan"/>
    <s v="Baxstare"/>
    <s v="Female"/>
    <s v="Female"/>
    <s v="198.137.131.54"/>
    <s v="242.49.136.127"/>
    <n v="256"/>
    <n v="256"/>
    <s v="NASDAQ"/>
    <s v="MILN"/>
    <s v="Global X Millennials Thematic ETF"/>
    <x v="2"/>
    <s v="N/A"/>
    <s v="$4.36M"/>
    <n v="4360000"/>
    <n v="1263.3599999999999"/>
    <n v="9.81"/>
    <n v="108076447"/>
    <d v="2023-10-29T00:00:00"/>
    <s v="Missing"/>
    <m/>
  </r>
  <r>
    <s v="clemarquand74"/>
    <s v="auda.org.au"/>
    <s v="Claiborn"/>
    <s v="Le Marquand"/>
    <s v="Male"/>
    <s v="Male"/>
    <s v="19.182.130.205"/>
    <s v="75.71.187.160"/>
    <n v="257"/>
    <n v="257"/>
    <s v="NASDAQ"/>
    <s v="UBSI"/>
    <s v="United Bankshares, Inc."/>
    <x v="3"/>
    <s v="Major Banks"/>
    <s v="$4.19B"/>
    <n v="4190000000.0000005"/>
    <n v="203.6"/>
    <n v="12.88"/>
    <n v="82434591"/>
    <d v="2020-08-21T00:00:00"/>
    <s v="Complete"/>
    <m/>
  </r>
  <r>
    <s v="wwassung75"/>
    <s v="dion.ne.jp"/>
    <s v="Wilt"/>
    <s v="Wassung"/>
    <s v="Male"/>
    <s v="Male"/>
    <s v="106.237.6.80"/>
    <s v="69.147.247.137"/>
    <n v="258"/>
    <n v="258"/>
    <s v="NASDAQ"/>
    <s v="PSEC"/>
    <s v="Prospect Capital Corporation"/>
    <x v="2"/>
    <s v="N/A"/>
    <s v="$2.9B"/>
    <n v="2900000000"/>
    <n v="144.69"/>
    <n v="-18.739999999999998"/>
    <n v="100626837"/>
    <d v="2023-12-16T00:00:00"/>
    <s v="Missing"/>
    <m/>
  </r>
  <r>
    <s v="lbirchenhead76"/>
    <s v="surveymonkey.com"/>
    <s v="Lorrie"/>
    <s v="Birchenhead"/>
    <s v="Male"/>
    <s v="Male"/>
    <s v="14.110.203.101"/>
    <s v="130.67.159.182"/>
    <n v="259"/>
    <n v="259"/>
    <s v="NYSE"/>
    <s v="GGZ^A"/>
    <s v="Gabelli Global Small and Mid Cap Value Trust (The)"/>
    <x v="2"/>
    <s v="N/A"/>
    <s v="N/A"/>
    <n v="0"/>
    <n v="991.75"/>
    <n v="3.38"/>
    <n v="171282765"/>
    <d v="2020-11-29T00:00:00"/>
    <s v="Missing"/>
    <m/>
  </r>
  <r>
    <s v="vteck77"/>
    <s v="about.com"/>
    <s v="Vite"/>
    <s v="Teck"/>
    <s v="Male"/>
    <s v="Male"/>
    <s v="15.215.149.226"/>
    <s v="100.185.169.178"/>
    <n v="260"/>
    <n v="260"/>
    <s v="NYSE"/>
    <s v="GCP"/>
    <s v="GCP Applied Technologies Inc."/>
    <x v="10"/>
    <s v="Major Chemicals"/>
    <s v="$2.17B"/>
    <n v="2170000000"/>
    <n v="1733.9"/>
    <n v="-17.03"/>
    <n v="156705733"/>
    <d v="2021-04-13T00:00:00"/>
    <s v="Complete"/>
    <m/>
  </r>
  <r>
    <s v="fkunath78"/>
    <s v="123-reg.co.uk"/>
    <s v="Fabien"/>
    <s v="Kunath"/>
    <s v="Male"/>
    <s v="Male"/>
    <s v="166.167.253.140"/>
    <s v="48.136.158.0"/>
    <n v="261"/>
    <n v="261"/>
    <s v="NASDAQ"/>
    <s v="TBK"/>
    <s v="Triumph Bancorp, Inc."/>
    <x v="3"/>
    <s v="Major Banks"/>
    <s v="$428.18M"/>
    <n v="428180000"/>
    <n v="447.38"/>
    <n v="-5.56"/>
    <n v="50746186"/>
    <d v="2022-11-09T00:00:00"/>
    <s v="Complete"/>
    <m/>
  </r>
  <r>
    <s v="kgladdor79"/>
    <s v="hugedomains.com"/>
    <s v="Kara"/>
    <s v="Gladdor"/>
    <s v="Female"/>
    <s v="Female"/>
    <s v="221.227.167.94"/>
    <s v="224.116.187.185"/>
    <n v="262"/>
    <n v="262"/>
    <s v="NASDAQ"/>
    <s v="TRST"/>
    <s v="TrustCo Bank Corp NY"/>
    <x v="3"/>
    <s v="Major Banks"/>
    <s v="$748.78M"/>
    <n v="748780000"/>
    <n v="1042.3499999999999"/>
    <n v="3.11"/>
    <n v="116251693"/>
    <d v="2025-04-24T00:00:00"/>
    <s v="Complete"/>
    <m/>
  </r>
  <r>
    <s v="agardiner7a"/>
    <s v="vimeo.com"/>
    <s v="Aloysius"/>
    <s v="Gardiner"/>
    <s v="Male"/>
    <s v="Male"/>
    <s v="26.112.223.2"/>
    <s v="201.138.23.190"/>
    <n v="263"/>
    <n v="263"/>
    <s v="NYSE"/>
    <s v="TYG"/>
    <s v="Tortoise Energy Infrastructure Corporation"/>
    <x v="2"/>
    <s v="N/A"/>
    <s v="$1.41B"/>
    <n v="1410000000"/>
    <n v="623.16"/>
    <n v="-13.18"/>
    <n v="112196206"/>
    <d v="2021-11-27T00:00:00"/>
    <s v="Missing"/>
    <m/>
  </r>
  <r>
    <s v="relcomb7b"/>
    <s v="example.com"/>
    <s v="Rosco"/>
    <s v="Elcomb"/>
    <s v="Male"/>
    <s v="Male"/>
    <s v="127.101.115.72"/>
    <s v="242.189.227.88"/>
    <n v="264"/>
    <n v="264"/>
    <s v="NASDAQ"/>
    <s v="RFEU"/>
    <s v="First Trust RiverFront Dynamic Europe ETF"/>
    <x v="2"/>
    <s v="N/A"/>
    <s v="$52.66M"/>
    <n v="52660000"/>
    <n v="197.47"/>
    <n v="14.18"/>
    <n v="5700009"/>
    <d v="2023-01-20T00:00:00"/>
    <s v="Missing"/>
    <m/>
  </r>
  <r>
    <s v="msiman7c"/>
    <s v="yahoo.co.jp"/>
    <s v="Morty"/>
    <s v="Siman"/>
    <s v="Male"/>
    <s v="Male"/>
    <s v="73.108.91.121"/>
    <s v="3.3.93.80"/>
    <n v="265"/>
    <n v="265"/>
    <s v="NASDAQ"/>
    <s v="CRAY"/>
    <s v="Cray Inc"/>
    <x v="4"/>
    <s v="Computer Manufacturing"/>
    <s v="$737.25M"/>
    <n v="737250000"/>
    <n v="1082.47"/>
    <n v="-4.95"/>
    <n v="2710651"/>
    <d v="2021-01-29T00:00:00"/>
    <s v="Complete"/>
    <m/>
  </r>
  <r>
    <s v="kcroster7d"/>
    <s v="yolasite.com"/>
    <s v="Kristofor"/>
    <s v="Croster"/>
    <s v="Male"/>
    <s v="Male"/>
    <s v="213.64.124.172"/>
    <s v="211.204.88.231"/>
    <n v="266"/>
    <n v="266"/>
    <s v="NYSE"/>
    <s v="DEL"/>
    <s v="Deltic Timber Corporation"/>
    <x v="10"/>
    <s v="Forest Products"/>
    <s v="$883.38M"/>
    <n v="883380000"/>
    <n v="700.51"/>
    <n v="14.55"/>
    <n v="140002175"/>
    <d v="2021-02-12T00:00:00"/>
    <s v="Complete"/>
    <m/>
  </r>
  <r>
    <s v="gbrundill7e"/>
    <s v="list-manage.com"/>
    <s v="Gertrudis"/>
    <s v="Brundill"/>
    <s v="Female"/>
    <s v="Female"/>
    <s v="224.160.221.156"/>
    <s v="77.72.131.211"/>
    <n v="267"/>
    <n v="267"/>
    <s v="NASDAQ"/>
    <s v="INVE"/>
    <s v="Identiv, Inc."/>
    <x v="4"/>
    <s v="Computer peripheral equipment"/>
    <s v="$59.21M"/>
    <n v="59210000"/>
    <n v="1892.56"/>
    <n v="-17.21"/>
    <n v="78185362"/>
    <d v="2023-01-16T00:00:00"/>
    <s v="Complete"/>
    <m/>
  </r>
  <r>
    <s v="tridges7f"/>
    <s v="cam.ac.uk"/>
    <s v="Tripp"/>
    <s v="Ridges"/>
    <s v="Male"/>
    <s v="Male"/>
    <s v="190.22.242.251"/>
    <s v="27.20.158.49"/>
    <n v="268"/>
    <n v="268"/>
    <s v="NASDAQ"/>
    <s v="FGBI"/>
    <s v="First Guaranty Bancshares, Inc."/>
    <x v="3"/>
    <s v="Savings Institutions"/>
    <s v="$203.62M"/>
    <n v="203620000"/>
    <n v="365.59"/>
    <n v="13.99"/>
    <n v="156201417"/>
    <d v="2023-02-26T00:00:00"/>
    <s v="Complete"/>
    <m/>
  </r>
  <r>
    <s v="rburgoin7g"/>
    <s v="friendfeed.com"/>
    <s v="Rooney"/>
    <s v="Burgoin"/>
    <s v="Male"/>
    <s v="Male"/>
    <s v="20.101.88.23"/>
    <s v="35.217.219.10"/>
    <n v="269"/>
    <n v="269"/>
    <s v="NASDAQ"/>
    <s v="SBRAP"/>
    <s v="Sabra Healthcare REIT, Inc."/>
    <x v="6"/>
    <s v="Real Estate Investment Trusts"/>
    <s v="$146.63M"/>
    <n v="146630000"/>
    <n v="792.89"/>
    <n v="-1.48"/>
    <n v="104024539"/>
    <d v="2020-09-20T00:00:00"/>
    <s v="Complete"/>
    <m/>
  </r>
  <r>
    <s v="ncartmail7h"/>
    <s v="latimes.com"/>
    <s v="Niels"/>
    <s v="Cartmail"/>
    <s v="Male"/>
    <s v="Male"/>
    <s v="46.70.48.193"/>
    <s v="99.215.184.136"/>
    <n v="270"/>
    <n v="270"/>
    <s v="NYSE"/>
    <s v="DSX^B"/>
    <s v="Diana Shipping inc."/>
    <x v="2"/>
    <s v="N/A"/>
    <s v="N/A"/>
    <n v="0"/>
    <n v="50.98"/>
    <n v="0.99"/>
    <n v="91378044"/>
    <d v="2020-05-13T00:00:00"/>
    <s v="Missing"/>
    <m/>
  </r>
  <r>
    <s v="rgardner7i"/>
    <s v="phoca.cz"/>
    <s v="Ram"/>
    <s v="Gardner"/>
    <s v="Male"/>
    <s v="Male"/>
    <s v="139.72.127.32"/>
    <s v="163.177.242.13"/>
    <n v="271"/>
    <n v="271"/>
    <s v="NASDAQ"/>
    <s v="RAND"/>
    <s v="Rand Capital Corporation"/>
    <x v="2"/>
    <s v="N/A"/>
    <s v="$17.83M"/>
    <n v="17830000"/>
    <n v="756.26"/>
    <n v="19.34"/>
    <n v="82882106"/>
    <d v="2024-08-19T00:00:00"/>
    <s v="Missing"/>
    <m/>
  </r>
  <r>
    <s v="gritelli7j"/>
    <s v="live.com"/>
    <s v="Gabbie"/>
    <s v="Ritelli"/>
    <s v="Male"/>
    <s v="Male"/>
    <s v="233.81.218.150"/>
    <s v="112.146.217.171"/>
    <n v="272"/>
    <n v="272"/>
    <s v="NASDAQ"/>
    <s v="OXBRW"/>
    <s v="Oxbridge Re Holdings Limited"/>
    <x v="3"/>
    <s v="Property-Casualty Insurers"/>
    <s v="N/A"/>
    <n v="0"/>
    <n v="129.44"/>
    <n v="-11.31"/>
    <n v="15449067"/>
    <d v="2023-11-16T00:00:00"/>
    <s v="Missing"/>
    <m/>
  </r>
  <r>
    <s v="fdeamaya7k"/>
    <s v="forbes.com"/>
    <s v="Flem"/>
    <s v="de Amaya"/>
    <s v="Male"/>
    <s v="Male"/>
    <s v="76.117.78.249"/>
    <s v="241.221.191.196"/>
    <n v="273"/>
    <n v="273"/>
    <s v="NASDAQ"/>
    <s v="AXAR"/>
    <s v="Axar Acquisition Corp."/>
    <x v="3"/>
    <s v="Business Services"/>
    <s v="$83.79M"/>
    <n v="83790000"/>
    <n v="351.48"/>
    <n v="3.09"/>
    <n v="180209957"/>
    <d v="2025-11-12T00:00:00"/>
    <s v="Complete"/>
    <m/>
  </r>
  <r>
    <s v="tcheetham7l"/>
    <s v="who.int"/>
    <s v="Torre"/>
    <s v="Cheetham"/>
    <s v="Male"/>
    <s v="Male"/>
    <s v="2.249.89.229"/>
    <s v="126.192.14.27"/>
    <n v="274"/>
    <n v="274"/>
    <s v="NYSE"/>
    <s v="UAL"/>
    <s v="United Continental Holdings, Inc."/>
    <x v="12"/>
    <s v="Air Freight/Delivery Services"/>
    <s v="$23.78B"/>
    <n v="23780000000"/>
    <n v="580.01"/>
    <n v="-7.82"/>
    <n v="95531932"/>
    <d v="2020-12-02T00:00:00"/>
    <s v="Complete"/>
    <m/>
  </r>
  <r>
    <s v="pboyn7m"/>
    <s v="loc.gov"/>
    <s v="Page"/>
    <s v="Boyn"/>
    <s v="Male"/>
    <s v="Male"/>
    <s v="182.213.116.5"/>
    <s v="232.57.81.246"/>
    <n v="275"/>
    <n v="275"/>
    <s v="NASDAQ"/>
    <s v="RRR"/>
    <s v="Red Rock Resorts, Inc."/>
    <x v="6"/>
    <s v="Hotels/Resorts"/>
    <s v="$2.78B"/>
    <n v="2780000000"/>
    <n v="701.76"/>
    <n v="14.26"/>
    <n v="167477214"/>
    <d v="2020-04-14T00:00:00"/>
    <s v="Complete"/>
    <m/>
  </r>
  <r>
    <s v="tcapelow7n"/>
    <s v="exblog.jp"/>
    <s v="Tobe"/>
    <s v="Capelow"/>
    <s v="Male"/>
    <s v="Male"/>
    <s v="135.181.217.91"/>
    <s v="189.75.38.137"/>
    <n v="276"/>
    <n v="276"/>
    <s v="NYSE"/>
    <s v="CNI"/>
    <s v="Canadian National Railway Company"/>
    <x v="12"/>
    <s v="Railroads"/>
    <s v="$61.92B"/>
    <n v="61920000000"/>
    <n v="1086.98"/>
    <n v="-8.39"/>
    <n v="184861044"/>
    <d v="2024-10-08T00:00:00"/>
    <s v="Complete"/>
    <m/>
  </r>
  <r>
    <s v="iblood7o"/>
    <s v="sourceforge.net"/>
    <s v="Isobel"/>
    <s v="Blood"/>
    <s v="Female"/>
    <s v="Female"/>
    <s v="84.58.70.50"/>
    <s v="40.11.51.142"/>
    <n v="277"/>
    <n v="277"/>
    <s v="NASDAQ"/>
    <s v="HTBI"/>
    <s v="HomeTrust Bancshares, Inc."/>
    <x v="3"/>
    <s v="Savings Institutions"/>
    <s v="$462.31M"/>
    <n v="462310000"/>
    <n v="411.33"/>
    <n v="-15.16"/>
    <n v="101790872"/>
    <d v="2023-04-17T00:00:00"/>
    <s v="Complete"/>
    <m/>
  </r>
  <r>
    <s v="ddevlin7p"/>
    <s v="dell.com"/>
    <s v="Datha"/>
    <s v="Devlin"/>
    <s v="Female"/>
    <s v="Female"/>
    <s v="247.218.55.127"/>
    <s v="212.67.225.110"/>
    <n v="278"/>
    <n v="278"/>
    <s v="NASDAQ"/>
    <s v="NTNX"/>
    <s v="Nutanix, Inc."/>
    <x v="4"/>
    <s v="Computer Software: Prepackaged Software"/>
    <s v="$2.68B"/>
    <n v="2680000000"/>
    <n v="639.41"/>
    <n v="12.15"/>
    <n v="150279677"/>
    <d v="2023-03-12T00:00:00"/>
    <s v="Complete"/>
    <m/>
  </r>
  <r>
    <s v="epauletto7q"/>
    <s v="ehow.com"/>
    <s v="Editha"/>
    <s v="Pauletto"/>
    <s v="Female"/>
    <s v="Female"/>
    <s v="55.27.204.198"/>
    <s v="52.61.64.220"/>
    <n v="279"/>
    <n v="279"/>
    <s v="NYSE"/>
    <s v="PNI"/>
    <s v="Pimco New York Municipal Income Fund II"/>
    <x v="2"/>
    <s v="N/A"/>
    <s v="$129.88M"/>
    <n v="129880000"/>
    <n v="606.04"/>
    <n v="-17.64"/>
    <n v="63313914"/>
    <d v="2022-10-12T00:00:00"/>
    <s v="Missing"/>
    <m/>
  </r>
  <r>
    <s v="alagen7r"/>
    <s v="cbsnews.com"/>
    <s v="Arch"/>
    <s v="Lagen"/>
    <s v="Genderfluid"/>
    <s v="Other"/>
    <s v="64.169.145.190"/>
    <s v="140.142.75.149"/>
    <n v="280"/>
    <n v="280"/>
    <s v="NASDAQ"/>
    <s v="SGH"/>
    <s v="SMART Global Holdings, Inc."/>
    <x v="4"/>
    <s v="Semiconductors"/>
    <s v="$316.82M"/>
    <n v="316820000"/>
    <n v="769.58"/>
    <n v="17.25"/>
    <n v="80581347"/>
    <d v="2025-08-09T00:00:00"/>
    <s v="Complete"/>
    <m/>
  </r>
  <r>
    <s v="zshoebotham7s"/>
    <s v="discuz.net"/>
    <s v="Zollie"/>
    <s v="Shoebotham"/>
    <s v="Male"/>
    <s v="Male"/>
    <s v="90.222.213.225"/>
    <s v="169.126.5.75"/>
    <n v="281"/>
    <n v="281"/>
    <s v="NASDAQ"/>
    <s v="SUNS"/>
    <s v="Solar Senior Capital Ltd."/>
    <x v="2"/>
    <s v="N/A"/>
    <s v="$268.64M"/>
    <n v="268640000"/>
    <n v="52.88"/>
    <n v="17.78"/>
    <n v="96107237"/>
    <d v="2026-08-15T00:00:00"/>
    <s v="Missing"/>
    <m/>
  </r>
  <r>
    <s v="dkirvin7t"/>
    <s v="hibu.com"/>
    <s v="Deck"/>
    <s v="Kirvin"/>
    <s v="Male"/>
    <s v="Male"/>
    <s v="84.220.193.86"/>
    <s v="226.81.219.123"/>
    <n v="282"/>
    <n v="282"/>
    <s v="NYSE"/>
    <s v="DRA"/>
    <s v="Diversified Real Asset Income Fund"/>
    <x v="2"/>
    <s v="N/A"/>
    <s v="$311.58M"/>
    <n v="311580000"/>
    <n v="1559.67"/>
    <n v="-1.61"/>
    <n v="29259096"/>
    <d v="2022-05-01T00:00:00"/>
    <s v="Missing"/>
    <m/>
  </r>
  <r>
    <s v="ffaivre7u"/>
    <s v="epa.gov"/>
    <s v="Franny"/>
    <s v="Faivre"/>
    <s v="Female"/>
    <s v="Female"/>
    <s v="142.183.155.224"/>
    <s v="11.220.76.230"/>
    <n v="283"/>
    <n v="283"/>
    <s v="NYSE"/>
    <s v="BYD"/>
    <s v="Boyd Gaming Corporation"/>
    <x v="6"/>
    <s v="Hotels/Resorts"/>
    <s v="$2.85B"/>
    <n v="2850000000"/>
    <n v="1059.52"/>
    <n v="-0.01"/>
    <n v="15770529"/>
    <d v="2024-10-14T00:00:00"/>
    <s v="Complete"/>
    <m/>
  </r>
  <r>
    <s v="areekie7v"/>
    <s v="prlog.org"/>
    <s v="Amandie"/>
    <s v="Reekie"/>
    <s v="Female"/>
    <s v="Female"/>
    <s v="207.153.197.9"/>
    <s v="89.8.208.67"/>
    <n v="284"/>
    <n v="284"/>
    <s v="NASDAQ"/>
    <s v="SBRAP"/>
    <s v="Sabra Healthcare REIT, Inc."/>
    <x v="6"/>
    <s v="Real Estate Investment Trusts"/>
    <s v="$146.63M"/>
    <n v="146630000"/>
    <n v="1059.1600000000001"/>
    <n v="5.31"/>
    <n v="67847839"/>
    <d v="2022-04-05T00:00:00"/>
    <s v="Complete"/>
    <m/>
  </r>
  <r>
    <s v="hbrave7w"/>
    <s v="opera.com"/>
    <s v="Halsy"/>
    <s v="Brave"/>
    <s v="Male"/>
    <s v="Male"/>
    <s v="199.246.41.196"/>
    <s v="148.240.91.113"/>
    <n v="285"/>
    <n v="285"/>
    <s v="NYSE"/>
    <s v="QTS"/>
    <s v="QTS Realty Trust, Inc."/>
    <x v="6"/>
    <s v="Real Estate Investment Trusts"/>
    <s v="$2.5B"/>
    <n v="2500000000"/>
    <n v="1104.29"/>
    <n v="-19.18"/>
    <n v="125007445"/>
    <d v="2026-07-22T00:00:00"/>
    <s v="Complete"/>
    <m/>
  </r>
  <r>
    <s v="fbloomer7x"/>
    <s v="newyorker.com"/>
    <s v="Franciska"/>
    <s v="Bloomer"/>
    <s v="Female"/>
    <s v="Female"/>
    <s v="62.115.238.225"/>
    <s v="111.145.251.204"/>
    <n v="286"/>
    <n v="286"/>
    <s v="NASDAQ"/>
    <s v="STFC"/>
    <s v="State Auto Financial Corporation"/>
    <x v="3"/>
    <s v="Property-Casualty Insurers"/>
    <s v="$1.09B"/>
    <n v="1090000000"/>
    <n v="902.52"/>
    <n v="8.18"/>
    <n v="141283955"/>
    <d v="2020-06-01T00:00:00"/>
    <s v="Complete"/>
    <m/>
  </r>
  <r>
    <s v="sdanforth7y"/>
    <s v="yahoo.co.jp"/>
    <s v="Stacee"/>
    <s v="Danforth"/>
    <s v="Male"/>
    <s v="Male"/>
    <s v="32.140.63.97"/>
    <s v="148.12.154.109"/>
    <n v="287"/>
    <n v="287"/>
    <s v="NASDAQ"/>
    <s v="JASO"/>
    <s v="JA Solar Holdings, Co., Ltd."/>
    <x v="4"/>
    <s v="Semiconductors"/>
    <s v="$301.6M"/>
    <n v="301600000"/>
    <n v="584.03"/>
    <n v="-1.6"/>
    <n v="102542990"/>
    <d v="2025-01-30T00:00:00"/>
    <s v="Complete"/>
    <m/>
  </r>
  <r>
    <s v="lradbourne7z"/>
    <s v="google.nl"/>
    <s v="Laetitia"/>
    <s v="Radbourne"/>
    <s v="Female"/>
    <s v="Female"/>
    <s v="182.198.121.119"/>
    <s v="177.217.80.177"/>
    <n v="288"/>
    <n v="288"/>
    <s v="NYSE"/>
    <s v="RFI"/>
    <s v="Cohen &amp; Steers Total Return Realty Fund, Inc."/>
    <x v="2"/>
    <s v="N/A"/>
    <s v="$337.67M"/>
    <n v="337670000"/>
    <n v="162.24"/>
    <n v="0.4"/>
    <n v="153990436"/>
    <d v="2026-07-04T00:00:00"/>
    <s v="Missing"/>
    <m/>
  </r>
  <r>
    <s v="kcallaghan80"/>
    <s v="sciencedaily.com"/>
    <s v="Kennie"/>
    <s v="Callaghan"/>
    <s v="Male"/>
    <s v="Male"/>
    <s v="244.161.156.187"/>
    <s v="221.144.101.255"/>
    <n v="289"/>
    <n v="289"/>
    <s v="NYSE"/>
    <s v="TCCB"/>
    <s v="Triangle Capital Corporation"/>
    <x v="2"/>
    <s v="N/A"/>
    <s v="N/A"/>
    <n v="0"/>
    <n v="998.8"/>
    <n v="10"/>
    <n v="69199402"/>
    <d v="2021-03-23T00:00:00"/>
    <s v="Missing"/>
    <m/>
  </r>
  <r>
    <s v="nporcher81"/>
    <s v="homestead.com"/>
    <s v="Nobe"/>
    <s v="Porcher"/>
    <s v="Male"/>
    <s v="Male"/>
    <s v="46.165.88.114"/>
    <s v="228.66.231.191"/>
    <n v="290"/>
    <n v="290"/>
    <s v="NYSE"/>
    <s v="RAS^B"/>
    <s v="RAIT Financial Trust"/>
    <x v="2"/>
    <s v="N/A"/>
    <s v="N/A"/>
    <n v="0"/>
    <n v="1713.35"/>
    <n v="-10.23"/>
    <n v="9785662"/>
    <d v="2022-10-14T00:00:00"/>
    <s v="Missing"/>
    <m/>
  </r>
  <r>
    <s v="mbaldwin82"/>
    <s v="mashable.com"/>
    <s v="Melicent"/>
    <s v="Baldwin"/>
    <s v="Female"/>
    <s v="Female"/>
    <s v="99.169.252.139"/>
    <s v="121.154.249.127"/>
    <n v="291"/>
    <n v="291"/>
    <s v="NASDAQ"/>
    <s v="TEAM"/>
    <s v="Atlassian Corporation Plc"/>
    <x v="4"/>
    <s v="Computer Software: Prepackaged Software"/>
    <s v="$7.84B"/>
    <n v="7840000000"/>
    <n v="1467.44"/>
    <n v="-19.96"/>
    <n v="109056575"/>
    <d v="2022-03-17T00:00:00"/>
    <s v="Complete"/>
    <m/>
  </r>
  <r>
    <s v="darsnell83"/>
    <s v="comsenz.com"/>
    <s v="Desmond"/>
    <s v="Arsnell"/>
    <s v="Male"/>
    <s v="Male"/>
    <s v="201.205.176.47"/>
    <s v="10.71.200.98"/>
    <n v="292"/>
    <n v="292"/>
    <s v="NASDAQ"/>
    <s v="WIRE"/>
    <s v="Encore Wire Corporation"/>
    <x v="1"/>
    <s v="Metal Fabrications"/>
    <s v="$896.34M"/>
    <n v="896340000"/>
    <n v="957.79"/>
    <n v="19.21"/>
    <n v="187638003"/>
    <d v="2025-10-22T00:00:00"/>
    <s v="Complete"/>
    <m/>
  </r>
  <r>
    <s v="lcaseley84"/>
    <s v="google.com.br"/>
    <s v="Leroi"/>
    <s v="Caseley"/>
    <s v="Male"/>
    <s v="Male"/>
    <s v="35.88.131.87"/>
    <s v="32.44.117.176"/>
    <n v="293"/>
    <n v="293"/>
    <s v="NYSE"/>
    <s v="AFW.CL"/>
    <s v="American Financial Group, Inc."/>
    <x v="2"/>
    <s v="N/A"/>
    <s v="N/A"/>
    <n v="0"/>
    <n v="1875.57"/>
    <n v="18.989999999999998"/>
    <n v="48929380"/>
    <d v="2025-09-18T00:00:00"/>
    <s v="Missing"/>
    <m/>
  </r>
  <r>
    <s v="atitta85"/>
    <s v="hostgator.com"/>
    <s v="Aldrich"/>
    <s v="Titta"/>
    <s v="Male"/>
    <s v="Male"/>
    <s v="189.206.207.111"/>
    <s v="32.180.250.95"/>
    <n v="294"/>
    <n v="294"/>
    <s v="NASDAQ"/>
    <s v="IRBT"/>
    <s v="iRobot Corporation"/>
    <x v="11"/>
    <s v="Consumer Electronics/Appliances"/>
    <s v="$2.64B"/>
    <n v="2640000000"/>
    <n v="455.38"/>
    <n v="6.71"/>
    <n v="144684098"/>
    <d v="2021-01-14T00:00:00"/>
    <s v="Complete"/>
    <m/>
  </r>
  <r>
    <s v="ejulian86"/>
    <s v="arizona.edu"/>
    <s v="Eva"/>
    <s v="Julian"/>
    <s v="Female"/>
    <s v="Female"/>
    <s v="194.229.142.78"/>
    <s v="208.10.189.138"/>
    <n v="295"/>
    <n v="295"/>
    <s v="NASDAQ"/>
    <s v="SRTS"/>
    <s v="Sensus Healthcare, Inc."/>
    <x v="0"/>
    <s v="Medical/Dental Instruments"/>
    <s v="$52.75M"/>
    <n v="52750000"/>
    <n v="626.28"/>
    <n v="2.73"/>
    <n v="33935815"/>
    <d v="2021-08-20T00:00:00"/>
    <s v="Complete"/>
    <m/>
  </r>
  <r>
    <s v="rgilffillan87"/>
    <s v="last.fm"/>
    <s v="Reed"/>
    <s v="Gilffillan"/>
    <s v="Male"/>
    <s v="Male"/>
    <s v="197.14.12.9"/>
    <s v="123.70.5.62"/>
    <n v="296"/>
    <n v="296"/>
    <s v="NYSE"/>
    <s v="MGF"/>
    <s v="MFS Government Markets Income Trust"/>
    <x v="2"/>
    <s v="N/A"/>
    <s v="$162.35M"/>
    <n v="162350000"/>
    <n v="1308.04"/>
    <n v="5.0199999999999996"/>
    <n v="187690684"/>
    <d v="2021-06-28T00:00:00"/>
    <s v="Missing"/>
    <m/>
  </r>
  <r>
    <s v="sragsdale88"/>
    <s v="dmoz.org"/>
    <s v="Salli"/>
    <s v="Ragsdale"/>
    <s v="Female"/>
    <s v="Female"/>
    <s v="145.122.104.48"/>
    <s v="182.12.185.217"/>
    <n v="297"/>
    <n v="297"/>
    <s v="NASDAQ"/>
    <s v="GEC"/>
    <s v="Great Elm Capital Group, Inc. "/>
    <x v="4"/>
    <s v="Computer Software: Prepackaged Software"/>
    <s v="$80.04M"/>
    <n v="80040000"/>
    <n v="43.52"/>
    <n v="-19.47"/>
    <n v="137031219"/>
    <d v="2024-07-13T00:00:00"/>
    <s v="Complete"/>
    <m/>
  </r>
  <r>
    <s v="aerrichelli89"/>
    <s v="theatlantic.com"/>
    <s v="Adore"/>
    <s v="Errichelli"/>
    <s v="Female"/>
    <s v="Female"/>
    <s v="33.202.88.96"/>
    <s v="195.235.30.225"/>
    <n v="298"/>
    <n v="298"/>
    <s v="NYSE"/>
    <s v="BIO.B"/>
    <s v="Bio-Rad Laboratories, Inc."/>
    <x v="2"/>
    <s v="N/A"/>
    <s v="N/A"/>
    <n v="0"/>
    <n v="778.94"/>
    <n v="-2.97"/>
    <n v="39253055"/>
    <d v="2020-12-24T00:00:00"/>
    <s v="Missing"/>
    <m/>
  </r>
  <r>
    <s v="mcurle8a"/>
    <s v="sohu.com"/>
    <s v="Mahmoud"/>
    <s v="Curle"/>
    <s v="Male"/>
    <s v="Male"/>
    <s v="52.60.34.6"/>
    <s v="7.45.173.108"/>
    <n v="299"/>
    <n v="299"/>
    <s v="NYSE"/>
    <s v="NAV"/>
    <s v="Navistar International Corporation"/>
    <x v="1"/>
    <s v="Auto Manufacturing"/>
    <s v="$2.61B"/>
    <n v="2610000000"/>
    <n v="1502.15"/>
    <n v="8.65"/>
    <n v="183243233"/>
    <d v="2025-10-12T00:00:00"/>
    <s v="Complete"/>
    <m/>
  </r>
  <r>
    <s v="aweedall8b"/>
    <s v="comsenz.com"/>
    <s v="Adena"/>
    <s v="Weedall"/>
    <s v="Female"/>
    <s v="Female"/>
    <s v="114.28.193.15"/>
    <s v="59.216.226.224"/>
    <n v="300"/>
    <n v="300"/>
    <s v="NYSE"/>
    <s v="WTS"/>
    <s v="Watts Water Technologies, Inc."/>
    <x v="1"/>
    <s v="Metal Fabrications"/>
    <s v="$2.15B"/>
    <n v="2150000000"/>
    <n v="242.19"/>
    <n v="12.81"/>
    <n v="155927056"/>
    <d v="2021-09-02T00:00:00"/>
    <s v="Complete"/>
    <m/>
  </r>
  <r>
    <s v="ldavet8c"/>
    <s v="e-recht24.de"/>
    <s v="Leodora"/>
    <s v="Davet"/>
    <s v="Female"/>
    <s v="Female"/>
    <s v="210.147.160.53"/>
    <s v="145.110.197.206"/>
    <n v="301"/>
    <n v="301"/>
    <s v="NYSE"/>
    <s v="KODK.WS"/>
    <s v="Eastman Kodak Company"/>
    <x v="2"/>
    <s v="N/A"/>
    <s v="N/A"/>
    <n v="0"/>
    <n v="1175.18"/>
    <n v="-11.49"/>
    <n v="116531278"/>
    <d v="2024-12-13T00:00:00"/>
    <s v="Missing"/>
    <m/>
  </r>
  <r>
    <s v="rmacane8d"/>
    <s v="craigslist.org"/>
    <s v="Ruprecht"/>
    <s v="MacAne"/>
    <s v="Male"/>
    <s v="Male"/>
    <s v="19.153.57.137"/>
    <s v="189.72.42.35"/>
    <n v="302"/>
    <n v="302"/>
    <s v="NYSE"/>
    <s v="HJV"/>
    <s v="MS Structured Asset Corp Saturns GE Cap Corp Series 2002-14"/>
    <x v="3"/>
    <s v="Finance: Consumer Services"/>
    <s v="N/A"/>
    <n v="0"/>
    <n v="836.11"/>
    <n v="11.92"/>
    <n v="157573822"/>
    <d v="2021-11-21T00:00:00"/>
    <s v="Missing"/>
    <m/>
  </r>
  <r>
    <s v="abramer8e"/>
    <s v="blogs.com"/>
    <s v="Ailee"/>
    <s v="Bramer"/>
    <s v="Female"/>
    <s v="Female"/>
    <s v="207.147.8.211"/>
    <s v="98.122.101.201"/>
    <n v="303"/>
    <n v="303"/>
    <s v="NYSE"/>
    <s v="WGO"/>
    <s v="Winnebago Industries, Inc."/>
    <x v="5"/>
    <s v="Homebuilding"/>
    <s v="$914.42M"/>
    <n v="914420000"/>
    <n v="1324.7"/>
    <n v="-6.69"/>
    <n v="10271607"/>
    <d v="2024-05-25T00:00:00"/>
    <s v="Complete"/>
    <m/>
  </r>
  <r>
    <s v="nziebart8f"/>
    <s v="salon.com"/>
    <s v="Noland"/>
    <s v="Ziebart"/>
    <s v="Male"/>
    <s v="Male"/>
    <s v="231.141.180.91"/>
    <s v="61.100.133.59"/>
    <n v="304"/>
    <n v="304"/>
    <s v="NASDAQ"/>
    <s v="SSB"/>
    <s v="South State Corporation"/>
    <x v="3"/>
    <s v="Major Banks"/>
    <s v="$2.55B"/>
    <n v="2550000000"/>
    <n v="1793.99"/>
    <n v="16"/>
    <n v="156317958"/>
    <d v="2023-04-29T00:00:00"/>
    <s v="Complete"/>
    <m/>
  </r>
  <r>
    <s v="ccoopper8g"/>
    <s v="intel.com"/>
    <s v="Corey"/>
    <s v="Coopper"/>
    <s v="Male"/>
    <s v="Male"/>
    <s v="42.238.27.28"/>
    <s v="153.150.106.140"/>
    <n v="305"/>
    <n v="305"/>
    <s v="NYSE"/>
    <s v="EOD"/>
    <s v="Wells Fargo Global Dividend Opportunity Fund"/>
    <x v="2"/>
    <s v="N/A"/>
    <s v="$285.58M"/>
    <n v="285580000"/>
    <n v="1455.1"/>
    <n v="16.8"/>
    <n v="133703697"/>
    <d v="2021-06-01T00:00:00"/>
    <s v="Missing"/>
    <m/>
  </r>
  <r>
    <s v="bpaprotny8h"/>
    <s v="uiuc.edu"/>
    <s v="Babbette"/>
    <s v="Paprotny"/>
    <s v="Female"/>
    <s v="Female"/>
    <s v="18.2.225.16"/>
    <s v="87.235.225.99"/>
    <n v="306"/>
    <n v="306"/>
    <s v="NASDAQ"/>
    <s v="WVVIP"/>
    <s v="Willamette Valley Vineyards, Inc."/>
    <x v="5"/>
    <s v="Beverages (Production/Distribution)"/>
    <s v="N/A"/>
    <n v="0"/>
    <n v="969.53"/>
    <n v="-8.6199999999999992"/>
    <n v="154837284"/>
    <d v="2026-01-20T00:00:00"/>
    <s v="Missing"/>
    <m/>
  </r>
  <r>
    <s v="cwoolfitt8i"/>
    <s v="utexas.edu"/>
    <s v="Cassy"/>
    <s v="Woolfitt"/>
    <s v="Female"/>
    <s v="Female"/>
    <s v="209.164.172.191"/>
    <s v="59.209.230.182"/>
    <n v="307"/>
    <n v="307"/>
    <s v="NASDAQ"/>
    <s v="POPE"/>
    <s v="Pope Resources"/>
    <x v="5"/>
    <s v="Environmental Services"/>
    <s v="$320.19M"/>
    <n v="320190000"/>
    <n v="1315.06"/>
    <n v="-18.010000000000002"/>
    <n v="148004942"/>
    <d v="2025-04-30T00:00:00"/>
    <s v="Complete"/>
    <m/>
  </r>
  <r>
    <s v="adummigan8j"/>
    <s v="princeton.edu"/>
    <s v="Alejandro"/>
    <s v="Dummigan"/>
    <s v="Male"/>
    <s v="Male"/>
    <s v="214.4.105.122"/>
    <s v="128.54.117.150"/>
    <n v="308"/>
    <n v="308"/>
    <s v="NASDAQ"/>
    <s v="MRVL"/>
    <s v="Marvell Technology Group Ltd."/>
    <x v="4"/>
    <s v="Semiconductors"/>
    <s v="$8.71B"/>
    <n v="8710000000"/>
    <n v="1259.07"/>
    <n v="17.420000000000002"/>
    <n v="16179325"/>
    <d v="2025-08-12T00:00:00"/>
    <s v="Complete"/>
    <m/>
  </r>
  <r>
    <s v="wwaycot8k"/>
    <s v="mail.ru"/>
    <s v="Webster"/>
    <s v="Waycot"/>
    <s v="Male"/>
    <s v="Male"/>
    <s v="249.8.180.131"/>
    <s v="12.144.214.188"/>
    <n v="309"/>
    <n v="309"/>
    <s v="NASDAQ"/>
    <s v="XGTIW"/>
    <s v="XG Technology, Inc"/>
    <x v="11"/>
    <s v="Telecommunications Equipment"/>
    <s v="N/A"/>
    <n v="0"/>
    <n v="163.04"/>
    <n v="12.47"/>
    <n v="11917724"/>
    <d v="2021-08-26T00:00:00"/>
    <s v="Missing"/>
    <m/>
  </r>
  <r>
    <s v="fmartinie8l"/>
    <s v="a8.net"/>
    <s v="Ferdy"/>
    <s v="Martinie"/>
    <s v="Male"/>
    <s v="Male"/>
    <s v="148.80.103.98"/>
    <s v="200.75.27.131"/>
    <n v="310"/>
    <n v="310"/>
    <s v="NASDAQ"/>
    <s v="AKTX"/>
    <s v="Akari Therapeutics Plc"/>
    <x v="0"/>
    <s v="Major Pharmaceuticals"/>
    <s v="$56.29M"/>
    <n v="56290000"/>
    <n v="1829.84"/>
    <n v="16.079999999999998"/>
    <n v="39665531"/>
    <d v="2023-11-24T00:00:00"/>
    <s v="Complete"/>
    <m/>
  </r>
  <r>
    <s v="tvideneev8m"/>
    <s v="shareasale.com"/>
    <s v="Torrey"/>
    <s v="Videneev"/>
    <s v="Male"/>
    <s v="Male"/>
    <s v="181.165.211.91"/>
    <s v="226.141.242.128"/>
    <n v="311"/>
    <n v="311"/>
    <s v="NASDAQ"/>
    <s v="TECH"/>
    <s v="Bio-Techne Corp"/>
    <x v="0"/>
    <s v="Biotechnology: Biological Products (No Diagnostic Substances)"/>
    <s v="$4.17B"/>
    <n v="4170000000"/>
    <n v="4.79"/>
    <n v="8.24"/>
    <n v="129516827"/>
    <d v="2026-10-09T00:00:00"/>
    <s v="Complete"/>
    <m/>
  </r>
  <r>
    <s v="ccashin8n"/>
    <s v="berkeley.edu"/>
    <s v="Cullen"/>
    <s v="Cashin"/>
    <s v="Male"/>
    <s v="Male"/>
    <s v="170.11.167.28"/>
    <s v="136.6.80.53"/>
    <n v="312"/>
    <n v="312"/>
    <s v="NYSE"/>
    <s v="WGL"/>
    <s v="WGL Holdings Inc"/>
    <x v="8"/>
    <s v="Oil/Gas Transmission"/>
    <s v="$4.32B"/>
    <n v="4320000000"/>
    <n v="1632.03"/>
    <n v="-19.86"/>
    <n v="194272572"/>
    <d v="2020-05-21T00:00:00"/>
    <s v="Complete"/>
    <m/>
  </r>
  <r>
    <s v="pgolt8o"/>
    <s v="163.com"/>
    <s v="Pearl"/>
    <s v="Golt"/>
    <s v="Female"/>
    <s v="Female"/>
    <s v="0.77.94.83"/>
    <s v="220.123.28.33"/>
    <n v="313"/>
    <n v="313"/>
    <s v="NASDAQ"/>
    <s v="LCAHW"/>
    <s v="Landcadia Holdings, Inc."/>
    <x v="3"/>
    <s v="Business Services"/>
    <s v="N/A"/>
    <n v="0"/>
    <n v="1108.6099999999999"/>
    <n v="9.08"/>
    <n v="12124246"/>
    <d v="2026-03-11T00:00:00"/>
    <s v="Missing"/>
    <m/>
  </r>
  <r>
    <s v="mbernardinelli8p"/>
    <s v="slideshare.net"/>
    <s v="Martynne"/>
    <s v="Bernardinelli"/>
    <s v="Agender"/>
    <s v="Other"/>
    <s v="122.46.185.158"/>
    <s v="80.5.228.66"/>
    <n v="314"/>
    <n v="314"/>
    <s v="NYSE"/>
    <s v="EOCC"/>
    <s v="Enel Generacion Chile S.A."/>
    <x v="8"/>
    <s v="Electric Utilities: Central"/>
    <s v="$6.28B"/>
    <n v="6280000000"/>
    <n v="1173.24"/>
    <n v="18.87"/>
    <n v="94993907"/>
    <d v="2021-08-20T00:00:00"/>
    <s v="Complete"/>
    <m/>
  </r>
  <r>
    <s v="kcaldero8q"/>
    <s v="instagram.com"/>
    <s v="Kara-lynn"/>
    <s v="Caldero"/>
    <s v="Female"/>
    <s v="Female"/>
    <s v="49.104.206.206"/>
    <s v="36.208.77.136"/>
    <n v="315"/>
    <n v="315"/>
    <s v="NASDAQ"/>
    <s v="VIIX"/>
    <s v="VelocityShares VIX Short-Term ETN"/>
    <x v="3"/>
    <s v="Investment Bankers/Brokers/Service"/>
    <s v="$12.81M"/>
    <n v="12810000"/>
    <n v="746.69"/>
    <n v="10.81"/>
    <n v="139513839"/>
    <d v="2024-10-09T00:00:00"/>
    <s v="Complete"/>
    <m/>
  </r>
  <r>
    <s v="emacpake8r"/>
    <s v="drupal.org"/>
    <s v="Elton"/>
    <s v="MacPake"/>
    <s v="Male"/>
    <s v="Male"/>
    <s v="103.226.51.204"/>
    <s v="76.17.74.245"/>
    <n v="316"/>
    <n v="316"/>
    <s v="NYSE"/>
    <s v="QCP"/>
    <s v="Quality Care Properties, Inc."/>
    <x v="6"/>
    <s v="Real Estate Investment Trusts"/>
    <s v="$1.65B"/>
    <n v="1650000000"/>
    <n v="59.78"/>
    <n v="2.65"/>
    <n v="119188670"/>
    <d v="2020-03-30T00:00:00"/>
    <s v="Complete"/>
    <m/>
  </r>
  <r>
    <s v="randriuzzi8s"/>
    <s v="friendfeed.com"/>
    <s v="Roma"/>
    <s v="Andriuzzi"/>
    <s v="Male"/>
    <s v="Male"/>
    <s v="232.207.15.169"/>
    <s v="255.45.249.207"/>
    <n v="317"/>
    <n v="317"/>
    <s v="NASDAQ"/>
    <s v="SSRI"/>
    <s v="Silver Standard Resources Inc."/>
    <x v="10"/>
    <s v="Precious Metals"/>
    <s v="$1.1B"/>
    <n v="1100000000"/>
    <n v="1564.82"/>
    <n v="-9.14"/>
    <n v="163972100"/>
    <d v="2025-03-01T00:00:00"/>
    <s v="Complete"/>
    <m/>
  </r>
  <r>
    <s v="lbuckbee8t"/>
    <s v="nature.com"/>
    <s v="Ludovico"/>
    <s v="Buckbee"/>
    <s v="Male"/>
    <s v="Male"/>
    <s v="227.208.250.22"/>
    <s v="210.159.138.92"/>
    <n v="318"/>
    <n v="318"/>
    <s v="NYSE"/>
    <s v="BSL"/>
    <s v="Blackstone GSO Senior Floating Rate Term Fund"/>
    <x v="2"/>
    <s v="N/A"/>
    <s v="$271.31M"/>
    <n v="271310000"/>
    <n v="680.86"/>
    <n v="13.77"/>
    <n v="119444592"/>
    <d v="2020-10-21T00:00:00"/>
    <s v="Missing"/>
    <m/>
  </r>
  <r>
    <s v="ibraywood8u"/>
    <s v="zimbio.com"/>
    <s v="Ibrahim"/>
    <s v="Braywood"/>
    <s v="Male"/>
    <s v="Male"/>
    <s v="94.113.169.249"/>
    <s v="8.124.43.153"/>
    <n v="319"/>
    <n v="319"/>
    <s v="NYSE"/>
    <s v="TUP"/>
    <s v="Tupperware Brands Corporation"/>
    <x v="5"/>
    <s v="Plastic Products"/>
    <s v="$3.6B"/>
    <n v="3600000000"/>
    <n v="1990.33"/>
    <n v="-11.7"/>
    <n v="89835457"/>
    <d v="2024-07-26T00:00:00"/>
    <s v="Complete"/>
    <m/>
  </r>
  <r>
    <s v="rpendock8v"/>
    <s v="cbsnews.com"/>
    <s v="Reilly"/>
    <s v="Pendock"/>
    <s v="Male"/>
    <s v="Male"/>
    <s v="28.241.31.226"/>
    <s v="105.150.93.77"/>
    <n v="320"/>
    <n v="320"/>
    <s v="NYSE"/>
    <s v="CTDD"/>
    <s v="Qwest Corporation"/>
    <x v="8"/>
    <s v="Telecommunications Equipment"/>
    <s v="N/A"/>
    <n v="0"/>
    <n v="1152.96"/>
    <n v="5.3"/>
    <n v="183700921"/>
    <d v="2024-07-20T00:00:00"/>
    <s v="Missing"/>
    <m/>
  </r>
  <r>
    <s v="csneaker8w"/>
    <s v="howstuffworks.com"/>
    <s v="Cary"/>
    <s v="Sneaker"/>
    <s v="Female"/>
    <s v="Female"/>
    <s v="247.221.108.7"/>
    <s v="73.19.15.95"/>
    <n v="321"/>
    <n v="321"/>
    <s v="NASDAQ"/>
    <s v="IXYS"/>
    <s v="IXYS Corporation"/>
    <x v="4"/>
    <s v="Semiconductors"/>
    <s v="$513.83M"/>
    <n v="513830000.00000006"/>
    <n v="1667.56"/>
    <n v="-18.100000000000001"/>
    <n v="17284662"/>
    <d v="2021-02-21T00:00:00"/>
    <s v="Complete"/>
    <m/>
  </r>
  <r>
    <s v="umaccart8x"/>
    <s v="lulu.com"/>
    <s v="Upton"/>
    <s v="MacCart"/>
    <s v="Male"/>
    <s v="Male"/>
    <s v="82.233.253.129"/>
    <s v="164.181.47.168"/>
    <n v="322"/>
    <n v="322"/>
    <s v="NYSE"/>
    <s v="CPK"/>
    <s v="Chesapeake Utilities Corporation"/>
    <x v="8"/>
    <s v="Oil &amp; Gas Production"/>
    <s v="$1.23B"/>
    <n v="1230000000"/>
    <n v="693.37"/>
    <n v="-10.64"/>
    <n v="69441453"/>
    <d v="2022-05-10T00:00:00"/>
    <s v="Complete"/>
    <m/>
  </r>
  <r>
    <s v="nmasserel8y"/>
    <s v="bravesites.com"/>
    <s v="Nevins"/>
    <s v="Masserel"/>
    <s v="Male"/>
    <s v="Male"/>
    <s v="51.217.33.121"/>
    <s v="219.50.63.230"/>
    <n v="323"/>
    <n v="323"/>
    <s v="NASDAQ"/>
    <s v="CCCR"/>
    <s v="China Commercial Credit, Inc."/>
    <x v="3"/>
    <s v="Major Banks"/>
    <s v="$53.7M"/>
    <n v="53700000"/>
    <n v="217.03"/>
    <n v="-8.9600000000000009"/>
    <n v="173718796"/>
    <d v="2021-05-10T00:00:00"/>
    <s v="Complete"/>
    <m/>
  </r>
  <r>
    <s v="jmargaritelli8z"/>
    <s v="illinois.edu"/>
    <s v="Jessamine"/>
    <s v="Margaritelli"/>
    <s v="Female"/>
    <s v="Female"/>
    <s v="193.255.235.230"/>
    <s v="166.226.78.222"/>
    <n v="324"/>
    <n v="324"/>
    <s v="NYSE"/>
    <s v="CUDA"/>
    <s v="Barracuda Networks, Inc."/>
    <x v="4"/>
    <s v="Computer peripheral equipment"/>
    <s v="$1.17B"/>
    <n v="1170000000"/>
    <n v="1525.26"/>
    <n v="-8.7100000000000009"/>
    <n v="32564146"/>
    <d v="2024-12-22T00:00:00"/>
    <s v="Complete"/>
    <m/>
  </r>
  <r>
    <s v="lcarnegy90"/>
    <s v="yellowbook.com"/>
    <s v="Luce"/>
    <s v="Carnegy"/>
    <s v="Male"/>
    <s v="Male"/>
    <s v="131.255.116.206"/>
    <s v="143.107.242.123"/>
    <n v="325"/>
    <n v="325"/>
    <s v="NYSE"/>
    <s v="SSW^E"/>
    <s v="Seaspan Corporation"/>
    <x v="2"/>
    <s v="N/A"/>
    <s v="N/A"/>
    <n v="0"/>
    <n v="897.96"/>
    <n v="9.84"/>
    <n v="20986618"/>
    <d v="2024-11-17T00:00:00"/>
    <s v="Missing"/>
    <m/>
  </r>
  <r>
    <s v="ctidbold91"/>
    <s v="twitpic.com"/>
    <s v="Carlynn"/>
    <s v="Tidbold"/>
    <s v="Female"/>
    <s v="Female"/>
    <s v="191.35.168.102"/>
    <s v="21.88.175.180"/>
    <n v="326"/>
    <n v="326"/>
    <s v="NASDAQ"/>
    <s v="SANM"/>
    <s v="Sanmina Corporation"/>
    <x v="4"/>
    <s v="Electrical Products"/>
    <s v="$2.83B"/>
    <n v="2830000000"/>
    <n v="1496.26"/>
    <n v="-7.21"/>
    <n v="94274035"/>
    <d v="2020-09-03T00:00:00"/>
    <s v="Complete"/>
    <m/>
  </r>
  <r>
    <s v="jtough92"/>
    <s v="netvibes.com"/>
    <s v="Jeremias"/>
    <s v="Tough"/>
    <s v="Male"/>
    <s v="Male"/>
    <s v="12.34.187.226"/>
    <s v="215.92.192.75"/>
    <n v="327"/>
    <n v="327"/>
    <s v="NASDAQ"/>
    <s v="CALA"/>
    <s v="Calithera Biosciences, Inc."/>
    <x v="0"/>
    <s v="Major Pharmaceuticals"/>
    <s v="$508.24M"/>
    <n v="508240000"/>
    <n v="482.29"/>
    <n v="-8"/>
    <n v="106878539"/>
    <d v="2025-11-27T00:00:00"/>
    <s v="Complete"/>
    <m/>
  </r>
  <r>
    <s v="ljackman93"/>
    <s v="rediff.com"/>
    <s v="Lissi"/>
    <s v="Jackman"/>
    <s v="Female"/>
    <s v="Female"/>
    <s v="219.104.140.247"/>
    <s v="203.38.91.38"/>
    <n v="328"/>
    <n v="328"/>
    <s v="NYSE"/>
    <s v="WMLP"/>
    <s v="Westmoreland Resource Partners, LP"/>
    <x v="9"/>
    <s v="Coal Mining"/>
    <s v="$4.11M"/>
    <n v="4110000.0000000005"/>
    <n v="494.65"/>
    <n v="17.68"/>
    <n v="93174297"/>
    <d v="2021-03-25T00:00:00"/>
    <s v="Complete"/>
    <m/>
  </r>
  <r>
    <s v="mdoyland94"/>
    <s v="last.fm"/>
    <s v="Margot"/>
    <s v="Doyland"/>
    <s v="Polygender"/>
    <s v="Other"/>
    <s v="143.72.194.199"/>
    <s v="15.243.244.230"/>
    <n v="329"/>
    <n v="329"/>
    <s v="NYSE"/>
    <s v="JE^A"/>
    <s v="Just Energy Group, Inc."/>
    <x v="2"/>
    <s v="N/A"/>
    <s v="N/A"/>
    <n v="0"/>
    <n v="1441.44"/>
    <n v="-11.85"/>
    <n v="100737683"/>
    <d v="2026-06-07T00:00:00"/>
    <s v="Missing"/>
    <m/>
  </r>
  <r>
    <s v="sstork95"/>
    <s v="usgs.gov"/>
    <s v="Shannan"/>
    <s v="Stork"/>
    <s v="Male"/>
    <s v="Male"/>
    <s v="228.225.195.218"/>
    <s v="33.24.21.245"/>
    <n v="330"/>
    <n v="330"/>
    <s v="NYSE"/>
    <s v="NLY"/>
    <s v="Annaly Capital Management Inc"/>
    <x v="6"/>
    <s v="Real Estate Investment Trusts"/>
    <s v="$12.59B"/>
    <n v="12590000000"/>
    <n v="1771.1"/>
    <n v="-6.81"/>
    <n v="131504020"/>
    <d v="2024-07-07T00:00:00"/>
    <s v="Complete"/>
    <m/>
  </r>
  <r>
    <s v="mmelbourne96"/>
    <s v="google.co.jp"/>
    <s v="Mychal"/>
    <s v="Melbourne"/>
    <s v="Male"/>
    <s v="Male"/>
    <s v="243.54.19.161"/>
    <s v="227.245.85.202"/>
    <n v="331"/>
    <n v="331"/>
    <s v="NASDAQ"/>
    <s v="AXDX"/>
    <s v="Accelerate Diagnostics, Inc."/>
    <x v="1"/>
    <s v="Biotechnology: Laboratory Analytical Instruments"/>
    <s v="$1.53B"/>
    <n v="1530000000"/>
    <n v="1282.06"/>
    <n v="1.59"/>
    <n v="40809876"/>
    <d v="2020-11-24T00:00:00"/>
    <s v="Complete"/>
    <m/>
  </r>
  <r>
    <s v="lslayford97"/>
    <s v="bizjournals.com"/>
    <s v="Lukas"/>
    <s v="Slayford"/>
    <s v="Male"/>
    <s v="Male"/>
    <s v="83.248.229.82"/>
    <s v="210.28.68.241"/>
    <n v="332"/>
    <n v="332"/>
    <s v="NASDAQ"/>
    <s v="LPCN"/>
    <s v="Lipocine Inc."/>
    <x v="0"/>
    <s v="Major Pharmaceuticals"/>
    <s v="$74.57M"/>
    <n v="74570000"/>
    <n v="1962.33"/>
    <n v="-3.34"/>
    <n v="16495184"/>
    <d v="2026-09-19T00:00:00"/>
    <s v="Complete"/>
    <m/>
  </r>
  <r>
    <s v="aheadings98"/>
    <s v="unc.edu"/>
    <s v="Addison"/>
    <s v="Headings"/>
    <s v="Polygender"/>
    <s v="Other"/>
    <s v="99.122.20.90"/>
    <s v="131.66.112.237"/>
    <n v="333"/>
    <n v="333"/>
    <s v="NASDAQ"/>
    <s v="CXRX"/>
    <s v="Concordia International Corp."/>
    <x v="0"/>
    <s v="Major Pharmaceuticals"/>
    <s v="$56.73M"/>
    <n v="56730000"/>
    <n v="1780.63"/>
    <n v="2.23"/>
    <n v="122798646"/>
    <d v="2021-07-01T00:00:00"/>
    <s v="Complete"/>
    <m/>
  </r>
  <r>
    <s v="kvalentine99"/>
    <s v="jiathis.com"/>
    <s v="Kimmie"/>
    <s v="Valentine"/>
    <s v="Female"/>
    <s v="Female"/>
    <s v="69.150.157.176"/>
    <s v="151.41.185.163"/>
    <n v="334"/>
    <n v="334"/>
    <s v="NYSE"/>
    <s v="GNW"/>
    <s v="Genworth Financial Inc"/>
    <x v="3"/>
    <s v="Life Insurance"/>
    <s v="$1.82B"/>
    <n v="1820000000"/>
    <n v="1568.09"/>
    <n v="-6.62"/>
    <n v="37867331"/>
    <d v="2026-03-15T00:00:00"/>
    <s v="Complete"/>
    <m/>
  </r>
  <r>
    <s v="mholdey9a"/>
    <s v="walmart.com"/>
    <s v="Madison"/>
    <s v="Holdey"/>
    <s v="Male"/>
    <s v="Male"/>
    <s v="226.183.55.240"/>
    <s v="62.254.22.20"/>
    <n v="335"/>
    <n v="335"/>
    <s v="NASDAQ"/>
    <s v="CTMX"/>
    <s v="CytomX Therapeutics, Inc."/>
    <x v="0"/>
    <s v="Major Pharmaceuticals"/>
    <s v="$499.8M"/>
    <n v="499800000"/>
    <n v="138.49"/>
    <n v="-5.91"/>
    <n v="140683598"/>
    <d v="2022-09-24T00:00:00"/>
    <s v="Complete"/>
    <m/>
  </r>
  <r>
    <s v="asleigh9b"/>
    <s v="scientificamerican.com"/>
    <s v="Aldin"/>
    <s v="Sleigh"/>
    <s v="Male"/>
    <s v="Male"/>
    <s v="133.98.140.239"/>
    <s v="156.155.39.51"/>
    <n v="336"/>
    <n v="336"/>
    <s v="NYSE"/>
    <s v="YUM"/>
    <s v="Yum! Brands, Inc."/>
    <x v="6"/>
    <s v="Restaurants"/>
    <s v="$25.34B"/>
    <n v="25340000000"/>
    <n v="563.84"/>
    <n v="6.75"/>
    <n v="122346355"/>
    <d v="2022-07-08T00:00:00"/>
    <s v="Complete"/>
    <m/>
  </r>
  <r>
    <s v="ktest9c"/>
    <s v="wordpress.com"/>
    <s v="Kendall"/>
    <s v="Test"/>
    <s v="Bigender"/>
    <s v="Other"/>
    <s v="42.255.41.35"/>
    <s v="110.192.19.76"/>
    <n v="337"/>
    <n v="337"/>
    <s v="NYSE"/>
    <s v="KFY"/>
    <s v="Korn/Ferry International"/>
    <x v="4"/>
    <s v="Diversified Commercial Services"/>
    <s v="$1.88B"/>
    <n v="1880000000"/>
    <n v="910.66"/>
    <n v="-10.72"/>
    <n v="142021219"/>
    <d v="2024-04-25T00:00:00"/>
    <s v="Complete"/>
    <m/>
  </r>
  <r>
    <s v="bvenning9d"/>
    <s v="scribd.com"/>
    <s v="Blinny"/>
    <s v="Venning"/>
    <s v="Female"/>
    <s v="Female"/>
    <s v="38.115.32.141"/>
    <s v="19.156.241.40"/>
    <n v="338"/>
    <n v="338"/>
    <s v="NASDAQ"/>
    <s v="AETI"/>
    <s v="American Electric Technologies, Inc."/>
    <x v="9"/>
    <s v="Industrial Machinery/Components"/>
    <s v="$12.31M"/>
    <n v="12310000"/>
    <n v="570.61"/>
    <n v="4.45"/>
    <n v="115226075"/>
    <d v="2021-11-11T00:00:00"/>
    <s v="Complete"/>
    <m/>
  </r>
  <r>
    <s v="egepson9e"/>
    <s v="topsy.com"/>
    <s v="Eugenie"/>
    <s v="Gepson"/>
    <s v="Female"/>
    <s v="Female"/>
    <s v="52.247.165.136"/>
    <s v="131.24.72.216"/>
    <n v="339"/>
    <n v="339"/>
    <s v="NASDAQ"/>
    <s v="SPLK"/>
    <s v="Splunk Inc."/>
    <x v="4"/>
    <s v="Computer Software: Prepackaged Software"/>
    <s v="$7.96B"/>
    <n v="7960000000"/>
    <n v="258.56"/>
    <n v="14.48"/>
    <n v="117669960"/>
    <d v="2020-07-10T00:00:00"/>
    <s v="Complete"/>
    <m/>
  </r>
  <r>
    <s v="ggothup9f"/>
    <s v="nydailynews.com"/>
    <s v="Goldarina"/>
    <s v="Gothup"/>
    <s v="Female"/>
    <s v="Female"/>
    <s v="86.127.124.203"/>
    <s v="198.245.255.141"/>
    <n v="340"/>
    <n v="340"/>
    <s v="NASDAQ"/>
    <s v="BBC"/>
    <s v="BioShares Biotechnology Clinical Trials Fund"/>
    <x v="2"/>
    <s v="N/A"/>
    <s v="$23.35M"/>
    <n v="23350000"/>
    <n v="1462.64"/>
    <n v="0.01"/>
    <n v="163635499"/>
    <d v="2026-01-10T00:00:00"/>
    <s v="Missing"/>
    <m/>
  </r>
  <r>
    <s v="fframmingham9g"/>
    <s v="uol.com.br"/>
    <s v="Faunie"/>
    <s v="Frammingham"/>
    <s v="Female"/>
    <s v="Female"/>
    <s v="158.138.243.138"/>
    <s v="150.48.2.199"/>
    <n v="341"/>
    <n v="341"/>
    <s v="NASDAQ"/>
    <s v="FWP"/>
    <s v="Forward Pharma A/S"/>
    <x v="0"/>
    <s v="Major Pharmaceuticals"/>
    <s v="$1.04B"/>
    <n v="1040000000"/>
    <n v="431.87"/>
    <n v="-14.02"/>
    <n v="198843671"/>
    <d v="2021-07-17T00:00:00"/>
    <s v="Complete"/>
    <m/>
  </r>
  <r>
    <s v="ssaffin9h"/>
    <s v="wikia.com"/>
    <s v="Stacie"/>
    <s v="Saffin"/>
    <s v="Female"/>
    <s v="Female"/>
    <s v="184.16.133.113"/>
    <s v="139.113.94.39"/>
    <n v="342"/>
    <n v="342"/>
    <s v="NYSE"/>
    <s v="EFT"/>
    <s v="Eaton Vance Floating Rate Income Trust"/>
    <x v="2"/>
    <s v="N/A"/>
    <s v="$605.93M"/>
    <n v="605930000"/>
    <n v="1459.25"/>
    <n v="0.87"/>
    <n v="54679515"/>
    <d v="2025-04-10T00:00:00"/>
    <s v="Missing"/>
    <m/>
  </r>
  <r>
    <s v="ebarg9i"/>
    <s v="moonfruit.com"/>
    <s v="Edi"/>
    <s v="Barg"/>
    <s v="Female"/>
    <s v="Female"/>
    <s v="154.32.47.111"/>
    <s v="169.41.162.167"/>
    <n v="343"/>
    <n v="343"/>
    <s v="NYSE"/>
    <s v="SAN^I"/>
    <s v="Banco Santander, S.A."/>
    <x v="2"/>
    <s v="N/A"/>
    <s v="N/A"/>
    <n v="0"/>
    <n v="1662.5"/>
    <n v="-17.46"/>
    <n v="85818132"/>
    <d v="2025-08-31T00:00:00"/>
    <s v="Missing"/>
    <m/>
  </r>
  <r>
    <s v="ehorlick9j"/>
    <s v="bandcamp.com"/>
    <s v="Eric"/>
    <s v="Horlick"/>
    <s v="Male"/>
    <s v="Male"/>
    <s v="129.184.14.26"/>
    <s v="120.199.222.198"/>
    <n v="344"/>
    <n v="344"/>
    <s v="NASDAQ"/>
    <s v="SMBK"/>
    <s v="SmartFinancial, Inc."/>
    <x v="3"/>
    <s v="Major Banks"/>
    <s v="$201.19M"/>
    <n v="201190000"/>
    <n v="1705.11"/>
    <n v="-12.75"/>
    <n v="70789318"/>
    <d v="2021-08-01T00:00:00"/>
    <s v="Complete"/>
    <m/>
  </r>
  <r>
    <s v="krobbel9k"/>
    <s v="e-recht24.de"/>
    <s v="Kaylil"/>
    <s v="Robbel"/>
    <s v="Female"/>
    <s v="Female"/>
    <s v="147.231.29.14"/>
    <s v="81.162.167.156"/>
    <n v="345"/>
    <n v="345"/>
    <s v="NASDAQ"/>
    <s v="HOLI"/>
    <s v="Hollysys Automation Technologies, Ltd."/>
    <x v="9"/>
    <s v="Industrial Machinery/Components"/>
    <s v="$1.04B"/>
    <n v="1040000000"/>
    <n v="1337.51"/>
    <n v="-17.510000000000002"/>
    <n v="170970217"/>
    <d v="2026-10-02T00:00:00"/>
    <s v="Complete"/>
    <m/>
  </r>
  <r>
    <s v="ejoao9l"/>
    <s v="4shared.com"/>
    <s v="Erinna"/>
    <s v="Joao"/>
    <s v="Female"/>
    <s v="Female"/>
    <s v="81.215.233.132"/>
    <s v="169.185.118.62"/>
    <n v="346"/>
    <n v="346"/>
    <s v="NASDAQ"/>
    <s v="COBZ"/>
    <s v="CoBiz Financial Inc."/>
    <x v="3"/>
    <s v="Major Banks"/>
    <s v="$691.58M"/>
    <n v="691580000"/>
    <n v="1114.3900000000001"/>
    <n v="-5.09"/>
    <n v="113956253"/>
    <d v="2022-04-03T00:00:00"/>
    <s v="Complete"/>
    <m/>
  </r>
  <r>
    <s v="aaynscombe9m"/>
    <s v="ucoz.com"/>
    <s v="Arielle"/>
    <s v="Aynscombe"/>
    <s v="Female"/>
    <s v="Female"/>
    <s v="98.11.162.247"/>
    <s v="132.153.178.68"/>
    <n v="347"/>
    <n v="347"/>
    <s v="NASDAQ"/>
    <s v="UMBF"/>
    <s v="UMB Financial Corporation"/>
    <x v="3"/>
    <s v="Major Banks"/>
    <s v="$3.68B"/>
    <n v="3680000000"/>
    <n v="1606.86"/>
    <n v="15.36"/>
    <n v="87171198"/>
    <d v="2026-07-22T00:00:00"/>
    <s v="Complete"/>
    <m/>
  </r>
  <r>
    <s v="pgreep9n"/>
    <s v="baidu.com"/>
    <s v="Pris"/>
    <s v="Greep"/>
    <s v="Female"/>
    <s v="Female"/>
    <s v="238.164.208.253"/>
    <s v="229.52.237.102"/>
    <n v="348"/>
    <n v="348"/>
    <s v="NASDAQ"/>
    <s v="SPKEP"/>
    <s v="Spark Energy, Inc."/>
    <x v="8"/>
    <s v="Power Generation"/>
    <s v="N/A"/>
    <n v="0"/>
    <n v="1469.5"/>
    <n v="8.69"/>
    <n v="41104603"/>
    <d v="2021-01-12T00:00:00"/>
    <s v="Missing"/>
    <m/>
  </r>
  <r>
    <s v="emacgillivrie9o"/>
    <s v="over-blog.com"/>
    <s v="Erinna"/>
    <s v="MacGillivrie"/>
    <s v="Female"/>
    <s v="Female"/>
    <s v="159.102.224.67"/>
    <s v="130.157.185.186"/>
    <n v="349"/>
    <n v="349"/>
    <s v="NYSE"/>
    <s v="UVE"/>
    <s v="UNIVERSAL INSURANCE HOLDINGS INC"/>
    <x v="3"/>
    <s v="Property-Casualty Insurers"/>
    <s v="$882.08M"/>
    <n v="882080000"/>
    <n v="963.32"/>
    <n v="11.63"/>
    <n v="175407221"/>
    <d v="2025-03-25T00:00:00"/>
    <s v="Complete"/>
    <m/>
  </r>
  <r>
    <s v="rdeambrosis9p"/>
    <s v="ocn.ne.jp"/>
    <s v="Rad"/>
    <s v="De Ambrosis"/>
    <s v="Male"/>
    <s v="Male"/>
    <s v="115.152.250.213"/>
    <s v="206.243.52.20"/>
    <n v="350"/>
    <n v="350"/>
    <s v="NYSE"/>
    <s v="CIM^A"/>
    <s v="Chimera Investment Corporation"/>
    <x v="2"/>
    <s v="N/A"/>
    <s v="N/A"/>
    <n v="0"/>
    <n v="1402.43"/>
    <n v="-17.600000000000001"/>
    <n v="11505408"/>
    <d v="2020-07-12T00:00:00"/>
    <s v="Missing"/>
    <m/>
  </r>
  <r>
    <s v="blettsom9q"/>
    <s v="telegraph.co.uk"/>
    <s v="Bruce"/>
    <s v="Lettsom"/>
    <s v="Male"/>
    <s v="Male"/>
    <s v="169.141.170.12"/>
    <s v="30.52.8.208"/>
    <n v="351"/>
    <n v="351"/>
    <s v="NASDAQ"/>
    <s v="SPKE"/>
    <s v="Spark Energy, Inc."/>
    <x v="8"/>
    <s v="Power Generation"/>
    <s v="$806.93M"/>
    <n v="806930000"/>
    <n v="1839.45"/>
    <n v="0.69"/>
    <n v="104252625"/>
    <d v="2020-11-18T00:00:00"/>
    <s v="Complete"/>
    <m/>
  </r>
  <r>
    <s v="tobruen9r"/>
    <s v="weather.com"/>
    <s v="Thain"/>
    <s v="O'Bruen"/>
    <s v="Male"/>
    <s v="Male"/>
    <s v="170.142.19.92"/>
    <s v="237.99.109.122"/>
    <n v="352"/>
    <n v="352"/>
    <s v="NASDAQ"/>
    <s v="SHLM"/>
    <s v="A. Schulman, Inc."/>
    <x v="10"/>
    <s v="Major Chemicals"/>
    <s v="$855.12M"/>
    <n v="855120000"/>
    <n v="1147.93"/>
    <n v="6.57"/>
    <n v="62365170"/>
    <d v="2026-12-22T00:00:00"/>
    <s v="Complete"/>
    <m/>
  </r>
  <r>
    <s v="edewane9s"/>
    <s v="hostgator.com"/>
    <s v="Erinn"/>
    <s v="Dewane"/>
    <s v="Female"/>
    <s v="Female"/>
    <s v="55.193.91.189"/>
    <s v="169.193.108.177"/>
    <n v="353"/>
    <n v="353"/>
    <s v="NASDAQ"/>
    <s v="BCPC"/>
    <s v="Balchem Corporation"/>
    <x v="10"/>
    <s v="Major Chemicals"/>
    <s v="$2.56B"/>
    <n v="2560000000"/>
    <n v="869.21"/>
    <n v="-14.55"/>
    <n v="146348123"/>
    <d v="2026-09-19T00:00:00"/>
    <s v="Complete"/>
    <m/>
  </r>
  <r>
    <s v="inind9t"/>
    <s v="omniture.com"/>
    <s v="Irwinn"/>
    <s v="Nind"/>
    <s v="Male"/>
    <s v="Male"/>
    <s v="77.247.200.54"/>
    <s v="40.247.58.185"/>
    <n v="354"/>
    <n v="354"/>
    <s v="NASDAQ"/>
    <s v="EYESW"/>
    <s v="Second Sight Medical Products, Inc."/>
    <x v="0"/>
    <s v="Biotechnology: Electromedical &amp; Electrotherapeutic Apparatus"/>
    <s v="N/A"/>
    <n v="0"/>
    <n v="9"/>
    <n v="-19.93"/>
    <n v="21602581"/>
    <d v="2025-08-31T00:00:00"/>
    <s v="Missing"/>
    <m/>
  </r>
  <r>
    <s v="bgabriel9u"/>
    <s v="scribd.com"/>
    <s v="Benyamin"/>
    <s v="Gabriel"/>
    <s v="Male"/>
    <s v="Male"/>
    <s v="64.45.250.206"/>
    <s v="207.33.232.217"/>
    <n v="355"/>
    <n v="355"/>
    <s v="NYSE"/>
    <s v="SMLP"/>
    <s v="Summit Midstream Partners, LP"/>
    <x v="8"/>
    <s v="Natural Gas Distribution"/>
    <s v="$1.7B"/>
    <n v="1700000000"/>
    <n v="457.76"/>
    <n v="-0.27"/>
    <n v="77862066"/>
    <d v="2021-07-26T00:00:00"/>
    <s v="Complete"/>
    <m/>
  </r>
  <r>
    <s v="ebranson9v"/>
    <s v="google.com.br"/>
    <s v="Even"/>
    <s v="Branson"/>
    <s v="Male"/>
    <s v="Male"/>
    <s v="252.214.137.7"/>
    <s v="117.134.233.156"/>
    <n v="356"/>
    <n v="356"/>
    <s v="NASDAQ"/>
    <s v="ACHN"/>
    <s v="Achillion Pharmaceuticals, Inc."/>
    <x v="0"/>
    <s v="Major Pharmaceuticals"/>
    <s v="$578.34M"/>
    <n v="578340000"/>
    <n v="386.14"/>
    <n v="1.36"/>
    <n v="141010655"/>
    <d v="2021-05-07T00:00:00"/>
    <s v="Complete"/>
    <m/>
  </r>
  <r>
    <s v="tandrioli9w"/>
    <s v="imgur.com"/>
    <s v="Tess"/>
    <s v="Andrioli"/>
    <s v="Female"/>
    <s v="Female"/>
    <s v="235.171.101.41"/>
    <s v="238.97.232.93"/>
    <n v="357"/>
    <n v="357"/>
    <s v="NASDAQ"/>
    <s v="LNTH"/>
    <s v="Lantheus Holdings, Inc."/>
    <x v="0"/>
    <s v="Biotechnology: In Vitro &amp; In Vivo Diagnostic Substances"/>
    <s v="$562.75M"/>
    <n v="562750000"/>
    <n v="1889.57"/>
    <n v="-0.95"/>
    <n v="173998589"/>
    <d v="2025-08-28T00:00:00"/>
    <s v="Complete"/>
    <m/>
  </r>
  <r>
    <s v="mtrunks9x"/>
    <s v="un.org"/>
    <s v="Maxie"/>
    <s v="Trunks"/>
    <s v="Female"/>
    <s v="Female"/>
    <s v="255.206.137.247"/>
    <s v="121.150.185.75"/>
    <n v="358"/>
    <n v="358"/>
    <s v="NYSE"/>
    <s v="TCF^C"/>
    <s v="TCF Financial Corporation"/>
    <x v="2"/>
    <s v="N/A"/>
    <s v="N/A"/>
    <n v="0"/>
    <n v="360.33"/>
    <n v="17.170000000000002"/>
    <n v="81328844"/>
    <d v="2021-10-05T00:00:00"/>
    <s v="Missing"/>
    <m/>
  </r>
  <r>
    <s v="mbenck9y"/>
    <s v="flickr.com"/>
    <s v="Morgana"/>
    <s v="Benck"/>
    <s v="Female"/>
    <s v="Female"/>
    <s v="254.203.35.90"/>
    <s v="45.27.212.70"/>
    <n v="359"/>
    <n v="359"/>
    <s v="NASDAQ"/>
    <s v="CVLY"/>
    <s v="Codorus Valley Bancorp, Inc"/>
    <x v="3"/>
    <s v="Savings Institutions"/>
    <s v="$225.47M"/>
    <n v="225470000"/>
    <n v="183.93"/>
    <n v="-11.33"/>
    <n v="175718609"/>
    <d v="2023-06-19T00:00:00"/>
    <s v="Complete"/>
    <m/>
  </r>
  <r>
    <s v="fkiltie9z"/>
    <s v="prlog.org"/>
    <s v="Fionnula"/>
    <s v="Kiltie"/>
    <s v="Female"/>
    <s v="Female"/>
    <s v="149.218.233.249"/>
    <s v="8.206.22.251"/>
    <n v="360"/>
    <n v="360"/>
    <s v="NYSE"/>
    <s v="PBT"/>
    <s v="Permian Basin Royalty Trust"/>
    <x v="9"/>
    <s v="Oil &amp; Gas Production"/>
    <s v="$426.47M"/>
    <n v="426470000"/>
    <n v="157.61000000000001"/>
    <n v="2.4"/>
    <n v="109994523"/>
    <d v="2021-11-02T00:00:00"/>
    <s v="Complete"/>
    <m/>
  </r>
  <r>
    <s v="clowselya0"/>
    <s v="domainmarket.com"/>
    <s v="Carolina"/>
    <s v="Lowsely"/>
    <s v="Female"/>
    <s v="Female"/>
    <s v="173.76.4.143"/>
    <s v="44.243.115.92"/>
    <n v="361"/>
    <n v="361"/>
    <s v="NYSE"/>
    <s v="DFT"/>
    <s v="Dupont Fabros Technology, Inc."/>
    <x v="3"/>
    <s v="Real Estate"/>
    <s v="$4.93B"/>
    <n v="4930000000"/>
    <n v="1595.42"/>
    <n v="-4.3099999999999996"/>
    <n v="82953569"/>
    <d v="2023-05-20T00:00:00"/>
    <s v="Complete"/>
    <m/>
  </r>
  <r>
    <s v="lcortera1"/>
    <s v="rambler.ru"/>
    <s v="Laurent"/>
    <s v="Corter"/>
    <s v="Male"/>
    <s v="Male"/>
    <s v="192.98.109.107"/>
    <s v="9.111.84.153"/>
    <n v="362"/>
    <n v="362"/>
    <s v="NYSE"/>
    <s v="CVO"/>
    <s v="Cenveo Inc"/>
    <x v="11"/>
    <s v="Containers/Packaging"/>
    <s v="$52.17M"/>
    <n v="52170000"/>
    <n v="1506.12"/>
    <n v="-1.39"/>
    <n v="9599649"/>
    <d v="2025-04-08T00:00:00"/>
    <s v="Complete"/>
    <m/>
  </r>
  <r>
    <s v="wsimonatoa2"/>
    <s v="weather.com"/>
    <s v="Winifield"/>
    <s v="Simonato"/>
    <s v="Male"/>
    <s v="Male"/>
    <s v="127.215.30.234"/>
    <s v="119.105.182.133"/>
    <n v="363"/>
    <n v="363"/>
    <s v="NYSE"/>
    <s v="WEC"/>
    <s v="WEC Energy Group, Inc."/>
    <x v="8"/>
    <s v="Power Generation"/>
    <s v="$20.27B"/>
    <n v="20270000000"/>
    <n v="483.32"/>
    <n v="-3.66"/>
    <n v="13989564"/>
    <d v="2026-10-08T00:00:00"/>
    <s v="Complete"/>
    <m/>
  </r>
  <r>
    <s v="bwarbeysa3"/>
    <s v="dedecms.com"/>
    <s v="Berny"/>
    <s v="Warbeys"/>
    <s v="Polygender"/>
    <s v="Other"/>
    <s v="186.117.255.105"/>
    <s v="57.150.220.248"/>
    <n v="364"/>
    <n v="364"/>
    <s v="NYSE"/>
    <s v="USPH"/>
    <s v="U.S. Physical Therapy, Inc."/>
    <x v="0"/>
    <s v="Medical/Nursing Services"/>
    <s v="$787.59M"/>
    <n v="787590000"/>
    <n v="179.34"/>
    <n v="-14.42"/>
    <n v="117116643"/>
    <d v="2022-12-21T00:00:00"/>
    <s v="Complete"/>
    <m/>
  </r>
  <r>
    <s v="rdudinga4"/>
    <s v="google.pl"/>
    <s v="Rhona"/>
    <s v="Duding"/>
    <s v="Female"/>
    <s v="Female"/>
    <s v="206.229.28.184"/>
    <s v="133.105.35.231"/>
    <n v="365"/>
    <n v="365"/>
    <s v="NASDAQ"/>
    <s v="WHLRP"/>
    <s v="Wheeler Real Estate Investment Trust, Inc."/>
    <x v="6"/>
    <s v="Real Estate Investment Trusts"/>
    <s v="$16.13M"/>
    <n v="16129999.999999998"/>
    <n v="353.61"/>
    <n v="11.8"/>
    <n v="44797804"/>
    <d v="2024-01-17T00:00:00"/>
    <s v="Complete"/>
    <m/>
  </r>
  <r>
    <s v="adablea5"/>
    <s v="samsung.com"/>
    <s v="Ailene"/>
    <s v="Dable"/>
    <s v="Female"/>
    <s v="Female"/>
    <s v="3.40.232.15"/>
    <s v="64.0.146.204"/>
    <n v="366"/>
    <n v="366"/>
    <s v="NYSE"/>
    <s v="BYD"/>
    <s v="Boyd Gaming Corporation"/>
    <x v="6"/>
    <s v="Hotels/Resorts"/>
    <s v="$2.85B"/>
    <n v="2850000000"/>
    <n v="1916.97"/>
    <n v="-16.11"/>
    <n v="59912843"/>
    <d v="2022-12-03T00:00:00"/>
    <s v="Complete"/>
    <m/>
  </r>
  <r>
    <s v="pstringera6"/>
    <s v="mapquest.com"/>
    <s v="Pepillo"/>
    <s v="Stringer"/>
    <s v="Male"/>
    <s v="Male"/>
    <s v="23.136.47.107"/>
    <s v="62.130.7.85"/>
    <n v="367"/>
    <n v="367"/>
    <s v="NASDAQ"/>
    <s v="PSCI"/>
    <s v="PowerShares S&amp;P SmallCap Industrials Portfolio"/>
    <x v="2"/>
    <s v="N/A"/>
    <s v="$96.27M"/>
    <n v="96270000"/>
    <n v="366.81"/>
    <n v="-4"/>
    <n v="110694210"/>
    <d v="2020-09-09T00:00:00"/>
    <s v="Missing"/>
    <m/>
  </r>
  <r>
    <s v="igladdena7"/>
    <s v="webeden.co.uk"/>
    <s v="Izabel"/>
    <s v="Gladden"/>
    <s v="Bigender"/>
    <s v="Other"/>
    <s v="224.84.3.128"/>
    <s v="75.44.150.140"/>
    <n v="368"/>
    <n v="368"/>
    <s v="NASDAQ"/>
    <s v="PLYAW"/>
    <s v="Playa Hotels &amp; Resorts N.V."/>
    <x v="6"/>
    <s v="Hotels/Resorts"/>
    <s v="N/A"/>
    <n v="0"/>
    <n v="1725.25"/>
    <n v="-19.02"/>
    <n v="152083531"/>
    <d v="2026-04-08T00:00:00"/>
    <s v="Missing"/>
    <m/>
  </r>
  <r>
    <s v="aerdesa8"/>
    <s v="exblog.jp"/>
    <s v="Arty"/>
    <s v="Erdes"/>
    <s v="Male"/>
    <s v="Male"/>
    <s v="140.242.17.131"/>
    <s v="90.211.131.61"/>
    <n v="369"/>
    <n v="369"/>
    <s v="NYSE"/>
    <s v="KFY"/>
    <s v="Korn/Ferry International"/>
    <x v="4"/>
    <s v="Diversified Commercial Services"/>
    <s v="$1.88B"/>
    <n v="1880000000"/>
    <n v="1254.3499999999999"/>
    <n v="15.92"/>
    <n v="138951659"/>
    <d v="2021-06-17T00:00:00"/>
    <s v="Complete"/>
    <m/>
  </r>
  <r>
    <s v="dmonkmana9"/>
    <s v="woothemes.com"/>
    <s v="Dan"/>
    <s v="Monkman"/>
    <s v="Male"/>
    <s v="Male"/>
    <s v="166.73.44.136"/>
    <s v="136.74.8.222"/>
    <n v="370"/>
    <n v="370"/>
    <s v="NYSE"/>
    <s v="ACN"/>
    <s v="Accenture plc"/>
    <x v="7"/>
    <s v="Business Services"/>
    <s v="$81.78B"/>
    <n v="81780000000"/>
    <n v="1095.94"/>
    <n v="-19.3"/>
    <n v="131400820"/>
    <d v="2023-11-25T00:00:00"/>
    <s v="Complete"/>
    <m/>
  </r>
  <r>
    <s v="swarlaweaa"/>
    <s v="disqus.com"/>
    <s v="Sutherlan"/>
    <s v="Warlawe"/>
    <s v="Male"/>
    <s v="Male"/>
    <s v="51.241.64.88"/>
    <s v="254.151.128.173"/>
    <n v="371"/>
    <n v="371"/>
    <s v="NASDAQ"/>
    <s v="ROST"/>
    <s v="Ross Stores, Inc."/>
    <x v="6"/>
    <s v="Clothing/Shoe/Accessory Stores"/>
    <s v="$23.38B"/>
    <n v="23380000000"/>
    <n v="755.28"/>
    <n v="-15.49"/>
    <n v="78454310"/>
    <d v="2026-11-20T00:00:00"/>
    <s v="Complete"/>
    <m/>
  </r>
  <r>
    <s v="agwiltab"/>
    <s v="wikipedia.org"/>
    <s v="Adrea"/>
    <s v="Gwilt"/>
    <s v="Female"/>
    <s v="Female"/>
    <s v="124.182.212.98"/>
    <s v="33.222.45.223"/>
    <n v="372"/>
    <n v="372"/>
    <s v="NASDAQ"/>
    <s v="XCRA"/>
    <s v="Xcerra Corporation"/>
    <x v="1"/>
    <s v="Electrical Products"/>
    <s v="$536.16M"/>
    <n v="536159999.99999994"/>
    <n v="422.22"/>
    <n v="-0.28000000000000003"/>
    <n v="27083210"/>
    <d v="2026-06-30T00:00:00"/>
    <s v="Complete"/>
    <m/>
  </r>
  <r>
    <s v="gvanacciac"/>
    <s v="census.gov"/>
    <s v="Guss"/>
    <s v="Vanacci"/>
    <s v="Male"/>
    <s v="Male"/>
    <s v="8.81.187.13"/>
    <s v="28.105.71.158"/>
    <n v="373"/>
    <n v="373"/>
    <s v="NASDAQ"/>
    <s v="BPMC"/>
    <s v="Blueprint Medicines Corporation"/>
    <x v="0"/>
    <s v="Major Pharmaceuticals"/>
    <s v="$1.56B"/>
    <n v="1560000000"/>
    <n v="1278.19"/>
    <n v="9.25"/>
    <n v="8935981"/>
    <d v="2022-03-30T00:00:00"/>
    <s v="Complete"/>
    <m/>
  </r>
  <r>
    <s v="fwedgead"/>
    <s v="engadget.com"/>
    <s v="Findlay"/>
    <s v="Wedge"/>
    <s v="Male"/>
    <s v="Male"/>
    <s v="113.12.222.114"/>
    <s v="205.77.154.2"/>
    <n v="374"/>
    <n v="374"/>
    <s v="NASDAQ"/>
    <s v="GRID"/>
    <s v="First Trust NASDAQ Clean Edge Smart Grid Infrastructure Index "/>
    <x v="2"/>
    <s v="N/A"/>
    <s v="$21.91M"/>
    <n v="21910000"/>
    <n v="122.38"/>
    <n v="-19.87"/>
    <n v="115704723"/>
    <d v="2023-01-22T00:00:00"/>
    <s v="Missing"/>
    <m/>
  </r>
  <r>
    <s v="ealecockae"/>
    <s v="blogtalkradio.com"/>
    <s v="Erik"/>
    <s v="Alecock"/>
    <s v="Male"/>
    <s v="Male"/>
    <s v="117.216.51.126"/>
    <s v="63.51.221.212"/>
    <n v="375"/>
    <n v="375"/>
    <s v="NYSE"/>
    <s v="HUBB"/>
    <s v="Hubbell Inc"/>
    <x v="1"/>
    <s v="Electrical Products"/>
    <s v="$6.47B"/>
    <n v="6470000000"/>
    <n v="1861.49"/>
    <n v="-1.76"/>
    <n v="127566238"/>
    <d v="2020-05-09T00:00:00"/>
    <s v="Complete"/>
    <m/>
  </r>
  <r>
    <s v="ereichardtaf"/>
    <s v="upenn.edu"/>
    <s v="Emlynne"/>
    <s v="Reichardt"/>
    <s v="Female"/>
    <s v="Female"/>
    <s v="69.242.134.94"/>
    <s v="5.162.2.243"/>
    <n v="376"/>
    <n v="376"/>
    <s v="NYSE"/>
    <s v="PPR"/>
    <s v="Voya Prime Rate Trust"/>
    <x v="2"/>
    <s v="N/A"/>
    <s v="$790.66M"/>
    <n v="790660000"/>
    <n v="907.28"/>
    <n v="15.35"/>
    <n v="64565846"/>
    <d v="2026-12-15T00:00:00"/>
    <s v="Missing"/>
    <m/>
  </r>
  <r>
    <s v="mhardwayag"/>
    <s v="edublogs.org"/>
    <s v="Marchelle"/>
    <s v="Hardway"/>
    <s v="Female"/>
    <s v="Female"/>
    <s v="49.174.192.226"/>
    <s v="113.115.51.216"/>
    <n v="377"/>
    <n v="377"/>
    <s v="NYSE"/>
    <s v="GGZ"/>
    <s v="Gabelli Global Small and Mid Cap Value Trust (The)"/>
    <x v="2"/>
    <s v="N/A"/>
    <s v="$95.4M"/>
    <n v="95400000"/>
    <n v="271.20999999999998"/>
    <n v="-18.420000000000002"/>
    <n v="163968376"/>
    <d v="2024-04-24T00:00:00"/>
    <s v="Missing"/>
    <m/>
  </r>
  <r>
    <s v="mtreaceah"/>
    <s v="google.co.jp"/>
    <s v="Margy"/>
    <s v="Treace"/>
    <s v="Female"/>
    <s v="Female"/>
    <s v="138.87.239.80"/>
    <s v="196.41.24.58"/>
    <n v="378"/>
    <n v="378"/>
    <s v="NYSE"/>
    <s v="TIME"/>
    <s v="Time Inc."/>
    <x v="6"/>
    <s v="Newspapers/Magazines"/>
    <s v="$1.35B"/>
    <n v="1350000000"/>
    <n v="936.05"/>
    <n v="-19.22"/>
    <n v="196132322"/>
    <d v="2024-07-26T00:00:00"/>
    <s v="Complete"/>
    <m/>
  </r>
  <r>
    <s v="rcradocai"/>
    <s v="twitpic.com"/>
    <s v="Ranice"/>
    <s v="Cradoc"/>
    <s v="Genderfluid"/>
    <s v="Other"/>
    <s v="98.61.162.250"/>
    <s v="205.178.124.49"/>
    <n v="379"/>
    <n v="379"/>
    <s v="NASDAQ"/>
    <s v="HAIN"/>
    <s v="The Hain Celestial Group, Inc."/>
    <x v="5"/>
    <s v="Packaged Foods"/>
    <s v="$3.51B"/>
    <n v="3510000000"/>
    <n v="267.92"/>
    <n v="-15.11"/>
    <n v="115680825"/>
    <d v="2023-11-29T00:00:00"/>
    <s v="Complete"/>
    <m/>
  </r>
  <r>
    <s v="bduncombeaj"/>
    <s v="flickr.com"/>
    <s v="Brooks"/>
    <s v="Duncombe"/>
    <s v="Female"/>
    <s v="Female"/>
    <s v="233.89.206.135"/>
    <s v="41.233.78.93"/>
    <n v="380"/>
    <n v="380"/>
    <s v="NASDAQ"/>
    <s v="PYZ"/>
    <s v="PowerShares DWA Basic Materials Momentum Portfolio"/>
    <x v="2"/>
    <s v="N/A"/>
    <s v="$95.77M"/>
    <n v="95770000"/>
    <n v="565.44000000000005"/>
    <n v="-12.51"/>
    <n v="113907223"/>
    <d v="2026-11-30T00:00:00"/>
    <s v="Missing"/>
    <m/>
  </r>
  <r>
    <s v="atrimbeyak"/>
    <s v="cdbaby.com"/>
    <s v="Aksel"/>
    <s v="Trimbey"/>
    <s v="Male"/>
    <s v="Male"/>
    <s v="8.130.2.170"/>
    <s v="164.40.62.179"/>
    <n v="381"/>
    <n v="381"/>
    <s v="NASDAQ"/>
    <s v="NDRM"/>
    <s v="NeuroDerm Ltd."/>
    <x v="0"/>
    <s v="Major Pharmaceuticals"/>
    <s v="$766.44M"/>
    <n v="766440000"/>
    <n v="536.76"/>
    <n v="17.63"/>
    <n v="80812922"/>
    <d v="2024-07-07T00:00:00"/>
    <s v="Complete"/>
    <m/>
  </r>
  <r>
    <s v="ahovieal"/>
    <s v="moonfruit.com"/>
    <s v="Abbie"/>
    <s v="Hovie"/>
    <s v="Male"/>
    <s v="Male"/>
    <s v="124.6.73.175"/>
    <s v="240.79.206.233"/>
    <n v="382"/>
    <n v="382"/>
    <s v="NASDAQ"/>
    <s v="POWI"/>
    <s v="Power Integrations, Inc."/>
    <x v="4"/>
    <s v="Semiconductors"/>
    <s v="$1.89B"/>
    <n v="1890000000"/>
    <n v="783.95"/>
    <n v="-1.33"/>
    <n v="128209681"/>
    <d v="2023-08-21T00:00:00"/>
    <s v="Complete"/>
    <m/>
  </r>
  <r>
    <s v="acrinionam"/>
    <s v="godaddy.com"/>
    <s v="Annabelle"/>
    <s v="Crinion"/>
    <s v="Female"/>
    <s v="Female"/>
    <s v="75.51.105.69"/>
    <s v="209.35.220.201"/>
    <n v="383"/>
    <n v="383"/>
    <s v="NASDAQ"/>
    <s v="RWLK"/>
    <s v="ReWalk Robotics Ltd"/>
    <x v="0"/>
    <s v="Industrial Specialties"/>
    <s v="$20.84M"/>
    <n v="20840000"/>
    <n v="1492.92"/>
    <n v="-19.53"/>
    <n v="147543939"/>
    <d v="2024-08-29T00:00:00"/>
    <s v="Complete"/>
    <m/>
  </r>
  <r>
    <s v="rhulsean"/>
    <s v="youtube.com"/>
    <s v="Rochelle"/>
    <s v="Hulse"/>
    <s v="Female"/>
    <s v="Female"/>
    <s v="212.90.17.208"/>
    <s v="224.46.205.232"/>
    <n v="384"/>
    <n v="384"/>
    <s v="NASDAQ"/>
    <s v="RDI"/>
    <s v="Reading International Inc"/>
    <x v="6"/>
    <s v="Movies/Entertainment"/>
    <s v="$367M"/>
    <n v="367000000"/>
    <n v="1275.99"/>
    <n v="13.16"/>
    <n v="115427461"/>
    <d v="2024-10-12T00:00:00"/>
    <s v="Complete"/>
    <m/>
  </r>
  <r>
    <s v="bclarricoatesao"/>
    <s v="ft.com"/>
    <s v="Bobbi"/>
    <s v="Clarricoates"/>
    <s v="Genderqueer"/>
    <s v="Other"/>
    <s v="29.13.51.90"/>
    <s v="104.254.209.20"/>
    <n v="385"/>
    <n v="385"/>
    <s v="NASDAQ"/>
    <s v="PCTI"/>
    <s v="PC-Tel, Inc."/>
    <x v="4"/>
    <s v="Radio And Television Broadcasting And Communications Equipment"/>
    <s v="$120.74M"/>
    <n v="120740000"/>
    <n v="373.39"/>
    <n v="8.9600000000000009"/>
    <n v="187381222"/>
    <d v="2021-10-02T00:00:00"/>
    <s v="Complete"/>
    <m/>
  </r>
  <r>
    <s v="vlevensap"/>
    <s v="eventbrite.com"/>
    <s v="Viv"/>
    <s v="Levens"/>
    <s v="Female"/>
    <s v="Female"/>
    <s v="4.76.187.48"/>
    <s v="62.250.221.104"/>
    <n v="386"/>
    <n v="386"/>
    <s v="NASDAQ"/>
    <s v="OESX"/>
    <s v="Orion Energy Systems, Inc."/>
    <x v="11"/>
    <s v="Building Products"/>
    <s v="$38.19M"/>
    <n v="38190000"/>
    <n v="1745.01"/>
    <n v="4.57"/>
    <n v="46921888"/>
    <d v="2024-05-11T00:00:00"/>
    <s v="Complete"/>
    <m/>
  </r>
  <r>
    <s v="rgertaq"/>
    <s v="photobucket.com"/>
    <s v="Reine"/>
    <s v="Gert"/>
    <s v="Female"/>
    <s v="Female"/>
    <s v="154.42.185.32"/>
    <s v="53.148.251.128"/>
    <n v="387"/>
    <n v="387"/>
    <s v="NYSE"/>
    <s v="WBT"/>
    <s v="Welbilt, Inc."/>
    <x v="4"/>
    <s v="Industrial Machinery/Components"/>
    <s v="$2.62B"/>
    <n v="2620000000"/>
    <n v="1245.42"/>
    <n v="-15.13"/>
    <n v="52974556"/>
    <d v="2021-11-04T00:00:00"/>
    <s v="Complete"/>
    <m/>
  </r>
  <r>
    <s v="tmannoochar"/>
    <s v="drupal.org"/>
    <s v="Tobi"/>
    <s v="Mannooch"/>
    <s v="Female"/>
    <s v="Female"/>
    <s v="12.246.230.201"/>
    <s v="7.83.47.21"/>
    <n v="388"/>
    <n v="388"/>
    <s v="NYSE"/>
    <s v="NXRT"/>
    <s v="NexPoint Residential Trust, Inc."/>
    <x v="6"/>
    <s v="Real Estate Investment Trusts"/>
    <s v="$536.19M"/>
    <n v="536190000.00000006"/>
    <n v="634.16999999999996"/>
    <n v="5.97"/>
    <n v="20533242"/>
    <d v="2024-09-15T00:00:00"/>
    <s v="Complete"/>
    <m/>
  </r>
  <r>
    <s v="uhubbackas"/>
    <s v="unesco.org"/>
    <s v="Ursula"/>
    <s v="Hubback"/>
    <s v="Female"/>
    <s v="Female"/>
    <s v="222.157.121.177"/>
    <s v="83.248.22.72"/>
    <n v="389"/>
    <n v="389"/>
    <s v="NYSE"/>
    <s v="JONE"/>
    <s v="Jones Energy, Inc."/>
    <x v="9"/>
    <s v="Oil &amp; Gas Production"/>
    <s v="$162.11M"/>
    <n v="162110000"/>
    <n v="1836.29"/>
    <n v="4.22"/>
    <n v="73018825"/>
    <d v="2024-06-28T00:00:00"/>
    <s v="Complete"/>
    <m/>
  </r>
  <r>
    <s v="fbreedyat"/>
    <s v="state.gov"/>
    <s v="Frederich"/>
    <s v="Breedy"/>
    <s v="Male"/>
    <s v="Male"/>
    <s v="80.169.178.249"/>
    <s v="76.31.92.189"/>
    <n v="390"/>
    <n v="390"/>
    <s v="NASDAQ"/>
    <s v="ASRV"/>
    <s v="AmeriServ Financial Inc."/>
    <x v="3"/>
    <s v="Major Banks"/>
    <s v="$76.54M"/>
    <n v="76540000"/>
    <n v="1672.95"/>
    <n v="14.45"/>
    <n v="125984991"/>
    <d v="2026-05-24T00:00:00"/>
    <s v="Complete"/>
    <m/>
  </r>
  <r>
    <s v="rcanfieldau"/>
    <s v="mediafire.com"/>
    <s v="Rey"/>
    <s v="Canfield"/>
    <s v="Female"/>
    <s v="Female"/>
    <s v="74.253.130.226"/>
    <s v="28.2.141.205"/>
    <n v="391"/>
    <n v="391"/>
    <s v="NYSE"/>
    <s v="VMO"/>
    <s v="Invesco Municipal Opportunity Trust"/>
    <x v="2"/>
    <s v="N/A"/>
    <s v="$885.83M"/>
    <n v="885830000"/>
    <n v="174.63"/>
    <n v="3.39"/>
    <n v="170368027"/>
    <d v="2025-03-31T00:00:00"/>
    <s v="Missing"/>
    <m/>
  </r>
  <r>
    <s v="rhaymanav"/>
    <s v="bandcamp.com"/>
    <s v="Raffarty"/>
    <s v="Hayman"/>
    <s v="Male"/>
    <s v="Male"/>
    <s v="201.108.189.189"/>
    <s v="212.62.244.255"/>
    <n v="392"/>
    <n v="392"/>
    <s v="NYSE"/>
    <s v="EOS"/>
    <s v="Eaton Vance Enhanced Equity Income Fund II"/>
    <x v="2"/>
    <s v="N/A"/>
    <s v="$701.96M"/>
    <n v="701960000"/>
    <n v="966.79"/>
    <n v="2.2000000000000002"/>
    <n v="179429061"/>
    <d v="2023-10-13T00:00:00"/>
    <s v="Missing"/>
    <m/>
  </r>
  <r>
    <s v="sturnoraw"/>
    <s v="washingtonpost.com"/>
    <s v="Shanda"/>
    <s v="Turnor"/>
    <s v="Bigender"/>
    <s v="Other"/>
    <s v="4.46.173.156"/>
    <s v="185.195.252.14"/>
    <n v="393"/>
    <n v="393"/>
    <s v="NYSE"/>
    <s v="BIP"/>
    <s v="Brookfield Infrastructure Partners LP"/>
    <x v="6"/>
    <s v="Marine Transportation"/>
    <s v="$10.77B"/>
    <n v="10770000000"/>
    <n v="718"/>
    <n v="-10.39"/>
    <n v="42078343"/>
    <d v="2021-07-30T00:00:00"/>
    <s v="Complete"/>
    <m/>
  </r>
  <r>
    <s v="agofordax"/>
    <s v="technorati.com"/>
    <s v="Aile"/>
    <s v="Goford"/>
    <s v="Female"/>
    <s v="Female"/>
    <s v="12.57.75.181"/>
    <s v="139.220.93.159"/>
    <n v="394"/>
    <n v="394"/>
    <s v="NASDAQ"/>
    <s v="FSAM"/>
    <s v="Fifth Street Asset Management Inc."/>
    <x v="3"/>
    <s v="Investment Managers"/>
    <s v="$172.02M"/>
    <n v="172020000"/>
    <n v="1642.18"/>
    <n v="-1.8"/>
    <n v="189180639"/>
    <d v="2020-05-16T00:00:00"/>
    <s v="Complete"/>
    <m/>
  </r>
  <r>
    <s v="rcristofanoay"/>
    <s v="adobe.com"/>
    <s v="Renaud"/>
    <s v="Cristofano"/>
    <s v="Male"/>
    <s v="Male"/>
    <s v="139.99.180.136"/>
    <s v="220.228.114.95"/>
    <n v="395"/>
    <n v="395"/>
    <s v="NASDAQ"/>
    <s v="CBSHP"/>
    <s v="Commerce Bancshares, Inc."/>
    <x v="3"/>
    <s v="Major Banks"/>
    <s v="$2.4B"/>
    <n v="2400000000"/>
    <n v="1284.8900000000001"/>
    <n v="5.94"/>
    <n v="97996470"/>
    <d v="2026-08-15T00:00:00"/>
    <s v="Complete"/>
    <m/>
  </r>
  <r>
    <s v="rdobrowskiaz"/>
    <s v="indiatimes.com"/>
    <s v="Reginald"/>
    <s v="Dobrowski"/>
    <s v="Male"/>
    <s v="Male"/>
    <s v="169.20.244.193"/>
    <s v="57.141.91.2"/>
    <n v="396"/>
    <n v="396"/>
    <s v="NYSE"/>
    <s v="GYB"/>
    <s v="CABCO Series 2004-101 Trust"/>
    <x v="3"/>
    <s v="Finance: Consumer Services"/>
    <s v="N/A"/>
    <n v="0"/>
    <n v="364.35"/>
    <n v="1.89"/>
    <n v="170678396"/>
    <d v="2025-11-04T00:00:00"/>
    <s v="Missing"/>
    <m/>
  </r>
  <r>
    <s v="bdianob0"/>
    <s v="ebay.co.uk"/>
    <s v="Brinn"/>
    <s v="Diano"/>
    <s v="Female"/>
    <s v="Female"/>
    <s v="57.229.78.35"/>
    <s v="145.35.14.87"/>
    <n v="397"/>
    <n v="397"/>
    <s v="NYSE"/>
    <s v="MMM"/>
    <s v="3M Company"/>
    <x v="0"/>
    <s v="Medical/Dental Instruments"/>
    <s v="$127.36B"/>
    <n v="127360000000"/>
    <n v="437.1"/>
    <n v="3.91"/>
    <n v="87905712"/>
    <d v="2020-06-13T00:00:00"/>
    <s v="Complete"/>
    <m/>
  </r>
  <r>
    <s v="htotenb1"/>
    <s v="amazon.de"/>
    <s v="Hobie"/>
    <s v="Toten"/>
    <s v="Male"/>
    <s v="Male"/>
    <s v="52.150.88.34"/>
    <s v="164.75.154.197"/>
    <n v="398"/>
    <n v="398"/>
    <s v="NASDAQ"/>
    <s v="STMP"/>
    <s v="Stamps.com Inc."/>
    <x v="7"/>
    <s v="Business Services"/>
    <s v="$2.49B"/>
    <n v="2490000000"/>
    <n v="1183.9100000000001"/>
    <n v="4.3899999999999997"/>
    <n v="88383055"/>
    <d v="2022-08-02T00:00:00"/>
    <s v="Complete"/>
    <m/>
  </r>
  <r>
    <s v="pmacclureb2"/>
    <s v="opera.com"/>
    <s v="Paddy"/>
    <s v="MacClure"/>
    <s v="Male"/>
    <s v="Male"/>
    <s v="106.185.29.102"/>
    <s v="17.24.11.2"/>
    <n v="399"/>
    <n v="399"/>
    <s v="NASDAQ"/>
    <s v="KEYW"/>
    <s v="The KEYW Holding Corporation"/>
    <x v="4"/>
    <s v="EDP Services"/>
    <s v="$447.05M"/>
    <n v="447050000"/>
    <n v="1652.59"/>
    <n v="19.55"/>
    <n v="75811928"/>
    <d v="2025-02-12T00:00:00"/>
    <s v="Complete"/>
    <m/>
  </r>
  <r>
    <s v="yholdb3"/>
    <s v="mozilla.com"/>
    <s v="Yoshiko"/>
    <s v="Hold"/>
    <s v="Female"/>
    <s v="Female"/>
    <s v="85.60.86.247"/>
    <s v="17.205.29.79"/>
    <n v="400"/>
    <n v="400"/>
    <s v="NYSE"/>
    <s v="CMRE^B"/>
    <s v="Costamare Inc."/>
    <x v="2"/>
    <s v="N/A"/>
    <s v="N/A"/>
    <n v="0"/>
    <n v="199.54"/>
    <n v="-14.93"/>
    <n v="116757622"/>
    <d v="2025-09-29T00:00:00"/>
    <s v="Missing"/>
    <m/>
  </r>
  <r>
    <s v="acardosob4"/>
    <s v="baidu.com"/>
    <s v="Avictor"/>
    <s v="Cardoso"/>
    <s v="Male"/>
    <s v="Male"/>
    <s v="112.123.48.32"/>
    <s v="59.43.222.243"/>
    <n v="401"/>
    <n v="401"/>
    <s v="NYSE"/>
    <s v="THS"/>
    <s v="Treehouse Foods, Inc."/>
    <x v="5"/>
    <s v="Packaged Foods"/>
    <s v="$4.61B"/>
    <n v="4610000000"/>
    <n v="1358.37"/>
    <n v="-14.82"/>
    <n v="166938157"/>
    <d v="2021-12-26T00:00:00"/>
    <s v="Complete"/>
    <m/>
  </r>
  <r>
    <s v="rgrenshielsb5"/>
    <s v="webmd.com"/>
    <s v="Ram"/>
    <s v="Grenshiels"/>
    <s v="Male"/>
    <s v="Male"/>
    <s v="140.106.94.5"/>
    <s v="84.139.206.153"/>
    <n v="402"/>
    <n v="402"/>
    <s v="NASDAQ"/>
    <s v="FULT"/>
    <s v="Fulton Financial Corporation"/>
    <x v="3"/>
    <s v="Major Banks"/>
    <s v="$3.33B"/>
    <n v="3330000000"/>
    <n v="1698.18"/>
    <n v="19.52"/>
    <n v="132182960"/>
    <d v="2022-12-30T00:00:00"/>
    <s v="Complete"/>
    <m/>
  </r>
  <r>
    <s v="dmatteonib6"/>
    <s v="omniture.com"/>
    <s v="Domini"/>
    <s v="Matteoni"/>
    <s v="Female"/>
    <s v="Female"/>
    <s v="58.110.105.76"/>
    <s v="239.41.162.5"/>
    <n v="403"/>
    <n v="403"/>
    <s v="NASDAQ"/>
    <s v="TANNI"/>
    <s v="TravelCenters of America LLC"/>
    <x v="11"/>
    <s v="Automotive Aftermarket"/>
    <s v="N/A"/>
    <n v="0"/>
    <n v="1106.94"/>
    <n v="-3.55"/>
    <n v="90040685"/>
    <d v="2026-07-31T00:00:00"/>
    <s v="Missing"/>
    <m/>
  </r>
  <r>
    <s v="dpratorb7"/>
    <s v="icq.com"/>
    <s v="Dominic"/>
    <s v="Prator"/>
    <s v="Male"/>
    <s v="Male"/>
    <s v="164.197.169.192"/>
    <s v="72.157.216.178"/>
    <n v="404"/>
    <n v="404"/>
    <s v="NYSE"/>
    <s v="TPH"/>
    <s v="TRI Pointe Group, Inc."/>
    <x v="1"/>
    <s v="Homebuilding"/>
    <s v="$1.98B"/>
    <n v="1980000000"/>
    <n v="1237.97"/>
    <n v="4.37"/>
    <n v="34030734"/>
    <d v="2026-06-12T00:00:00"/>
    <s v="Complete"/>
    <m/>
  </r>
  <r>
    <s v="brenwickb8"/>
    <s v="ameblo.jp"/>
    <s v="Beilul"/>
    <s v="Renwick"/>
    <s v="Female"/>
    <s v="Female"/>
    <s v="150.211.227.42"/>
    <s v="196.7.157.204"/>
    <n v="405"/>
    <n v="405"/>
    <s v="NASDAQ"/>
    <s v="FMAO"/>
    <s v="Farmers &amp; Merchants Bancorp, Inc."/>
    <x v="3"/>
    <s v="Savings Institutions"/>
    <s v="$253.22M"/>
    <n v="253220000"/>
    <n v="1576.63"/>
    <n v="12.46"/>
    <n v="83580309"/>
    <d v="2026-05-23T00:00:00"/>
    <s v="Complete"/>
    <m/>
  </r>
  <r>
    <s v="tribbonb9"/>
    <s v="psu.edu"/>
    <s v="Trudie"/>
    <s v="Ribbon"/>
    <s v="Agender"/>
    <s v="Other"/>
    <s v="216.194.13.212"/>
    <s v="28.73.26.122"/>
    <n v="406"/>
    <n v="406"/>
    <s v="NASDAQ"/>
    <s v="HMNY"/>
    <s v="Helios and Matheson Analytics Inc"/>
    <x v="6"/>
    <s v="Other Consumer Services"/>
    <s v="$14.65M"/>
    <n v="14650000"/>
    <n v="1459.91"/>
    <n v="-3.91"/>
    <n v="102410747"/>
    <d v="2025-11-21T00:00:00"/>
    <s v="Complete"/>
    <m/>
  </r>
  <r>
    <s v="vbalwinba"/>
    <s v="google.ca"/>
    <s v="Valentin"/>
    <s v="Balwin"/>
    <s v="Male"/>
    <s v="Male"/>
    <s v="12.21.1.109"/>
    <s v="11.233.57.251"/>
    <n v="407"/>
    <n v="407"/>
    <s v="NYSE"/>
    <s v="AIC"/>
    <s v="Arlington Asset Investment Corp"/>
    <x v="3"/>
    <s v="Finance/Investors Services"/>
    <s v="N/A"/>
    <n v="0"/>
    <n v="1830.34"/>
    <n v="-2.2200000000000002"/>
    <n v="19091585"/>
    <d v="2020-01-29T00:00:00"/>
    <s v="Missing"/>
    <m/>
  </r>
  <r>
    <s v="bheightbb"/>
    <s v="hc360.com"/>
    <s v="Bree"/>
    <s v="Height"/>
    <s v="Female"/>
    <s v="Female"/>
    <s v="28.107.166.18"/>
    <s v="199.229.12.169"/>
    <n v="408"/>
    <n v="408"/>
    <s v="NASDAQ"/>
    <s v="MDIV"/>
    <s v="First Trust Multi-Asset Diversified Income Index Fund"/>
    <x v="2"/>
    <s v="N/A"/>
    <s v="$887.04M"/>
    <n v="887040000"/>
    <n v="1744.45"/>
    <n v="-16.09"/>
    <n v="35979213"/>
    <d v="2023-05-01T00:00:00"/>
    <s v="Missing"/>
    <m/>
  </r>
  <r>
    <s v="vralstonbc"/>
    <s v="t.co"/>
    <s v="Valina"/>
    <s v="Ralston"/>
    <s v="Female"/>
    <s v="Female"/>
    <s v="164.192.224.122"/>
    <s v="215.106.130.31"/>
    <n v="409"/>
    <n v="409"/>
    <s v="NYSE"/>
    <s v="FBM"/>
    <s v="Foundation Building Materials, Inc."/>
    <x v="6"/>
    <s v="RETAIL: Building Materials"/>
    <s v="$589.4M"/>
    <n v="589400000"/>
    <n v="1062.47"/>
    <n v="-2.52"/>
    <n v="165797719"/>
    <d v="2026-09-05T00:00:00"/>
    <s v="Complete"/>
    <m/>
  </r>
  <r>
    <s v="zworsleybd"/>
    <s v="abc.net.au"/>
    <s v="Zorana"/>
    <s v="Worsley"/>
    <s v="Female"/>
    <s v="Female"/>
    <s v="253.244.242.239"/>
    <s v="122.93.231.121"/>
    <n v="410"/>
    <n v="410"/>
    <s v="NASDAQ"/>
    <s v="IBCP"/>
    <s v="Independent Bank Corporation"/>
    <x v="3"/>
    <s v="Major Banks"/>
    <s v="$452.26M"/>
    <n v="452260000"/>
    <n v="1328.19"/>
    <n v="6.66"/>
    <n v="137122362"/>
    <d v="2022-09-15T00:00:00"/>
    <s v="Complete"/>
    <m/>
  </r>
  <r>
    <s v="cvanichkinbe"/>
    <s v="networksolutions.com"/>
    <s v="Carola"/>
    <s v="Vanichkin"/>
    <s v="Female"/>
    <s v="Female"/>
    <s v="61.82.193.120"/>
    <s v="33.173.223.156"/>
    <n v="411"/>
    <n v="411"/>
    <s v="NYSE"/>
    <s v="APF"/>
    <s v="Morgan Stanley Asia-Pacific Fund, Inc."/>
    <x v="2"/>
    <s v="N/A"/>
    <s v="$224.53M"/>
    <n v="224530000"/>
    <n v="285.01"/>
    <n v="-16.3"/>
    <n v="129580744"/>
    <d v="2022-02-08T00:00:00"/>
    <s v="Missing"/>
    <m/>
  </r>
  <r>
    <s v="avigrassbf"/>
    <s v="alexa.com"/>
    <s v="Analiese"/>
    <s v="Vigrass"/>
    <s v="Female"/>
    <s v="Female"/>
    <s v="202.194.144.72"/>
    <s v="4.199.196.192"/>
    <n v="412"/>
    <n v="412"/>
    <s v="NASDAQ"/>
    <s v="OHAI"/>
    <s v="OHA Investment Corporation"/>
    <x v="2"/>
    <s v="N/A"/>
    <s v="$24.59M"/>
    <n v="24590000"/>
    <n v="917.91"/>
    <n v="-3.97"/>
    <n v="186832584"/>
    <d v="2024-12-27T00:00:00"/>
    <s v="Missing"/>
    <m/>
  </r>
  <r>
    <s v="ckopacekbg"/>
    <s v="wisc.edu"/>
    <s v="Chick"/>
    <s v="Kopacek"/>
    <s v="Male"/>
    <s v="Male"/>
    <s v="163.94.38.6"/>
    <s v="115.110.56.63"/>
    <n v="413"/>
    <n v="413"/>
    <s v="NYSE"/>
    <s v="ARI"/>
    <s v="Apollo Commercial Real Estate Finance"/>
    <x v="6"/>
    <s v="Real Estate Investment Trusts"/>
    <s v="$2B"/>
    <n v="2000000000"/>
    <n v="1983.17"/>
    <n v="-11.54"/>
    <n v="130761263"/>
    <d v="2021-04-29T00:00:00"/>
    <s v="Complete"/>
    <m/>
  </r>
  <r>
    <s v="tspennockbh"/>
    <s v="webs.com"/>
    <s v="Tootsie"/>
    <s v="Spennock"/>
    <s v="Female"/>
    <s v="Female"/>
    <s v="80.135.219.159"/>
    <s v="135.198.53.194"/>
    <n v="414"/>
    <n v="414"/>
    <s v="NASDAQ"/>
    <s v="PIO"/>
    <s v="PowerShares Global Water Portfolio"/>
    <x v="2"/>
    <s v="N/A"/>
    <s v="$191.36M"/>
    <n v="191360000"/>
    <n v="102.86"/>
    <n v="-4.29"/>
    <n v="96355070"/>
    <d v="2022-07-02T00:00:00"/>
    <s v="Missing"/>
    <m/>
  </r>
  <r>
    <s v="rofearguisebi"/>
    <s v="51.la"/>
    <s v="Raphaela"/>
    <s v="O'Fearguise"/>
    <s v="Female"/>
    <s v="Female"/>
    <s v="254.175.94.213"/>
    <s v="128.253.157.63"/>
    <n v="415"/>
    <n v="415"/>
    <s v="NASDAQ"/>
    <s v="SPSC"/>
    <s v="SPS Commerce, Inc."/>
    <x v="4"/>
    <s v="Computer Software: Prepackaged Software"/>
    <s v="$1.04B"/>
    <n v="1040000000"/>
    <n v="840.33"/>
    <n v="-0.37"/>
    <n v="191683567"/>
    <d v="2025-04-25T00:00:00"/>
    <s v="Complete"/>
    <m/>
  </r>
  <r>
    <s v="ybambrickbj"/>
    <s v="godaddy.com"/>
    <s v="Yule"/>
    <s v="Bambrick"/>
    <s v="Male"/>
    <s v="Male"/>
    <s v="10.182.107.65"/>
    <s v="159.149.162.253"/>
    <n v="416"/>
    <n v="416"/>
    <s v="NASDAQ"/>
    <s v="TTS"/>
    <s v="Tile Shop Hldgs, Inc."/>
    <x v="6"/>
    <s v="Home Furnishings"/>
    <s v="$1.12B"/>
    <n v="1120000000"/>
    <n v="716"/>
    <n v="-15.53"/>
    <n v="3934377"/>
    <d v="2023-05-08T00:00:00"/>
    <s v="Complete"/>
    <m/>
  </r>
  <r>
    <s v="astylebk"/>
    <s v="deviantart.com"/>
    <s v="Adelaide"/>
    <s v="Style"/>
    <s v="Female"/>
    <s v="Female"/>
    <s v="46.101.151.167"/>
    <s v="140.90.145.114"/>
    <n v="417"/>
    <n v="417"/>
    <s v="NYSE"/>
    <s v="AXTA"/>
    <s v="Axalta Coating Systems Ltd."/>
    <x v="10"/>
    <s v="Paints/Coatings"/>
    <s v="$8.17B"/>
    <n v="8170000000"/>
    <n v="1990.65"/>
    <n v="-9.91"/>
    <n v="133461820"/>
    <d v="2021-04-13T00:00:00"/>
    <s v="Complete"/>
    <m/>
  </r>
  <r>
    <s v="bhagerghambl"/>
    <s v="nsw.gov.au"/>
    <s v="Barbaraanne"/>
    <s v="Hagergham"/>
    <s v="Agender"/>
    <s v="Other"/>
    <s v="2.180.235.115"/>
    <s v="236.123.247.118"/>
    <n v="418"/>
    <n v="418"/>
    <s v="NASDAQ"/>
    <s v="PULM"/>
    <s v="Pulmatrix, Inc."/>
    <x v="0"/>
    <s v="Major Pharmaceuticals"/>
    <s v="$45.78M"/>
    <n v="45780000"/>
    <n v="438.67"/>
    <n v="-6.02"/>
    <n v="96929690"/>
    <d v="2025-12-13T00:00:00"/>
    <s v="Complete"/>
    <m/>
  </r>
  <r>
    <s v="efeyerbm"/>
    <s v="ibm.com"/>
    <s v="Errol"/>
    <s v="Feyer"/>
    <s v="Male"/>
    <s v="Male"/>
    <s v="55.195.42.199"/>
    <s v="196.151.9.66"/>
    <n v="419"/>
    <n v="419"/>
    <s v="NASDAQ"/>
    <s v="GEC"/>
    <s v="Great Elm Capital Group, Inc. "/>
    <x v="4"/>
    <s v="Computer Software: Prepackaged Software"/>
    <s v="$80.04M"/>
    <n v="80040000"/>
    <n v="1456.17"/>
    <n v="6.51"/>
    <n v="81877094"/>
    <d v="2025-12-26T00:00:00"/>
    <s v="Complete"/>
    <m/>
  </r>
  <r>
    <s v="wgiddonsbn"/>
    <s v="businesswire.com"/>
    <s v="Whitney"/>
    <s v="Giddons"/>
    <s v="Female"/>
    <s v="Female"/>
    <s v="148.159.81.56"/>
    <s v="46.47.107.238"/>
    <n v="420"/>
    <n v="420"/>
    <s v="NASDAQ"/>
    <s v="EYEGW"/>
    <s v="Eyegate Pharmaceuticals, Inc."/>
    <x v="0"/>
    <s v="Major Pharmaceuticals"/>
    <s v="N/A"/>
    <n v="0"/>
    <n v="442.42"/>
    <n v="-16.829999999999998"/>
    <n v="146851254"/>
    <d v="2021-10-04T00:00:00"/>
    <s v="Missing"/>
    <m/>
  </r>
  <r>
    <s v="crugglesbo"/>
    <s v="wikimedia.org"/>
    <s v="Calhoun"/>
    <s v="Ruggles"/>
    <s v="Male"/>
    <s v="Male"/>
    <s v="200.53.164.73"/>
    <s v="0.52.195.109"/>
    <n v="421"/>
    <n v="421"/>
    <s v="NASDAQ"/>
    <s v="SMSI"/>
    <s v="Smith Micro Software, Inc."/>
    <x v="4"/>
    <s v="Computer Software: Prepackaged Software"/>
    <s v="$16.06M"/>
    <n v="16059999.999999998"/>
    <n v="1675.52"/>
    <n v="13.57"/>
    <n v="105082102"/>
    <d v="2020-11-25T00:00:00"/>
    <s v="Complete"/>
    <m/>
  </r>
  <r>
    <s v="cjacobsenbp"/>
    <s v="chicagotribune.com"/>
    <s v="Chaddy"/>
    <s v="Jacobsen"/>
    <s v="Male"/>
    <s v="Male"/>
    <s v="62.248.247.25"/>
    <s v="165.34.122.246"/>
    <n v="422"/>
    <n v="422"/>
    <s v="NYSE"/>
    <s v="PE"/>
    <s v="Parsley Energy, Inc."/>
    <x v="9"/>
    <s v="Oil &amp; Gas Production"/>
    <s v="$8.13B"/>
    <n v="8130000000.000001"/>
    <n v="332.13"/>
    <n v="6.83"/>
    <n v="34228349"/>
    <d v="2020-12-21T00:00:00"/>
    <s v="Complete"/>
    <m/>
  </r>
  <r>
    <s v="mcopcuttbq"/>
    <s v="paypal.com"/>
    <s v="Melonie"/>
    <s v="Copcutt"/>
    <s v="Female"/>
    <s v="Female"/>
    <s v="217.56.142.113"/>
    <s v="46.1.12.22"/>
    <n v="423"/>
    <n v="423"/>
    <s v="NYSE"/>
    <s v="BBY"/>
    <s v="Best Buy Co., Inc."/>
    <x v="6"/>
    <s v="Consumer Electronics/Video Chains"/>
    <s v="$16.97B"/>
    <n v="16969999999.999998"/>
    <n v="1041.68"/>
    <n v="0.88"/>
    <n v="62240153"/>
    <d v="2026-12-18T00:00:00"/>
    <s v="Complete"/>
    <m/>
  </r>
  <r>
    <s v="weulerbr"/>
    <s v="people.com.cn"/>
    <s v="Wynn"/>
    <s v="Euler"/>
    <s v="Female"/>
    <s v="Female"/>
    <s v="226.115.33.37"/>
    <s v="12.170.74.254"/>
    <n v="424"/>
    <n v="424"/>
    <s v="NASDAQ"/>
    <s v="MTEX"/>
    <s v="Mannatech, Incorporated"/>
    <x v="11"/>
    <s v="Specialty Chemicals"/>
    <s v="$36.87M"/>
    <n v="36870000"/>
    <n v="1824.24"/>
    <n v="-5.31"/>
    <n v="41299599"/>
    <d v="2021-01-07T00:00:00"/>
    <s v="Complete"/>
    <m/>
  </r>
  <r>
    <s v="esimonetonbs"/>
    <s v="sciencedirect.com"/>
    <s v="Eugenia"/>
    <s v="Simoneton"/>
    <s v="Female"/>
    <s v="Female"/>
    <s v="203.211.129.124"/>
    <s v="112.11.205.118"/>
    <n v="425"/>
    <n v="425"/>
    <s v="NASDAQ"/>
    <s v="ECPG"/>
    <s v="Encore Capital Group Inc"/>
    <x v="3"/>
    <s v="Finance Companies"/>
    <s v="$996.04M"/>
    <n v="996040000"/>
    <n v="946.88"/>
    <n v="-2.1"/>
    <n v="125665593"/>
    <d v="2020-04-01T00:00:00"/>
    <s v="Complete"/>
    <m/>
  </r>
  <r>
    <s v="mbrittenbt"/>
    <s v="ocn.ne.jp"/>
    <s v="Meade"/>
    <s v="Britten"/>
    <s v="Male"/>
    <s v="Male"/>
    <s v="104.117.42.141"/>
    <s v="192.246.117.156"/>
    <n v="426"/>
    <n v="426"/>
    <s v="NYSE"/>
    <s v="AGX"/>
    <s v="Argan, Inc."/>
    <x v="10"/>
    <s v="Engineering &amp; Construction"/>
    <s v="$947.48M"/>
    <n v="947480000"/>
    <n v="1067.47"/>
    <n v="-8.69"/>
    <n v="47206823"/>
    <d v="2022-04-01T00:00:00"/>
    <s v="Complete"/>
    <m/>
  </r>
  <r>
    <s v="jciottoibu"/>
    <s v="dell.com"/>
    <s v="Jillana"/>
    <s v="Ciottoi"/>
    <s v="Female"/>
    <s v="Female"/>
    <s v="108.93.205.99"/>
    <s v="161.132.43.97"/>
    <n v="427"/>
    <n v="427"/>
    <s v="NYSE"/>
    <s v="QEP"/>
    <s v="QEP Resources, Inc."/>
    <x v="9"/>
    <s v="Oil &amp; Gas Production"/>
    <s v="$2.18B"/>
    <n v="2180000000"/>
    <n v="943.29"/>
    <n v="2.42"/>
    <n v="99393664"/>
    <d v="2020-11-30T00:00:00"/>
    <s v="Complete"/>
    <m/>
  </r>
  <r>
    <s v="msaurabv"/>
    <s v="ycombinator.com"/>
    <s v="Matt"/>
    <s v="Saura"/>
    <s v="Male"/>
    <s v="Male"/>
    <s v="3.225.88.56"/>
    <s v="85.97.189.231"/>
    <n v="428"/>
    <n v="428"/>
    <s v="NYSE"/>
    <s v="IR"/>
    <s v="Ingersoll-Rand plc (Ireland)"/>
    <x v="1"/>
    <s v="Auto Parts:O.E.M."/>
    <s v="$23.64B"/>
    <n v="23640000000"/>
    <n v="1121.92"/>
    <n v="-12.3"/>
    <n v="59215703"/>
    <d v="2020-01-07T00:00:00"/>
    <s v="Complete"/>
    <m/>
  </r>
  <r>
    <s v="hhannbw"/>
    <s v="ucoz.com"/>
    <s v="Heather"/>
    <s v="Hann"/>
    <s v="Female"/>
    <s v="Female"/>
    <s v="220.20.194.1"/>
    <s v="135.181.60.22"/>
    <n v="429"/>
    <n v="429"/>
    <s v="NYSE"/>
    <s v="SCHW^C"/>
    <s v="The Charles Schwab Corporation"/>
    <x v="2"/>
    <s v="N/A"/>
    <s v="N/A"/>
    <n v="0"/>
    <n v="324.04000000000002"/>
    <n v="3.54"/>
    <n v="190067085"/>
    <d v="2024-05-27T00:00:00"/>
    <s v="Missing"/>
    <m/>
  </r>
  <r>
    <s v="bdickingsbx"/>
    <s v="opera.com"/>
    <s v="Boonie"/>
    <s v="Dickings"/>
    <s v="Male"/>
    <s v="Male"/>
    <s v="2.4.43.92"/>
    <s v="161.214.211.68"/>
    <n v="430"/>
    <n v="430"/>
    <s v="NYSE"/>
    <s v="NFX"/>
    <s v="Newfield Exploration Company"/>
    <x v="9"/>
    <s v="Oil &amp; Gas Production"/>
    <s v="$5.84B"/>
    <n v="5840000000"/>
    <n v="1002.06"/>
    <n v="-9.65"/>
    <n v="20391427"/>
    <d v="2026-10-03T00:00:00"/>
    <s v="Complete"/>
    <m/>
  </r>
  <r>
    <s v="cogilvieby"/>
    <s v="java.com"/>
    <s v="Codie"/>
    <s v="Ogilvie"/>
    <s v="Genderfluid"/>
    <s v="Other"/>
    <s v="251.32.145.236"/>
    <s v="196.82.137.134"/>
    <n v="431"/>
    <n v="431"/>
    <s v="NYSE"/>
    <s v="COH"/>
    <s v="Coach, Inc."/>
    <x v="5"/>
    <s v="Apparel"/>
    <s v="$13B"/>
    <n v="13000000000"/>
    <n v="1287.8"/>
    <n v="-0.59"/>
    <n v="193765243"/>
    <d v="2024-04-10T00:00:00"/>
    <s v="Complete"/>
    <m/>
  </r>
  <r>
    <s v="ascneiderbz"/>
    <s v="wikia.com"/>
    <s v="Adams"/>
    <s v="Scneider"/>
    <s v="Male"/>
    <s v="Male"/>
    <s v="211.3.170.23"/>
    <s v="19.87.68.204"/>
    <n v="432"/>
    <n v="432"/>
    <s v="NYSE"/>
    <s v="CMC"/>
    <s v="Commercial Metals Company"/>
    <x v="10"/>
    <s v="Steel/Iron Ore"/>
    <s v="$2.17B"/>
    <n v="2170000000"/>
    <n v="108.88"/>
    <n v="0.71"/>
    <n v="11340720"/>
    <d v="2025-12-10T00:00:00"/>
    <s v="Complete"/>
    <m/>
  </r>
  <r>
    <s v="kpedriellic0"/>
    <s v="icio.us"/>
    <s v="Kelvin"/>
    <s v="Pedrielli"/>
    <s v="Male"/>
    <s v="Male"/>
    <s v="221.177.36.40"/>
    <s v="201.75.231.223"/>
    <n v="433"/>
    <n v="433"/>
    <s v="NYSE"/>
    <s v="CI"/>
    <s v="Cigna Corporation"/>
    <x v="0"/>
    <s v="Medical Specialities"/>
    <s v="$43.29B"/>
    <n v="43290000000"/>
    <n v="809.56"/>
    <n v="1.02"/>
    <n v="90132494"/>
    <d v="2024-12-21T00:00:00"/>
    <s v="Complete"/>
    <m/>
  </r>
  <r>
    <s v="mtallentc1"/>
    <s v="foxnews.com"/>
    <s v="Maridel"/>
    <s v="Tallent"/>
    <s v="Female"/>
    <s v="Female"/>
    <s v="19.89.211.181"/>
    <s v="10.180.184.93"/>
    <n v="434"/>
    <n v="434"/>
    <s v="NYSE"/>
    <s v="ERF"/>
    <s v="Enerplus Corporation"/>
    <x v="9"/>
    <s v="Oil &amp; Gas Production"/>
    <s v="$1.95B"/>
    <n v="1950000000"/>
    <n v="1154.6300000000001"/>
    <n v="8.0399999999999991"/>
    <n v="60900612"/>
    <d v="2026-07-27T00:00:00"/>
    <s v="Complete"/>
    <m/>
  </r>
  <r>
    <s v="gcotelardc2"/>
    <s v="miibeian.gov.cn"/>
    <s v="Grove"/>
    <s v="Cotelard"/>
    <s v="Male"/>
    <s v="Male"/>
    <s v="169.56.122.96"/>
    <s v="253.111.179.201"/>
    <n v="435"/>
    <n v="435"/>
    <s v="NASDAQ"/>
    <s v="ATHX"/>
    <s v="Athersys, Inc."/>
    <x v="0"/>
    <s v="Major Pharmaceuticals"/>
    <s v="$158.07M"/>
    <n v="158070000"/>
    <n v="1999.16"/>
    <n v="-19.899999999999999"/>
    <n v="96827835"/>
    <d v="2026-08-07T00:00:00"/>
    <s v="Complete"/>
    <m/>
  </r>
  <r>
    <s v="lskentelburyc3"/>
    <s v="gmpg.org"/>
    <s v="Lilith"/>
    <s v="Skentelbury"/>
    <s v="Female"/>
    <s v="Female"/>
    <s v="45.53.114.84"/>
    <s v="90.204.232.214"/>
    <n v="436"/>
    <n v="436"/>
    <s v="NYSE"/>
    <s v="FCE.A"/>
    <s v="Forest City Realty Trust, Inc."/>
    <x v="2"/>
    <s v="N/A"/>
    <s v="N/A"/>
    <n v="0"/>
    <n v="261.47000000000003"/>
    <n v="4.93"/>
    <n v="156625431"/>
    <d v="2022-06-11T00:00:00"/>
    <s v="Missing"/>
    <m/>
  </r>
  <r>
    <s v="dtantic4"/>
    <s v="cnn.com"/>
    <s v="Dorotea"/>
    <s v="Tanti"/>
    <s v="Female"/>
    <s v="Female"/>
    <s v="207.122.200.123"/>
    <s v="88.110.21.130"/>
    <n v="437"/>
    <n v="437"/>
    <s v="NASDAQ"/>
    <s v="CRDS"/>
    <s v="Crossroads Systems, Inc."/>
    <x v="4"/>
    <s v="Computer peripheral equipment"/>
    <s v="$2.32M"/>
    <n v="2320000"/>
    <n v="453"/>
    <n v="7.19"/>
    <n v="83137898"/>
    <d v="2024-12-16T00:00:00"/>
    <s v="Complete"/>
    <m/>
  </r>
  <r>
    <s v="kprandoc5"/>
    <s v="sitemeter.com"/>
    <s v="Kristoffer"/>
    <s v="Prando"/>
    <s v="Male"/>
    <s v="Male"/>
    <s v="214.149.173.95"/>
    <s v="214.225.179.88"/>
    <n v="438"/>
    <n v="438"/>
    <s v="NYSE"/>
    <s v="VAC"/>
    <s v="Marriot Vacations Worldwide Corporation"/>
    <x v="3"/>
    <s v="Real Estate"/>
    <s v="$3.28B"/>
    <n v="3280000000"/>
    <n v="1297.5899999999999"/>
    <n v="18.04"/>
    <n v="23934221"/>
    <d v="2023-08-25T00:00:00"/>
    <s v="Complete"/>
    <m/>
  </r>
  <r>
    <s v="sjanningc6"/>
    <s v="howstuffworks.com"/>
    <s v="Susannah"/>
    <s v="Janning"/>
    <s v="Female"/>
    <s v="Female"/>
    <s v="22.237.177.66"/>
    <s v="75.176.17.210"/>
    <n v="439"/>
    <n v="439"/>
    <s v="NYSE"/>
    <s v="SMLP"/>
    <s v="Summit Midstream Partners, LP"/>
    <x v="8"/>
    <s v="Natural Gas Distribution"/>
    <s v="$1.7B"/>
    <n v="1700000000"/>
    <n v="647.07000000000005"/>
    <n v="-6.72"/>
    <n v="116737498"/>
    <d v="2025-09-18T00:00:00"/>
    <s v="Complete"/>
    <m/>
  </r>
  <r>
    <s v="jsurgeonerc7"/>
    <s v="woothemes.com"/>
    <s v="Jaye"/>
    <s v="Surgeoner"/>
    <s v="Male"/>
    <s v="Male"/>
    <s v="152.37.92.79"/>
    <s v="156.217.94.137"/>
    <n v="440"/>
    <n v="440"/>
    <s v="NYSE"/>
    <s v="STI^E"/>
    <s v="SunTrust Banks, Inc."/>
    <x v="2"/>
    <s v="N/A"/>
    <s v="N/A"/>
    <n v="0"/>
    <n v="1340.28"/>
    <n v="-12.12"/>
    <n v="66026382"/>
    <d v="2020-03-10T00:00:00"/>
    <s v="Missing"/>
    <m/>
  </r>
  <r>
    <s v="lperinc8"/>
    <s v="timesonline.co.uk"/>
    <s v="Leonard"/>
    <s v="Perin"/>
    <s v="Male"/>
    <s v="Male"/>
    <s v="105.136.51.142"/>
    <s v="225.51.108.165"/>
    <n v="441"/>
    <n v="441"/>
    <s v="NASDAQ"/>
    <s v="FSLR"/>
    <s v="First Solar, Inc."/>
    <x v="4"/>
    <s v="Semiconductors"/>
    <s v="$3.74B"/>
    <n v="3740000000"/>
    <n v="49.93"/>
    <n v="-15.01"/>
    <n v="195169821"/>
    <d v="2025-05-25T00:00:00"/>
    <s v="Complete"/>
    <m/>
  </r>
  <r>
    <s v="wneesamc9"/>
    <s v="over-blog.com"/>
    <s v="Wendi"/>
    <s v="Neesam"/>
    <s v="Female"/>
    <s v="Female"/>
    <s v="147.182.23.213"/>
    <s v="79.136.36.15"/>
    <n v="442"/>
    <n v="442"/>
    <s v="NYSE"/>
    <s v="EMES"/>
    <s v="Emerge Energy Services LP"/>
    <x v="10"/>
    <s v="Mining &amp; Quarrying of Nonmetallic Minerals (No Fuels)"/>
    <s v="$264.33M"/>
    <n v="264329999.99999997"/>
    <n v="1527.07"/>
    <n v="5.3"/>
    <n v="181042186"/>
    <d v="2023-01-02T00:00:00"/>
    <s v="Complete"/>
    <m/>
  </r>
  <r>
    <s v="sjosefsonca"/>
    <s v="amazon.co.uk"/>
    <s v="Storm"/>
    <s v="Josefson"/>
    <s v="Female"/>
    <s v="Female"/>
    <s v="169.248.6.32"/>
    <s v="192.121.250.16"/>
    <n v="443"/>
    <n v="443"/>
    <s v="NASDAQ"/>
    <s v="STRS"/>
    <s v="Stratus Properties Inc."/>
    <x v="6"/>
    <s v="Homebuilding"/>
    <s v="$227.14M"/>
    <n v="227140000"/>
    <n v="1358.36"/>
    <n v="17.52"/>
    <n v="5602159"/>
    <d v="2024-12-17T00:00:00"/>
    <s v="Complete"/>
    <m/>
  </r>
  <r>
    <s v="msheppeycb"/>
    <s v="engadget.com"/>
    <s v="Monroe"/>
    <s v="Sheppey"/>
    <s v="Male"/>
    <s v="Male"/>
    <s v="83.173.70.215"/>
    <s v="6.94.220.121"/>
    <n v="444"/>
    <n v="444"/>
    <s v="NASDAQ"/>
    <s v="SPOK"/>
    <s v="Spok Holdings, Inc."/>
    <x v="8"/>
    <s v="Telecommunications Equipment"/>
    <s v="$371.61M"/>
    <n v="371610000"/>
    <n v="274.07"/>
    <n v="-19.2"/>
    <n v="2433838"/>
    <d v="2025-03-27T00:00:00"/>
    <s v="Complete"/>
    <m/>
  </r>
  <r>
    <s v="akubatschcc"/>
    <s v="pcworld.com"/>
    <s v="Arthur"/>
    <s v="Kubatsch"/>
    <s v="Male"/>
    <s v="Male"/>
    <s v="239.95.90.233"/>
    <s v="206.206.175.93"/>
    <n v="445"/>
    <n v="445"/>
    <s v="NASDAQ"/>
    <s v="TVIX"/>
    <s v="VelocityShares Daily 2x VIX Short-Term ETN"/>
    <x v="3"/>
    <s v="Investment Bankers/Brokers/Service"/>
    <s v="$198.29M"/>
    <n v="198290000"/>
    <n v="461.55"/>
    <n v="2.89"/>
    <n v="29354348"/>
    <d v="2026-12-01T00:00:00"/>
    <s v="Complete"/>
    <m/>
  </r>
  <r>
    <s v="gkyndcd"/>
    <s v="samsung.com"/>
    <s v="Glori"/>
    <s v="Kynd"/>
    <s v="Genderqueer"/>
    <s v="Other"/>
    <s v="21.1.253.175"/>
    <s v="101.119.57.118"/>
    <n v="446"/>
    <n v="446"/>
    <s v="NYSE"/>
    <s v="WPXP"/>
    <s v="WPX Energy, Inc."/>
    <x v="9"/>
    <s v="Oil &amp; Gas Production"/>
    <s v="N/A"/>
    <n v="0"/>
    <n v="1597.42"/>
    <n v="14.1"/>
    <n v="104797684"/>
    <d v="2024-03-31T00:00:00"/>
    <s v="Missing"/>
    <m/>
  </r>
  <r>
    <s v="apeterkence"/>
    <s v="wiley.com"/>
    <s v="Allene"/>
    <s v="Peterken"/>
    <s v="Female"/>
    <s v="Female"/>
    <s v="73.9.181.158"/>
    <s v="122.190.62.97"/>
    <n v="447"/>
    <n v="447"/>
    <s v="NYSE"/>
    <s v="AGN"/>
    <s v="Allergan plc."/>
    <x v="0"/>
    <s v="Major Pharmaceuticals"/>
    <s v="$79.09B"/>
    <n v="79090000000"/>
    <n v="43.77"/>
    <n v="4.9800000000000004"/>
    <n v="85361147"/>
    <d v="2020-08-22T00:00:00"/>
    <s v="Complete"/>
    <m/>
  </r>
  <r>
    <s v="chushcf"/>
    <s v="xinhuanet.com"/>
    <s v="Carolin"/>
    <s v="Hush"/>
    <s v="Female"/>
    <s v="Female"/>
    <s v="87.120.100.88"/>
    <s v="138.96.47.160"/>
    <n v="448"/>
    <n v="448"/>
    <s v="NYSE"/>
    <s v="AIB"/>
    <s v="Apollo Investment Corporation"/>
    <x v="2"/>
    <s v="N/A"/>
    <s v="N/A"/>
    <n v="0"/>
    <n v="1452.05"/>
    <n v="-15.12"/>
    <n v="80097343"/>
    <d v="2022-06-19T00:00:00"/>
    <s v="Missing"/>
    <m/>
  </r>
  <r>
    <s v="fpinckneycg"/>
    <s v="cbsnews.com"/>
    <s v="Finlay"/>
    <s v="Pinckney"/>
    <s v="Male"/>
    <s v="Male"/>
    <s v="160.97.244.61"/>
    <s v="195.160.164.197"/>
    <n v="449"/>
    <n v="449"/>
    <s v="NYSE"/>
    <s v="ECA"/>
    <s v="Encana Corporation"/>
    <x v="9"/>
    <s v="Oil &amp; Gas Production"/>
    <s v="$8.55B"/>
    <n v="8550000000.000001"/>
    <n v="1487.72"/>
    <n v="-12.15"/>
    <n v="124314201"/>
    <d v="2024-06-20T00:00:00"/>
    <s v="Complete"/>
    <m/>
  </r>
  <r>
    <s v="jharsentch"/>
    <s v="tripadvisor.com"/>
    <s v="Janka"/>
    <s v="Harsent"/>
    <s v="Female"/>
    <s v="Female"/>
    <s v="160.49.162.89"/>
    <s v="234.163.233.32"/>
    <n v="450"/>
    <n v="450"/>
    <s v="NYSE"/>
    <s v="UAL"/>
    <s v="United Continental Holdings, Inc."/>
    <x v="12"/>
    <s v="Air Freight/Delivery Services"/>
    <s v="$23.78B"/>
    <n v="23780000000"/>
    <n v="351.45"/>
    <n v="7.23"/>
    <n v="10928831"/>
    <d v="2022-05-15T00:00:00"/>
    <s v="Complete"/>
    <m/>
  </r>
  <r>
    <s v="bskyppeci"/>
    <s v="miibeian.gov.cn"/>
    <s v="Blinnie"/>
    <s v="Skyppe"/>
    <s v="Female"/>
    <s v="Female"/>
    <s v="133.180.171.48"/>
    <s v="253.148.169.100"/>
    <n v="451"/>
    <n v="451"/>
    <s v="NASDAQ"/>
    <s v="ORIT"/>
    <s v="Oritani Financial Corp."/>
    <x v="3"/>
    <s v="Major Banks"/>
    <s v="$791.4M"/>
    <n v="791400000"/>
    <n v="1934.59"/>
    <n v="-8.67"/>
    <n v="13472231"/>
    <d v="2021-07-11T00:00:00"/>
    <s v="Complete"/>
    <m/>
  </r>
  <r>
    <s v="lreiskcj"/>
    <s v="mashable.com"/>
    <s v="Linc"/>
    <s v="Reisk"/>
    <s v="Male"/>
    <s v="Male"/>
    <s v="231.226.134.231"/>
    <s v="63.193.5.29"/>
    <n v="452"/>
    <n v="452"/>
    <s v="NASDAQ"/>
    <s v="TIVO"/>
    <s v="TiVo Corporation"/>
    <x v="7"/>
    <s v="Multi-Sector Companies"/>
    <s v="$2.25B"/>
    <n v="2250000000"/>
    <n v="1660.51"/>
    <n v="-14.25"/>
    <n v="175370241"/>
    <d v="2021-02-07T00:00:00"/>
    <s v="Complete"/>
    <m/>
  </r>
  <r>
    <s v="dstuddeardck"/>
    <s v="blog.com"/>
    <s v="Davie"/>
    <s v="Studdeard"/>
    <s v="Male"/>
    <s v="Male"/>
    <s v="56.38.187.250"/>
    <s v="71.78.242.17"/>
    <n v="453"/>
    <n v="453"/>
    <s v="NYSE"/>
    <s v="IGR"/>
    <s v="CBRE Clarion Global Real Estate Income Fund"/>
    <x v="2"/>
    <s v="N/A"/>
    <s v="$908.24M"/>
    <n v="908240000"/>
    <n v="454.84"/>
    <n v="-13.03"/>
    <n v="75288773"/>
    <d v="2023-11-25T00:00:00"/>
    <s v="Missing"/>
    <m/>
  </r>
  <r>
    <s v="ftrewarthacl"/>
    <s v="cnbc.com"/>
    <s v="Forester"/>
    <s v="Trewartha"/>
    <s v="Male"/>
    <s v="Male"/>
    <s v="228.251.230.74"/>
    <s v="155.163.41.189"/>
    <n v="454"/>
    <n v="454"/>
    <s v="NYSE"/>
    <s v="GWR"/>
    <s v="Genesee &amp; Wyoming, Inc."/>
    <x v="12"/>
    <s v="Railroads"/>
    <s v="$4.18B"/>
    <n v="4179999999.9999995"/>
    <n v="580.78"/>
    <n v="-15.78"/>
    <n v="79487020"/>
    <d v="2021-09-12T00:00:00"/>
    <s v="Complete"/>
    <m/>
  </r>
  <r>
    <s v="chindsbergcm"/>
    <s v="nymag.com"/>
    <s v="Crawford"/>
    <s v="Hindsberg"/>
    <s v="Male"/>
    <s v="Male"/>
    <s v="53.30.136.100"/>
    <s v="26.1.94.239"/>
    <n v="455"/>
    <n v="455"/>
    <s v="NYSE"/>
    <s v="KRC^H"/>
    <s v="Kilroy Realty Corporation"/>
    <x v="2"/>
    <s v="N/A"/>
    <s v="N/A"/>
    <n v="0"/>
    <n v="1965.6"/>
    <n v="17.14"/>
    <n v="48717191"/>
    <d v="2023-09-01T00:00:00"/>
    <s v="Missing"/>
    <m/>
  </r>
  <r>
    <s v="ashankcn"/>
    <s v="github.io"/>
    <s v="Armin"/>
    <s v="Shank"/>
    <s v="Male"/>
    <s v="Male"/>
    <s v="135.34.11.233"/>
    <s v="123.247.253.151"/>
    <n v="456"/>
    <n v="456"/>
    <s v="NYSE"/>
    <s v="COTV"/>
    <s v="Cotiviti Holdings, Inc."/>
    <x v="7"/>
    <s v="Business Services"/>
    <s v="$3.5B"/>
    <n v="3500000000"/>
    <n v="1800.93"/>
    <n v="-9.25"/>
    <n v="161039362"/>
    <d v="2020-10-02T00:00:00"/>
    <s v="Complete"/>
    <m/>
  </r>
  <r>
    <s v="ksebrightco"/>
    <s v="china.com.cn"/>
    <s v="Kimberlyn"/>
    <s v="Sebright"/>
    <s v="Female"/>
    <s v="Female"/>
    <s v="224.93.133.133"/>
    <s v="154.99.201.27"/>
    <n v="457"/>
    <n v="457"/>
    <s v="NYSE"/>
    <s v="TNP"/>
    <s v="Tsakos Energy Navigation Ltd"/>
    <x v="12"/>
    <s v="Marine Transportation"/>
    <s v="$366.58M"/>
    <n v="366580000"/>
    <n v="1443.41"/>
    <n v="-1.28"/>
    <n v="94754140"/>
    <d v="2023-09-09T00:00:00"/>
    <s v="Complete"/>
    <m/>
  </r>
  <r>
    <s v="rdroogancp"/>
    <s v="wordpress.org"/>
    <s v="Rockwell"/>
    <s v="Droogan"/>
    <s v="Male"/>
    <s v="Male"/>
    <s v="240.31.92.93"/>
    <s v="87.79.159.168"/>
    <n v="458"/>
    <n v="458"/>
    <s v="NASDAQ"/>
    <s v="CPTAG"/>
    <s v="Capitala Finance Corp."/>
    <x v="2"/>
    <s v="N/A"/>
    <s v="N/A"/>
    <n v="0"/>
    <n v="1399.05"/>
    <n v="-5.82"/>
    <n v="44936557"/>
    <d v="2020-03-10T00:00:00"/>
    <s v="Missing"/>
    <m/>
  </r>
  <r>
    <s v="tkornelcq"/>
    <s v="ameblo.jp"/>
    <s v="Terri"/>
    <s v="Kornel"/>
    <s v="Female"/>
    <s v="Female"/>
    <s v="241.192.36.185"/>
    <s v="36.197.168.199"/>
    <n v="459"/>
    <n v="459"/>
    <s v="NASDAQ"/>
    <s v="VICR"/>
    <s v="Vicor Corporation"/>
    <x v="1"/>
    <s v="Industrial Machinery/Components"/>
    <s v="$756.67M"/>
    <n v="756670000"/>
    <n v="384.27"/>
    <n v="4.95"/>
    <n v="28302020"/>
    <d v="2025-09-05T00:00:00"/>
    <s v="Complete"/>
    <m/>
  </r>
  <r>
    <s v="sbendincr"/>
    <s v="altervista.org"/>
    <s v="Shepherd"/>
    <s v="Bendin"/>
    <s v="Male"/>
    <s v="Male"/>
    <s v="130.13.178.236"/>
    <s v="214.178.99.125"/>
    <n v="460"/>
    <n v="460"/>
    <s v="NYSE"/>
    <s v="CMRE^B"/>
    <s v="Costamare Inc."/>
    <x v="2"/>
    <s v="N/A"/>
    <s v="N/A"/>
    <n v="0"/>
    <n v="952.84"/>
    <n v="16.09"/>
    <n v="224555"/>
    <d v="2022-08-03T00:00:00"/>
    <s v="Missing"/>
    <m/>
  </r>
  <r>
    <s v="gizakovcs"/>
    <s v="sina.com.cn"/>
    <s v="Gael"/>
    <s v="Izakov"/>
    <s v="Male"/>
    <s v="Male"/>
    <s v="254.119.192.182"/>
    <s v="201.26.1.126"/>
    <n v="461"/>
    <n v="461"/>
    <s v="NYSE"/>
    <s v="LXU"/>
    <s v="Lsb Industries Inc."/>
    <x v="10"/>
    <s v="Major Chemicals"/>
    <s v="$295.41M"/>
    <n v="295410000"/>
    <n v="1512.04"/>
    <n v="2.4300000000000002"/>
    <n v="85931965"/>
    <d v="2022-08-03T00:00:00"/>
    <s v="Complete"/>
    <m/>
  </r>
  <r>
    <s v="sbatchct"/>
    <s v="ftc.gov"/>
    <s v="Seth"/>
    <s v="Batch"/>
    <s v="Male"/>
    <s v="Male"/>
    <s v="179.108.29.142"/>
    <s v="72.19.40.247"/>
    <n v="462"/>
    <n v="462"/>
    <s v="NYSE"/>
    <s v="HAL"/>
    <s v="Halliburton Company"/>
    <x v="9"/>
    <s v="Oilfield Services/Equipment"/>
    <s v="$38.42B"/>
    <n v="38420000000"/>
    <n v="604.69000000000005"/>
    <n v="5.83"/>
    <n v="79344750"/>
    <d v="2024-09-26T00:00:00"/>
    <s v="Complete"/>
    <m/>
  </r>
  <r>
    <s v="swahlbergcu"/>
    <s v="mozilla.com"/>
    <s v="Salem"/>
    <s v="Wahlberg"/>
    <s v="Male"/>
    <s v="Male"/>
    <s v="150.138.249.39"/>
    <s v="212.63.97.190"/>
    <n v="463"/>
    <n v="463"/>
    <s v="NASDAQ"/>
    <s v="CNSL"/>
    <s v="Consolidated Communications Holdings, Inc."/>
    <x v="8"/>
    <s v="Telecommunications Equipment"/>
    <s v="$1.09B"/>
    <n v="1090000000"/>
    <n v="622.30999999999995"/>
    <n v="-1.41"/>
    <n v="34110871"/>
    <d v="2024-07-26T00:00:00"/>
    <s v="Complete"/>
    <m/>
  </r>
  <r>
    <s v="reldincv"/>
    <s v="reference.com"/>
    <s v="Raina"/>
    <s v="Eldin"/>
    <s v="Female"/>
    <s v="Female"/>
    <s v="34.141.141.52"/>
    <s v="183.93.57.194"/>
    <n v="464"/>
    <n v="464"/>
    <s v="NASDAQ"/>
    <s v="JASO"/>
    <s v="JA Solar Holdings, Co., Ltd."/>
    <x v="4"/>
    <s v="Semiconductors"/>
    <s v="$301.6M"/>
    <n v="301600000"/>
    <n v="1299.08"/>
    <n v="0.66"/>
    <n v="104126248"/>
    <d v="2024-12-31T00:00:00"/>
    <s v="Complete"/>
    <m/>
  </r>
  <r>
    <s v="zplankcw"/>
    <s v="miibeian.gov.cn"/>
    <s v="Zorine"/>
    <s v="Plank"/>
    <s v="Female"/>
    <s v="Female"/>
    <s v="132.154.11.111"/>
    <s v="131.153.224.35"/>
    <n v="465"/>
    <n v="465"/>
    <s v="NYSE"/>
    <s v="BFR"/>
    <s v="BBVA Banco Frances S.A."/>
    <x v="3"/>
    <s v="Commercial Banks"/>
    <s v="$3.47B"/>
    <n v="3470000000"/>
    <n v="1851.12"/>
    <n v="2.84"/>
    <n v="49134280"/>
    <d v="2021-07-21T00:00:00"/>
    <s v="Complete"/>
    <m/>
  </r>
  <r>
    <s v="fvispocx"/>
    <s v="1688.com"/>
    <s v="Farly"/>
    <s v="Vispo"/>
    <s v="Male"/>
    <s v="Male"/>
    <s v="129.140.69.126"/>
    <s v="14.91.75.204"/>
    <n v="466"/>
    <n v="466"/>
    <s v="NYSE"/>
    <s v="TGT"/>
    <s v="Target Corporation"/>
    <x v="6"/>
    <s v="Department/Specialty Retail Stores"/>
    <s v="$29.03B"/>
    <n v="29030000000"/>
    <n v="991.71"/>
    <n v="2.46"/>
    <n v="190369679"/>
    <d v="2020-07-03T00:00:00"/>
    <s v="Complete"/>
    <m/>
  </r>
  <r>
    <s v="ctawncy"/>
    <s v="yandex.ru"/>
    <s v="Corissa"/>
    <s v="Tawn"/>
    <s v="Female"/>
    <s v="Female"/>
    <s v="1.81.253.191"/>
    <s v="12.144.62.154"/>
    <n v="467"/>
    <n v="467"/>
    <s v="NYSE"/>
    <s v="BLX"/>
    <s v="Banco Latinoamericano de Comercio Exterior, S.A."/>
    <x v="3"/>
    <s v="Commercial Banks"/>
    <s v="$1.1B"/>
    <n v="1100000000"/>
    <n v="1518.69"/>
    <n v="17.43"/>
    <n v="120505412"/>
    <d v="2026-06-13T00:00:00"/>
    <s v="Complete"/>
    <m/>
  </r>
  <r>
    <s v="amacgianycz"/>
    <s v="cpanel.net"/>
    <s v="Alexine"/>
    <s v="MacGiany"/>
    <s v="Female"/>
    <s v="Female"/>
    <s v="204.160.172.233"/>
    <s v="27.109.210.22"/>
    <n v="468"/>
    <n v="468"/>
    <s v="NYSE"/>
    <s v="UTL"/>
    <s v="UNITIL Corporation"/>
    <x v="8"/>
    <s v="Power Generation"/>
    <s v="$710.24M"/>
    <n v="710240000"/>
    <n v="1275.3499999999999"/>
    <n v="-5.27"/>
    <n v="134100712"/>
    <d v="2024-04-03T00:00:00"/>
    <s v="Complete"/>
    <m/>
  </r>
  <r>
    <s v="sprentyd0"/>
    <s v="ted.com"/>
    <s v="Salim"/>
    <s v="Prenty"/>
    <s v="Male"/>
    <s v="Male"/>
    <s v="213.250.81.169"/>
    <s v="187.74.60.167"/>
    <n v="469"/>
    <n v="469"/>
    <s v="NASDAQ"/>
    <s v="WILC"/>
    <s v="G. Willi-Food International,  Ltd."/>
    <x v="5"/>
    <s v="Food Distributors"/>
    <s v="$92.42M"/>
    <n v="92420000"/>
    <n v="374.44"/>
    <n v="-6.94"/>
    <n v="48200536"/>
    <d v="2026-03-17T00:00:00"/>
    <s v="Complete"/>
    <m/>
  </r>
  <r>
    <s v="nhurryd1"/>
    <s v="cnbc.com"/>
    <s v="Nonnah"/>
    <s v="Hurry"/>
    <s v="Female"/>
    <s v="Female"/>
    <s v="72.242.206.122"/>
    <s v="143.167.188.223"/>
    <n v="470"/>
    <n v="470"/>
    <s v="NASDAQ"/>
    <s v="IDSY"/>
    <s v="I.D. Systems, Inc."/>
    <x v="11"/>
    <s v="Telecommunications Equipment"/>
    <s v="$87.7M"/>
    <n v="87700000"/>
    <n v="823.8"/>
    <n v="9.5299999999999994"/>
    <n v="127085015"/>
    <d v="2023-03-26T00:00:00"/>
    <s v="Complete"/>
    <m/>
  </r>
  <r>
    <s v="acrouxd2"/>
    <s v="xrea.com"/>
    <s v="Allyson"/>
    <s v="Croux"/>
    <s v="Female"/>
    <s v="Female"/>
    <s v="202.117.24.53"/>
    <s v="33.5.87.7"/>
    <n v="471"/>
    <n v="471"/>
    <s v="NYSE"/>
    <s v="LII"/>
    <s v="Lennox International, Inc."/>
    <x v="1"/>
    <s v="Industrial Machinery/Components"/>
    <s v="$8.05B"/>
    <n v="8050000000.000001"/>
    <n v="547.72"/>
    <n v="-5.08"/>
    <n v="21483925"/>
    <d v="2024-01-10T00:00:00"/>
    <s v="Complete"/>
    <m/>
  </r>
  <r>
    <s v="jstopforthd3"/>
    <s v="over-blog.com"/>
    <s v="Jonell"/>
    <s v="Stopforth"/>
    <s v="Female"/>
    <s v="Female"/>
    <s v="107.81.193.39"/>
    <s v="159.2.39.5"/>
    <n v="472"/>
    <n v="472"/>
    <s v="NASDAQ"/>
    <s v="CASI"/>
    <s v="CASI Pharmaceuticals, Inc."/>
    <x v="0"/>
    <s v="Biotechnology: Biological Products (No Diagnostic Substances)"/>
    <s v="$55.38M"/>
    <n v="55380000"/>
    <n v="1758.47"/>
    <n v="0.01"/>
    <n v="80006768"/>
    <d v="2021-06-07T00:00:00"/>
    <s v="Complete"/>
    <m/>
  </r>
  <r>
    <s v="mgussied4"/>
    <s v="google.com.hk"/>
    <s v="Merry"/>
    <s v="Gussie"/>
    <s v="Female"/>
    <s v="Female"/>
    <s v="38.201.248.41"/>
    <s v="98.61.217.217"/>
    <n v="473"/>
    <n v="473"/>
    <s v="NYSE"/>
    <s v="MS^K"/>
    <s v="Morgan Stanley"/>
    <x v="2"/>
    <s v="N/A"/>
    <s v="N/A"/>
    <n v="0"/>
    <n v="1518.93"/>
    <n v="6"/>
    <n v="112591235"/>
    <d v="2026-06-21T00:00:00"/>
    <s v="Missing"/>
    <m/>
  </r>
  <r>
    <s v="bslaynyd5"/>
    <s v="senate.gov"/>
    <s v="Barnabas"/>
    <s v="Slayny"/>
    <s v="Male"/>
    <s v="Male"/>
    <s v="138.66.164.62"/>
    <s v="127.26.30.220"/>
    <n v="474"/>
    <n v="474"/>
    <s v="NASDAQ"/>
    <s v="GTIM"/>
    <s v="Good Times Restaurants Inc."/>
    <x v="6"/>
    <s v="Restaurants"/>
    <s v="$41.81M"/>
    <n v="41810000"/>
    <n v="1620.05"/>
    <n v="-5.18"/>
    <n v="75769816"/>
    <d v="2025-03-21T00:00:00"/>
    <s v="Complete"/>
    <m/>
  </r>
  <r>
    <s v="sosinind6"/>
    <s v="springer.com"/>
    <s v="Stanford"/>
    <s v="Osinin"/>
    <s v="Male"/>
    <s v="Male"/>
    <s v="154.220.79.99"/>
    <s v="192.218.242.158"/>
    <n v="475"/>
    <n v="475"/>
    <s v="NASDAQ"/>
    <s v="FYX"/>
    <s v="First Trust Small Cap Core AlphaDEX Fund"/>
    <x v="2"/>
    <s v="N/A"/>
    <s v="$488.7M"/>
    <n v="488700000"/>
    <n v="579.48"/>
    <n v="-4.62"/>
    <n v="162013799"/>
    <d v="2021-04-19T00:00:00"/>
    <s v="Missing"/>
    <m/>
  </r>
  <r>
    <s v="llowndsbroughd7"/>
    <s v="e-recht24.de"/>
    <s v="Lynna"/>
    <s v="Lowndsbrough"/>
    <s v="Female"/>
    <s v="Female"/>
    <s v="149.180.13.163"/>
    <s v="197.96.150.101"/>
    <n v="476"/>
    <n v="476"/>
    <s v="NASDAQ"/>
    <s v="IGF"/>
    <s v="iShares Global Infrastructure ETF"/>
    <x v="2"/>
    <s v="N/A"/>
    <s v="$1.71B"/>
    <n v="1710000000"/>
    <n v="106.73"/>
    <n v="9.17"/>
    <n v="24827419"/>
    <d v="2022-07-23T00:00:00"/>
    <s v="Missing"/>
    <m/>
  </r>
  <r>
    <s v="wmccrostied8"/>
    <s v="liveinternet.ru"/>
    <s v="Wood"/>
    <s v="McCrostie"/>
    <s v="Male"/>
    <s v="Male"/>
    <s v="128.80.43.232"/>
    <s v="237.188.188.255"/>
    <n v="477"/>
    <n v="477"/>
    <s v="NASDAQ"/>
    <s v="SHSP"/>
    <s v="SharpSpring, Inc."/>
    <x v="4"/>
    <s v="Computer Software: Prepackaged Software"/>
    <s v="$37.65M"/>
    <n v="37650000"/>
    <n v="1981.86"/>
    <n v="12.44"/>
    <n v="20500904"/>
    <d v="2023-03-10T00:00:00"/>
    <s v="Complete"/>
    <m/>
  </r>
  <r>
    <s v="loddyd9"/>
    <s v="bravesites.com"/>
    <s v="Lennard"/>
    <s v="Oddy"/>
    <s v="Bigender"/>
    <s v="Other"/>
    <s v="118.163.255.218"/>
    <s v="184.228.241.22"/>
    <n v="478"/>
    <n v="478"/>
    <s v="NASDAQ"/>
    <s v="HDNG"/>
    <s v="Hardinge Inc."/>
    <x v="1"/>
    <s v="Industrial Machinery/Components"/>
    <s v="$162.72M"/>
    <n v="162720000"/>
    <n v="1772.59"/>
    <n v="-1.81"/>
    <n v="94749412"/>
    <d v="2025-12-20T00:00:00"/>
    <s v="Complete"/>
    <m/>
  </r>
  <r>
    <s v="aparrottda"/>
    <s v="theguardian.com"/>
    <s v="Adele"/>
    <s v="Parrott"/>
    <s v="Female"/>
    <s v="Female"/>
    <s v="102.110.57.175"/>
    <s v="210.57.75.128"/>
    <n v="479"/>
    <n v="479"/>
    <s v="NASDAQ"/>
    <s v="CSPI"/>
    <s v="CSP Inc."/>
    <x v="4"/>
    <s v="EDP Services"/>
    <s v="$42.78M"/>
    <n v="42780000"/>
    <n v="705.66"/>
    <n v="-7.33"/>
    <n v="70867334"/>
    <d v="2024-07-25T00:00:00"/>
    <s v="Complete"/>
    <m/>
  </r>
  <r>
    <s v="dgantzdb"/>
    <s v="nyu.edu"/>
    <s v="Dennet"/>
    <s v="Gantz"/>
    <s v="Male"/>
    <s v="Male"/>
    <s v="233.129.229.66"/>
    <s v="41.32.144.209"/>
    <n v="480"/>
    <n v="480"/>
    <s v="NASDAQ"/>
    <s v="BCOR"/>
    <s v="Blucora, Inc."/>
    <x v="4"/>
    <s v="EDP Services"/>
    <s v="$909.02M"/>
    <n v="909020000"/>
    <n v="1779.14"/>
    <n v="5.43"/>
    <n v="168950470"/>
    <d v="2022-10-06T00:00:00"/>
    <s v="Complete"/>
    <m/>
  </r>
  <r>
    <s v="svanyushkindc"/>
    <s v="yellowbook.com"/>
    <s v="Skip"/>
    <s v="Vanyushkin"/>
    <s v="Non-binary"/>
    <s v="Other"/>
    <s v="22.167.154.35"/>
    <s v="246.97.51.97"/>
    <n v="481"/>
    <n v="481"/>
    <s v="NYSE"/>
    <s v="VR"/>
    <s v="Validus Holdings, Ltd."/>
    <x v="3"/>
    <s v="Property-Casualty Insurers"/>
    <s v="$4.21B"/>
    <n v="4210000000"/>
    <n v="1727.71"/>
    <n v="-16.73"/>
    <n v="130556488"/>
    <d v="2021-01-06T00:00:00"/>
    <s v="Complete"/>
    <m/>
  </r>
  <r>
    <s v="jscafedd"/>
    <s v="google.com"/>
    <s v="Jaynell"/>
    <s v="Scafe"/>
    <s v="Female"/>
    <s v="Female"/>
    <s v="166.222.69.252"/>
    <s v="137.86.158.66"/>
    <n v="482"/>
    <n v="482"/>
    <s v="NASDAQ"/>
    <s v="PACW"/>
    <s v="PacWest Bancorp"/>
    <x v="3"/>
    <s v="Major Banks"/>
    <s v="$5.87B"/>
    <n v="5870000000"/>
    <n v="1926.96"/>
    <n v="-14.5"/>
    <n v="114379857"/>
    <d v="2025-04-16T00:00:00"/>
    <s v="Complete"/>
    <m/>
  </r>
  <r>
    <s v="hroysonde"/>
    <s v="nps.gov"/>
    <s v="Had"/>
    <s v="Royson"/>
    <s v="Male"/>
    <s v="Male"/>
    <s v="157.229.57.68"/>
    <s v="177.248.223.54"/>
    <n v="483"/>
    <n v="483"/>
    <s v="NASDAQ"/>
    <s v="SBNYW"/>
    <s v="Signature Bank"/>
    <x v="3"/>
    <s v="Major Banks"/>
    <s v="N/A"/>
    <n v="0"/>
    <n v="1971.41"/>
    <n v="-6.83"/>
    <n v="14822691"/>
    <d v="2024-08-13T00:00:00"/>
    <s v="Missing"/>
    <m/>
  </r>
  <r>
    <s v="lkuschadf"/>
    <s v="arizona.edu"/>
    <s v="Linnea"/>
    <s v="Kuscha"/>
    <s v="Female"/>
    <s v="Female"/>
    <s v="2.42.4.27"/>
    <s v="217.121.236.124"/>
    <n v="484"/>
    <n v="484"/>
    <s v="NYSE"/>
    <s v="JHA"/>
    <s v="Nuveen High Income 2020 Target Term Fund"/>
    <x v="2"/>
    <s v="N/A"/>
    <s v="$296.92M"/>
    <n v="296920000"/>
    <n v="714.55"/>
    <n v="-4.41"/>
    <n v="98089107"/>
    <d v="2022-11-21T00:00:00"/>
    <s v="Missing"/>
    <m/>
  </r>
  <r>
    <s v="slinneydg"/>
    <s v="uol.com.br"/>
    <s v="Stefa"/>
    <s v="Linney"/>
    <s v="Female"/>
    <s v="Female"/>
    <s v="255.151.192.241"/>
    <s v="201.128.40.154"/>
    <n v="485"/>
    <n v="485"/>
    <s v="NASDAQ"/>
    <s v="ESLT"/>
    <s v="Elbit Systems Ltd."/>
    <x v="1"/>
    <s v="Military/Government/Technical"/>
    <s v="$5.29B"/>
    <n v="5290000000"/>
    <n v="964.43"/>
    <n v="7.91"/>
    <n v="117153612"/>
    <d v="2026-07-06T00:00:00"/>
    <s v="Complete"/>
    <m/>
  </r>
  <r>
    <s v="tzealeydh"/>
    <s v="mlb.com"/>
    <s v="Truman"/>
    <s v="Zealey"/>
    <s v="Male"/>
    <s v="Male"/>
    <s v="226.19.12.229"/>
    <s v="47.38.164.237"/>
    <n v="486"/>
    <n v="486"/>
    <s v="NYSE"/>
    <s v="BMI"/>
    <s v="Badger Meter, Inc."/>
    <x v="1"/>
    <s v="Industrial Machinery/Components"/>
    <s v="$1.16B"/>
    <n v="1160000000"/>
    <n v="1523.04"/>
    <n v="5.61"/>
    <n v="197770792"/>
    <d v="2021-08-17T00:00:00"/>
    <s v="Complete"/>
    <m/>
  </r>
  <r>
    <s v="fkliemkedi"/>
    <s v="mashable.com"/>
    <s v="Felicio"/>
    <s v="Kliemke"/>
    <s v="Male"/>
    <s v="Male"/>
    <s v="31.16.217.76"/>
    <s v="177.105.232.248"/>
    <n v="487"/>
    <n v="487"/>
    <s v="NASDAQ"/>
    <s v="BCPC"/>
    <s v="Balchem Corporation"/>
    <x v="10"/>
    <s v="Major Chemicals"/>
    <s v="$2.56B"/>
    <n v="2560000000"/>
    <n v="818.37"/>
    <n v="4.4800000000000004"/>
    <n v="3535197"/>
    <d v="2020-08-30T00:00:00"/>
    <s v="Complete"/>
    <m/>
  </r>
  <r>
    <s v="isarvardj"/>
    <s v="sourceforge.net"/>
    <s v="Ilse"/>
    <s v="Sarvar"/>
    <s v="Female"/>
    <s v="Female"/>
    <s v="185.177.167.71"/>
    <s v="46.101.177.238"/>
    <n v="488"/>
    <n v="488"/>
    <s v="NYSE"/>
    <s v="OSG"/>
    <s v="Overseas Shipholding Group, Inc."/>
    <x v="12"/>
    <s v="Marine Transportation"/>
    <s v="$192.45M"/>
    <n v="192450000"/>
    <n v="1175.8399999999999"/>
    <n v="-0.42"/>
    <n v="53550454"/>
    <d v="2022-11-17T00:00:00"/>
    <s v="Complete"/>
    <m/>
  </r>
  <r>
    <s v="pstanforddk"/>
    <s v="flavors.me"/>
    <s v="Patten"/>
    <s v="Stanford"/>
    <s v="Male"/>
    <s v="Male"/>
    <s v="191.188.236.243"/>
    <s v="61.110.206.109"/>
    <n v="489"/>
    <n v="489"/>
    <s v="NASDAQ"/>
    <s v="FEUZ"/>
    <s v="First Trust Eurozone AlphaDEX ETF"/>
    <x v="2"/>
    <s v="N/A"/>
    <s v="$9.76M"/>
    <n v="9760000"/>
    <n v="638.5"/>
    <n v="-6.84"/>
    <n v="134197011"/>
    <d v="2021-07-07T00:00:00"/>
    <s v="Missing"/>
    <m/>
  </r>
  <r>
    <s v="pandreuzzidl"/>
    <s v="columbia.edu"/>
    <s v="Patten"/>
    <s v="Andreuzzi"/>
    <s v="Male"/>
    <s v="Male"/>
    <s v="177.109.88.177"/>
    <s v="85.11.111.50"/>
    <n v="490"/>
    <n v="490"/>
    <s v="NASDAQ"/>
    <s v="IPCC"/>
    <s v="Infinity Property and Casualty Corporation"/>
    <x v="3"/>
    <s v="Property-Casualty Insurers"/>
    <s v="$1.05B"/>
    <n v="1050000000"/>
    <n v="796.73"/>
    <n v="15.78"/>
    <n v="62879088"/>
    <d v="2021-03-09T00:00:00"/>
    <s v="Complete"/>
    <m/>
  </r>
  <r>
    <s v="kgiannonidm"/>
    <s v="spotify.com"/>
    <s v="Konstantin"/>
    <s v="Giannoni"/>
    <s v="Male"/>
    <s v="Male"/>
    <s v="233.63.184.75"/>
    <s v="110.115.38.184"/>
    <n v="491"/>
    <n v="491"/>
    <s v="NASDAQ"/>
    <s v="SRPT"/>
    <s v="Sarepta Therapeutics, Inc."/>
    <x v="0"/>
    <s v="Major Pharmaceuticals"/>
    <s v="$1.78B"/>
    <n v="1780000000"/>
    <n v="1995.79"/>
    <n v="17.04"/>
    <n v="35792662"/>
    <d v="2020-12-13T00:00:00"/>
    <s v="Complete"/>
    <m/>
  </r>
  <r>
    <s v="rblythdn"/>
    <s v="wikispaces.com"/>
    <s v="Rolland"/>
    <s v="Blyth"/>
    <s v="Male"/>
    <s v="Male"/>
    <s v="109.77.162.183"/>
    <s v="241.248.182.16"/>
    <n v="492"/>
    <n v="492"/>
    <s v="NYSE"/>
    <s v="COF^D"/>
    <s v="Capital One Financial Corporation"/>
    <x v="2"/>
    <s v="N/A"/>
    <s v="N/A"/>
    <n v="0"/>
    <n v="1160.51"/>
    <n v="18.45"/>
    <n v="91930993"/>
    <d v="2021-03-03T00:00:00"/>
    <s v="Missing"/>
    <m/>
  </r>
  <r>
    <s v="wlurrimando"/>
    <s v="123-reg.co.uk"/>
    <s v="Wolfie"/>
    <s v="Lurriman"/>
    <s v="Male"/>
    <s v="Male"/>
    <s v="253.141.199.226"/>
    <s v="183.180.22.119"/>
    <n v="493"/>
    <n v="493"/>
    <s v="NYSE"/>
    <s v="HJV"/>
    <s v="MS Structured Asset Corp Saturns GE Cap Corp Series 2002-14"/>
    <x v="3"/>
    <s v="Finance: Consumer Services"/>
    <s v="N/A"/>
    <n v="0"/>
    <n v="1267.54"/>
    <n v="-10.61"/>
    <n v="6966169"/>
    <d v="2025-06-23T00:00:00"/>
    <s v="Missing"/>
    <m/>
  </r>
  <r>
    <s v="nbakhrushindp"/>
    <s v="wired.com"/>
    <s v="Nalani"/>
    <s v="Bakhrushin"/>
    <s v="Genderqueer"/>
    <s v="Other"/>
    <s v="6.122.241.15"/>
    <s v="250.104.245.19"/>
    <n v="494"/>
    <n v="494"/>
    <s v="NASDAQ"/>
    <s v="SPEX"/>
    <s v="Spherix Incorporated"/>
    <x v="7"/>
    <s v="Multi-Sector Companies"/>
    <s v="$4.5M"/>
    <n v="4500000"/>
    <n v="131.80000000000001"/>
    <n v="18.05"/>
    <n v="156263252"/>
    <d v="2025-11-20T00:00:00"/>
    <s v="Complete"/>
    <m/>
  </r>
  <r>
    <s v="sbreretondq"/>
    <s v="smh.com.au"/>
    <s v="Sigismundo"/>
    <s v="Brereton"/>
    <s v="Male"/>
    <s v="Male"/>
    <s v="7.75.243.35"/>
    <s v="86.219.6.91"/>
    <n v="495"/>
    <n v="495"/>
    <s v="NYSE"/>
    <s v="WRB"/>
    <s v="W.R. Berkley Corporation"/>
    <x v="3"/>
    <s v="Property-Casualty Insurers"/>
    <s v="$8.51B"/>
    <n v="8510000000"/>
    <n v="497.05"/>
    <n v="2.1"/>
    <n v="95791910"/>
    <d v="2024-05-03T00:00:00"/>
    <s v="Complete"/>
    <m/>
  </r>
  <r>
    <s v="callmonddr"/>
    <s v="ustream.tv"/>
    <s v="Catie"/>
    <s v="Allmond"/>
    <s v="Female"/>
    <s v="Female"/>
    <s v="116.48.215.209"/>
    <s v="253.161.86.71"/>
    <n v="496"/>
    <n v="496"/>
    <s v="NASDAQ"/>
    <s v="CGIX"/>
    <s v="Cancer Genetics, Inc."/>
    <x v="0"/>
    <s v="Medical Specialities"/>
    <s v="$72.13M"/>
    <n v="72130000"/>
    <n v="401.33"/>
    <n v="-6.2"/>
    <n v="75085378"/>
    <d v="2026-10-11T00:00:00"/>
    <s v="Complete"/>
    <m/>
  </r>
  <r>
    <s v="sjadods"/>
    <s v="amazonaws.com"/>
    <s v="Sarena"/>
    <s v="Jado"/>
    <s v="Female"/>
    <s v="Female"/>
    <s v="126.85.149.25"/>
    <s v="21.22.109.125"/>
    <n v="497"/>
    <n v="497"/>
    <s v="NYSE"/>
    <s v="WLH"/>
    <s v="Lyon William Homes"/>
    <x v="1"/>
    <s v="Homebuilding"/>
    <s v="$719.19M"/>
    <n v="719190000"/>
    <n v="1507.27"/>
    <n v="8.81"/>
    <n v="66794701"/>
    <d v="2024-11-07T00:00:00"/>
    <s v="Complete"/>
    <m/>
  </r>
  <r>
    <s v="bmccaskilldt"/>
    <s v="intel.com"/>
    <s v="Berti"/>
    <s v="McCaskill"/>
    <s v="Male"/>
    <s v="Male"/>
    <s v="172.86.191.9"/>
    <s v="234.140.147.2"/>
    <n v="498"/>
    <n v="498"/>
    <s v="NASDAQ"/>
    <s v="IDXX"/>
    <s v="IDEXX Laboratories, Inc."/>
    <x v="0"/>
    <s v="Biotechnology: In Vitro &amp; In Vivo Diagnostic Substances"/>
    <s v="$14.16B"/>
    <n v="14160000000"/>
    <n v="250.57"/>
    <n v="8.15"/>
    <n v="25809202"/>
    <d v="2022-04-04T00:00:00"/>
    <s v="Complete"/>
    <m/>
  </r>
  <r>
    <s v="jsemperdu"/>
    <s v="youku.com"/>
    <s v="Jessalyn"/>
    <s v="Semper"/>
    <s v="Female"/>
    <s v="Female"/>
    <s v="181.111.204.44"/>
    <s v="5.193.28.145"/>
    <n v="499"/>
    <n v="499"/>
    <s v="NASDAQ"/>
    <s v="HMTA"/>
    <s v="HomeTown Bankshares Corporation"/>
    <x v="3"/>
    <s v="Major Banks"/>
    <s v="$60.41M"/>
    <n v="60410000"/>
    <n v="245.28"/>
    <n v="-0.61"/>
    <n v="86396768"/>
    <d v="2021-05-11T00:00:00"/>
    <s v="Complete"/>
    <m/>
  </r>
  <r>
    <s v="sfaersdv"/>
    <s v="bbc.co.uk"/>
    <s v="Sam"/>
    <s v="Faers"/>
    <s v="Female"/>
    <s v="Female"/>
    <s v="46.163.166.100"/>
    <s v="31.66.154.88"/>
    <n v="500"/>
    <n v="500"/>
    <s v="NASDAQ"/>
    <s v="CMLS"/>
    <s v="Cumulus Media Inc."/>
    <x v="6"/>
    <s v="Broadcasting"/>
    <s v="$14.07M"/>
    <n v="14070000"/>
    <n v="429.96"/>
    <n v="-3.12"/>
    <n v="98114797"/>
    <d v="2025-01-20T00:00:00"/>
    <s v="Complete"/>
    <m/>
  </r>
  <r>
    <s v="giglesiasdw"/>
    <s v="pagesperso-orange.fr"/>
    <s v="Genvieve"/>
    <s v="Iglesias"/>
    <s v="Female"/>
    <s v="Female"/>
    <s v="49.25.103.166"/>
    <s v="30.234.86.40"/>
    <n v="501"/>
    <n v="501"/>
    <s v="NASDAQ"/>
    <s v="INGN"/>
    <s v="Inogen, Inc"/>
    <x v="0"/>
    <s v="Industrial Specialties"/>
    <s v="$1.9B"/>
    <n v="1900000000"/>
    <n v="494.64"/>
    <n v="6.06"/>
    <n v="173952598"/>
    <d v="2025-04-19T00:00:00"/>
    <s v="Complete"/>
    <m/>
  </r>
  <r>
    <s v="dfredadx"/>
    <s v="t-online.de"/>
    <s v="Davide"/>
    <s v="Freda"/>
    <s v="Male"/>
    <s v="Male"/>
    <s v="44.37.16.185"/>
    <s v="132.170.115.126"/>
    <n v="502"/>
    <n v="502"/>
    <s v="NASDAQ"/>
    <s v="ADMP"/>
    <s v="Adamis Pharmaceuticals Corporation"/>
    <x v="0"/>
    <s v="Major Pharmaceuticals"/>
    <s v="$143.33M"/>
    <n v="143330000"/>
    <n v="183.94"/>
    <n v="-11.61"/>
    <n v="4749352"/>
    <d v="2022-01-29T00:00:00"/>
    <s v="Complete"/>
    <m/>
  </r>
  <r>
    <s v="cstartedy"/>
    <s v="exblog.jp"/>
    <s v="Catlin"/>
    <s v="Starte"/>
    <s v="Female"/>
    <s v="Female"/>
    <s v="242.89.98.124"/>
    <s v="208.2.86.69"/>
    <n v="503"/>
    <n v="503"/>
    <s v="NASDAQ"/>
    <s v="CERC"/>
    <s v="Cerecor Inc."/>
    <x v="0"/>
    <s v="Major Pharmaceuticals"/>
    <s v="$7.18M"/>
    <n v="7180000"/>
    <n v="349.79"/>
    <n v="-11.48"/>
    <n v="153740727"/>
    <d v="2022-04-22T00:00:00"/>
    <s v="Complete"/>
    <m/>
  </r>
  <r>
    <s v="whubbucksdz"/>
    <s v="buzzfeed.com"/>
    <s v="Willard"/>
    <s v="Hubbucks"/>
    <s v="Male"/>
    <s v="Male"/>
    <s v="78.12.16.60"/>
    <s v="224.83.95.28"/>
    <n v="504"/>
    <n v="504"/>
    <s v="NYSE"/>
    <s v="LKSD"/>
    <s v="LSC Communications, Inc."/>
    <x v="7"/>
    <s v="Publishing"/>
    <s v="$742.65M"/>
    <n v="742650000"/>
    <n v="919.51"/>
    <n v="7.75"/>
    <n v="7144668"/>
    <d v="2020-07-05T00:00:00"/>
    <s v="Complete"/>
    <m/>
  </r>
  <r>
    <s v="onilgese0"/>
    <s v="goo.gl"/>
    <s v="Ollie"/>
    <s v="Nilges"/>
    <s v="Male"/>
    <s v="Male"/>
    <s v="73.120.97.175"/>
    <s v="167.12.216.14"/>
    <n v="505"/>
    <n v="505"/>
    <s v="NYSE"/>
    <s v="PPP"/>
    <s v="Primero Mining Corp"/>
    <x v="10"/>
    <s v="Precious Metals"/>
    <s v="$64.88M"/>
    <n v="64879999.999999993"/>
    <n v="292.70999999999998"/>
    <n v="16.28"/>
    <n v="97835740"/>
    <d v="2023-06-18T00:00:00"/>
    <s v="Complete"/>
    <m/>
  </r>
  <r>
    <s v="gblaguee1"/>
    <s v="last.fm"/>
    <s v="Granville"/>
    <s v="Blague"/>
    <s v="Male"/>
    <s v="Male"/>
    <s v="105.73.134.110"/>
    <s v="249.157.144.142"/>
    <n v="506"/>
    <n v="506"/>
    <s v="NASDAQ"/>
    <s v="ABCO"/>
    <s v="The Advisory Board Company"/>
    <x v="6"/>
    <s v="Other Consumer Services"/>
    <s v="$2.09B"/>
    <n v="2089999999.9999998"/>
    <n v="1831.04"/>
    <n v="5.89"/>
    <n v="111507209"/>
    <d v="2021-04-22T00:00:00"/>
    <s v="Complete"/>
    <m/>
  </r>
  <r>
    <s v="dstutte2"/>
    <s v="aol.com"/>
    <s v="Derek"/>
    <s v="Stutt"/>
    <s v="Male"/>
    <s v="Male"/>
    <s v="172.66.222.155"/>
    <s v="73.185.144.205"/>
    <n v="507"/>
    <n v="507"/>
    <s v="NASDAQ"/>
    <s v="AMBCW"/>
    <s v="Ambac Financial Group, Inc."/>
    <x v="3"/>
    <s v="Property-Casualty Insurers"/>
    <s v="N/A"/>
    <n v="0"/>
    <n v="48.44"/>
    <n v="2.66"/>
    <n v="40932709"/>
    <d v="2026-10-28T00:00:00"/>
    <s v="Missing"/>
    <m/>
  </r>
  <r>
    <s v="nmendenhalle3"/>
    <s v="engadget.com"/>
    <s v="Nikita"/>
    <s v="Mendenhall"/>
    <s v="Male"/>
    <s v="Male"/>
    <s v="170.54.236.19"/>
    <s v="74.248.194.55"/>
    <n v="508"/>
    <n v="508"/>
    <s v="NASDAQ"/>
    <s v="IROQ"/>
    <s v="IF Bancorp, Inc."/>
    <x v="3"/>
    <s v="Savings Institutions"/>
    <s v="$77.63M"/>
    <n v="77630000"/>
    <n v="1618.56"/>
    <n v="14.13"/>
    <n v="131419398"/>
    <d v="2022-01-27T00:00:00"/>
    <s v="Complete"/>
    <m/>
  </r>
  <r>
    <s v="fhortope4"/>
    <s v="cmu.edu"/>
    <s v="Faye"/>
    <s v="Hortop"/>
    <s v="Female"/>
    <s v="Female"/>
    <s v="126.239.30.7"/>
    <s v="138.253.153.97"/>
    <n v="509"/>
    <n v="509"/>
    <s v="NYSE"/>
    <s v="OB"/>
    <s v="OneBeacon Insurance Group, Ltd."/>
    <x v="3"/>
    <s v="Property-Casualty Insurers"/>
    <s v="$1.72B"/>
    <n v="1720000000"/>
    <n v="367.62"/>
    <n v="-13.07"/>
    <n v="6859300"/>
    <d v="2026-09-28T00:00:00"/>
    <s v="Complete"/>
    <m/>
  </r>
  <r>
    <s v="gonearye5"/>
    <s v="deliciousdays.com"/>
    <s v="Garrett"/>
    <s v="O'Neary"/>
    <s v="Male"/>
    <s v="Male"/>
    <s v="139.127.120.241"/>
    <s v="148.74.151.219"/>
    <n v="510"/>
    <n v="510"/>
    <s v="NASDAQ"/>
    <s v="SPOK"/>
    <s v="Spok Holdings, Inc."/>
    <x v="8"/>
    <s v="Telecommunications Equipment"/>
    <s v="$371.61M"/>
    <n v="371610000"/>
    <n v="1198.24"/>
    <n v="-19.05"/>
    <n v="161935506"/>
    <d v="2021-08-01T00:00:00"/>
    <s v="Complete"/>
    <m/>
  </r>
  <r>
    <s v="rmaskewe6"/>
    <s v="alibaba.com"/>
    <s v="Rosemaria"/>
    <s v="Maskew"/>
    <s v="Female"/>
    <s v="Female"/>
    <s v="238.204.156.123"/>
    <s v="222.83.66.71"/>
    <n v="511"/>
    <n v="511"/>
    <s v="NASDAQ"/>
    <s v="CHSCM"/>
    <s v="CHS Inc"/>
    <x v="6"/>
    <s v="Farming/Seeds/Milling"/>
    <s v="$542.67M"/>
    <n v="542670000"/>
    <n v="1814.63"/>
    <n v="3.85"/>
    <n v="66175095"/>
    <d v="2020-04-30T00:00:00"/>
    <s v="Complete"/>
    <m/>
  </r>
  <r>
    <s v="cthorsbye7"/>
    <s v="vk.com"/>
    <s v="Christalle"/>
    <s v="Thorsby"/>
    <s v="Female"/>
    <s v="Female"/>
    <s v="200.60.117.206"/>
    <s v="72.103.197.10"/>
    <n v="512"/>
    <n v="512"/>
    <s v="NYSE"/>
    <s v="CMA.WS"/>
    <s v="Comerica Incorporated"/>
    <x v="2"/>
    <s v="N/A"/>
    <s v="N/A"/>
    <n v="0"/>
    <n v="645.4"/>
    <n v="-18.66"/>
    <n v="146127701"/>
    <d v="2023-11-21T00:00:00"/>
    <s v="Missing"/>
    <m/>
  </r>
  <r>
    <s v="inutbeane8"/>
    <s v="wired.com"/>
    <s v="Iormina"/>
    <s v="Nutbean"/>
    <s v="Female"/>
    <s v="Female"/>
    <s v="152.187.213.110"/>
    <s v="219.232.37.214"/>
    <n v="513"/>
    <n v="513"/>
    <s v="NASDAQ"/>
    <s v="ACXM"/>
    <s v="Acxiom Corporation"/>
    <x v="4"/>
    <s v="EDP Services"/>
    <s v="$2.06B"/>
    <n v="2060000000"/>
    <n v="585.22"/>
    <n v="6.24"/>
    <n v="53006342"/>
    <d v="2023-07-24T00:00:00"/>
    <s v="Complete"/>
    <m/>
  </r>
  <r>
    <s v="gsuermeiere9"/>
    <s v="narod.ru"/>
    <s v="Gabbie"/>
    <s v="Suermeier"/>
    <s v="Female"/>
    <s v="Female"/>
    <s v="28.123.108.213"/>
    <s v="113.132.13.203"/>
    <n v="514"/>
    <n v="514"/>
    <s v="NYSE"/>
    <s v="SLB"/>
    <s v="Schlumberger N.V."/>
    <x v="9"/>
    <s v="Oilfield Services/Equipment"/>
    <s v="$95.29B"/>
    <n v="95290000000"/>
    <n v="1251.94"/>
    <n v="-13.46"/>
    <n v="82164637"/>
    <d v="2023-05-16T00:00:00"/>
    <s v="Complete"/>
    <m/>
  </r>
  <r>
    <s v="goslerea"/>
    <s v="ycombinator.com"/>
    <s v="Greg"/>
    <s v="Osler"/>
    <s v="Male"/>
    <s v="Male"/>
    <s v="130.24.249.50"/>
    <s v="78.244.211.69"/>
    <n v="515"/>
    <n v="515"/>
    <s v="NYSE"/>
    <s v="SAN^B"/>
    <s v="Banco Santander, S.A."/>
    <x v="2"/>
    <s v="N/A"/>
    <s v="N/A"/>
    <n v="0"/>
    <n v="1587.22"/>
    <n v="12.56"/>
    <n v="30743414"/>
    <d v="2023-11-20T00:00:00"/>
    <s v="Missing"/>
    <m/>
  </r>
  <r>
    <s v="dhazzardeb"/>
    <s v="prweb.com"/>
    <s v="Danella"/>
    <s v="Hazzard"/>
    <s v="Female"/>
    <s v="Female"/>
    <s v="205.208.131.158"/>
    <s v="110.198.183.117"/>
    <n v="516"/>
    <n v="516"/>
    <s v="NASDAQ"/>
    <s v="PCOM"/>
    <s v="Points International, Ltd."/>
    <x v="7"/>
    <s v="Business Services"/>
    <s v="$126.39M"/>
    <n v="126390000"/>
    <n v="1184.6300000000001"/>
    <n v="8.08"/>
    <n v="74443833"/>
    <d v="2023-03-03T00:00:00"/>
    <s v="Complete"/>
    <m/>
  </r>
  <r>
    <s v="dastlesec"/>
    <s v="foxnews.com"/>
    <s v="Deni"/>
    <s v="Astles"/>
    <s v="Female"/>
    <s v="Female"/>
    <s v="0.137.135.194"/>
    <s v="177.195.21.222"/>
    <n v="517"/>
    <n v="517"/>
    <s v="NYSE"/>
    <s v="TISI"/>
    <s v="Team, Inc."/>
    <x v="6"/>
    <s v="Other Consumer Services"/>
    <s v="$751.34M"/>
    <n v="751340000"/>
    <n v="114.54"/>
    <n v="10.67"/>
    <n v="188665582"/>
    <d v="2023-02-23T00:00:00"/>
    <s v="Complete"/>
    <m/>
  </r>
  <r>
    <s v="ttwelvesed"/>
    <s v="liveinternet.ru"/>
    <s v="Torrin"/>
    <s v="Twelves"/>
    <s v="Genderfluid"/>
    <s v="Other"/>
    <s v="78.234.254.155"/>
    <s v="52.77.187.14"/>
    <n v="518"/>
    <n v="518"/>
    <s v="NASDAQ"/>
    <s v="PNQI"/>
    <s v="PowerShares Nasdaq Internet Portfolio"/>
    <x v="2"/>
    <s v="N/A"/>
    <s v="$388.09M"/>
    <n v="388090000"/>
    <n v="1292"/>
    <n v="7.06"/>
    <n v="119557670"/>
    <d v="2024-08-19T00:00:00"/>
    <s v="Missing"/>
    <m/>
  </r>
  <r>
    <s v="dcossingtonee"/>
    <s v="census.gov"/>
    <s v="Dennie"/>
    <s v="Cossington"/>
    <s v="Female"/>
    <s v="Female"/>
    <s v="113.126.212.20"/>
    <s v="168.78.2.195"/>
    <n v="519"/>
    <n v="519"/>
    <s v="NYSE"/>
    <s v="MYD"/>
    <s v="Blackrock MuniYield Fund, Inc."/>
    <x v="2"/>
    <s v="N/A"/>
    <s v="$703.23M"/>
    <n v="703230000"/>
    <n v="1674.29"/>
    <n v="-8.69"/>
    <n v="17796687"/>
    <d v="2025-07-13T00:00:00"/>
    <s v="Missing"/>
    <m/>
  </r>
  <r>
    <s v="btroreyef"/>
    <s v="drupal.org"/>
    <s v="Berget"/>
    <s v="Trorey"/>
    <s v="Female"/>
    <s v="Female"/>
    <s v="52.168.146.145"/>
    <s v="222.22.133.54"/>
    <n v="520"/>
    <n v="520"/>
    <s v="NYSE"/>
    <s v="KORS"/>
    <s v="Michael Kors Holdings Limited"/>
    <x v="5"/>
    <s v="Apparel"/>
    <s v="$5.39B"/>
    <n v="5390000000"/>
    <n v="1961.75"/>
    <n v="11.82"/>
    <n v="78973286"/>
    <d v="2024-02-11T00:00:00"/>
    <s v="Complete"/>
    <m/>
  </r>
  <r>
    <s v="podareeg"/>
    <s v="about.com"/>
    <s v="Phillip"/>
    <s v="O'Dare"/>
    <s v="Male"/>
    <s v="Male"/>
    <s v="121.145.214.212"/>
    <s v="44.217.99.210"/>
    <n v="521"/>
    <n v="521"/>
    <s v="NASDAQ"/>
    <s v="TCBIW"/>
    <s v="Texas Capital Bancshares, Inc."/>
    <x v="3"/>
    <s v="Major Banks"/>
    <s v="N/A"/>
    <n v="0"/>
    <n v="528.39"/>
    <n v="-1.49"/>
    <n v="137003107"/>
    <d v="2020-02-17T00:00:00"/>
    <s v="Missing"/>
    <m/>
  </r>
  <r>
    <s v="iphillpeh"/>
    <s v="ning.com"/>
    <s v="Iggy"/>
    <s v="Phillp"/>
    <s v="Male"/>
    <s v="Male"/>
    <s v="148.95.244.6"/>
    <s v="25.233.167.2"/>
    <n v="522"/>
    <n v="522"/>
    <s v="NASDAQ"/>
    <s v="JRVR"/>
    <s v="James River Group Holdings, Ltd."/>
    <x v="3"/>
    <s v="Property-Casualty Insurers"/>
    <s v="$1.18B"/>
    <n v="1180000000"/>
    <n v="662.58"/>
    <n v="18.23"/>
    <n v="100762091"/>
    <d v="2026-01-05T00:00:00"/>
    <s v="Complete"/>
    <m/>
  </r>
  <r>
    <s v="jpendleberryei"/>
    <s v="army.mil"/>
    <s v="Jessamine"/>
    <s v="Pendleberry"/>
    <s v="Female"/>
    <s v="Female"/>
    <s v="127.49.202.155"/>
    <s v="18.88.242.164"/>
    <n v="523"/>
    <n v="523"/>
    <s v="NYSE"/>
    <s v="NUV"/>
    <s v="Nuveen AMT-Free Municipal Value Fund"/>
    <x v="2"/>
    <s v="N/A"/>
    <s v="$2.09B"/>
    <n v="2089999999.9999998"/>
    <n v="813.94"/>
    <n v="-2.0699999999999998"/>
    <n v="136859935"/>
    <d v="2022-07-13T00:00:00"/>
    <s v="Missing"/>
    <m/>
  </r>
  <r>
    <s v="adowdenej"/>
    <s v="fc2.com"/>
    <s v="Audry"/>
    <s v="Dowden"/>
    <s v="Female"/>
    <s v="Female"/>
    <s v="125.31.108.200"/>
    <s v="9.3.33.159"/>
    <n v="524"/>
    <n v="524"/>
    <s v="NYSE"/>
    <s v="LBF"/>
    <s v="Scudder Global High Income Fund, Inc."/>
    <x v="2"/>
    <s v="N/A"/>
    <s v="$56.46M"/>
    <n v="56460000"/>
    <n v="1993.15"/>
    <n v="17.79"/>
    <n v="62851365"/>
    <d v="2026-07-15T00:00:00"/>
    <s v="Missing"/>
    <m/>
  </r>
  <r>
    <s v="csherlandek"/>
    <s v="reddit.com"/>
    <s v="Clark"/>
    <s v="Sherland"/>
    <s v="Male"/>
    <s v="Male"/>
    <s v="60.229.217.184"/>
    <s v="199.96.208.78"/>
    <n v="525"/>
    <n v="525"/>
    <s v="NYSE"/>
    <s v="SMM"/>
    <s v="Salient Midstream &amp; MLP Fund"/>
    <x v="2"/>
    <s v="N/A"/>
    <s v="$199.02M"/>
    <n v="199020000"/>
    <n v="636.04999999999995"/>
    <n v="-7.87"/>
    <n v="69821774"/>
    <d v="2021-11-29T00:00:00"/>
    <s v="Missing"/>
    <m/>
  </r>
  <r>
    <s v="hedgellerel"/>
    <s v="loc.gov"/>
    <s v="Harry"/>
    <s v="Edgeller"/>
    <s v="Male"/>
    <s v="Male"/>
    <s v="55.168.67.64"/>
    <s v="183.142.59.6"/>
    <n v="526"/>
    <n v="526"/>
    <s v="NYSE"/>
    <s v="GIS"/>
    <s v="General Mills, Inc."/>
    <x v="5"/>
    <s v="Packaged Foods"/>
    <s v="$32.9B"/>
    <n v="32900000000"/>
    <n v="897.38"/>
    <n v="8.41"/>
    <n v="146262282"/>
    <d v="2021-05-16T00:00:00"/>
    <s v="Complete"/>
    <m/>
  </r>
  <r>
    <s v="landertonem"/>
    <s v="unesco.org"/>
    <s v="Lona"/>
    <s v="Anderton"/>
    <s v="Female"/>
    <s v="Female"/>
    <s v="27.30.3.249"/>
    <s v="35.93.27.202"/>
    <n v="527"/>
    <n v="527"/>
    <s v="NYSE"/>
    <s v="SVU"/>
    <s v="SuperValu Inc."/>
    <x v="5"/>
    <s v="Food Distributors"/>
    <s v="$864.67M"/>
    <n v="864670000"/>
    <n v="7.44"/>
    <n v="-11.34"/>
    <n v="85095189"/>
    <d v="2022-06-15T00:00:00"/>
    <s v="Complete"/>
    <m/>
  </r>
  <r>
    <s v="hsampsonen"/>
    <s v="addthis.com"/>
    <s v="Hermann"/>
    <s v="Sampson"/>
    <s v="Male"/>
    <s v="Male"/>
    <s v="214.66.154.235"/>
    <s v="31.163.217.203"/>
    <n v="528"/>
    <n v="528"/>
    <s v="NYSE"/>
    <s v="TU"/>
    <s v="TELUS Corporation"/>
    <x v="8"/>
    <s v="Telecommunications Equipment"/>
    <s v="$20.42B"/>
    <n v="20420000000"/>
    <n v="1343.81"/>
    <n v="-16.7"/>
    <n v="80496665"/>
    <d v="2025-03-13T00:00:00"/>
    <s v="Complete"/>
    <m/>
  </r>
  <r>
    <s v="hcrankshaweo"/>
    <s v="mit.edu"/>
    <s v="Hatti"/>
    <s v="Crankshaw"/>
    <s v="Female"/>
    <s v="Female"/>
    <s v="243.218.208.2"/>
    <s v="116.69.75.124"/>
    <n v="529"/>
    <n v="529"/>
    <s v="NASDAQ"/>
    <s v="VIA"/>
    <s v="Viacom Inc."/>
    <x v="6"/>
    <s v="Television Services"/>
    <s v="$15.55B"/>
    <n v="15550000000"/>
    <n v="1588.31"/>
    <n v="-14.1"/>
    <n v="123273270"/>
    <d v="2020-01-17T00:00:00"/>
    <s v="Complete"/>
    <m/>
  </r>
  <r>
    <s v="eilesep"/>
    <s v="twitter.com"/>
    <s v="Emmett"/>
    <s v="Iles"/>
    <s v="Male"/>
    <s v="Male"/>
    <s v="249.247.44.141"/>
    <s v="241.125.49.93"/>
    <n v="530"/>
    <n v="530"/>
    <s v="NASDAQ"/>
    <s v="CRESY"/>
    <s v="Cresud S.A.C.I.F. y A."/>
    <x v="3"/>
    <s v="Real Estate"/>
    <s v="$951.53M"/>
    <n v="951530000"/>
    <n v="516.45000000000005"/>
    <n v="-8.2200000000000006"/>
    <n v="148686893"/>
    <d v="2026-11-04T00:00:00"/>
    <s v="Complete"/>
    <m/>
  </r>
  <r>
    <s v="bfeatonbyeq"/>
    <s v="facebook.com"/>
    <s v="Byram"/>
    <s v="Featonby"/>
    <s v="Male"/>
    <s v="Male"/>
    <s v="67.154.76.17"/>
    <s v="153.221.36.220"/>
    <n v="531"/>
    <n v="531"/>
    <s v="NYSE"/>
    <s v="VVC"/>
    <s v="Vectren Corporation"/>
    <x v="8"/>
    <s v="Natural Gas Distribution"/>
    <s v="$5.15B"/>
    <n v="5150000000"/>
    <n v="1118.32"/>
    <n v="4.83"/>
    <n v="115494250"/>
    <d v="2022-11-12T00:00:00"/>
    <s v="Complete"/>
    <m/>
  </r>
  <r>
    <s v="hantoonser"/>
    <s v="wired.com"/>
    <s v="Hogan"/>
    <s v="Antoons"/>
    <s v="Bigender"/>
    <s v="Other"/>
    <s v="55.152.80.100"/>
    <s v="249.205.198.57"/>
    <n v="532"/>
    <n v="532"/>
    <s v="NASDAQ"/>
    <s v="AVID"/>
    <s v="Avid Technology, Inc."/>
    <x v="4"/>
    <s v="Computer Software: Prepackaged Software"/>
    <s v="$205.59M"/>
    <n v="205590000"/>
    <n v="385.83"/>
    <n v="-17.440000000000001"/>
    <n v="113569287"/>
    <d v="2023-08-08T00:00:00"/>
    <s v="Complete"/>
    <m/>
  </r>
  <r>
    <s v="wnowelles"/>
    <s v="soundcloud.com"/>
    <s v="Wilhelm"/>
    <s v="Nowell"/>
    <s v="Polygender"/>
    <s v="Other"/>
    <s v="40.58.61.201"/>
    <s v="195.87.202.186"/>
    <n v="533"/>
    <n v="533"/>
    <s v="NASDAQ"/>
    <s v="DIOD"/>
    <s v="Diodes Incorporated"/>
    <x v="4"/>
    <s v="Semiconductors"/>
    <s v="$1.22B"/>
    <n v="1220000000"/>
    <n v="81.459999999999994"/>
    <n v="5.18"/>
    <n v="34933162"/>
    <d v="2022-08-02T00:00:00"/>
    <s v="Complete"/>
    <m/>
  </r>
  <r>
    <s v="jingmanet"/>
    <s v="constantcontact.com"/>
    <s v="Josiah"/>
    <s v="Ingman"/>
    <s v="Male"/>
    <s v="Male"/>
    <s v="197.76.110.15"/>
    <s v="32.192.38.151"/>
    <n v="534"/>
    <n v="534"/>
    <s v="NYSE"/>
    <s v="STZ.B"/>
    <s v="Constellation Brands Inc"/>
    <x v="2"/>
    <s v="N/A"/>
    <s v="N/A"/>
    <n v="0"/>
    <n v="771.39"/>
    <n v="4.99"/>
    <n v="182078028"/>
    <d v="2025-06-11T00:00:00"/>
    <s v="Missing"/>
    <m/>
  </r>
  <r>
    <s v="tbickelleu"/>
    <s v="nature.com"/>
    <s v="Torie"/>
    <s v="Bickell"/>
    <s v="Female"/>
    <s v="Female"/>
    <s v="170.33.175.202"/>
    <s v="169.199.246.63"/>
    <n v="535"/>
    <n v="535"/>
    <s v="NYSE"/>
    <s v="PSB^T"/>
    <s v="PS Business Parks, Inc."/>
    <x v="2"/>
    <s v="N/A"/>
    <s v="N/A"/>
    <n v="0"/>
    <n v="639.41999999999996"/>
    <n v="-0.45"/>
    <n v="22250981"/>
    <d v="2020-12-07T00:00:00"/>
    <s v="Missing"/>
    <m/>
  </r>
  <r>
    <s v="bblownev"/>
    <s v="omniture.com"/>
    <s v="Barbaraanne"/>
    <s v="Blown"/>
    <s v="Female"/>
    <s v="Female"/>
    <s v="64.138.76.180"/>
    <s v="44.4.164.131"/>
    <n v="536"/>
    <n v="536"/>
    <s v="NYSE"/>
    <s v="LUB"/>
    <s v="Luby's, Inc."/>
    <x v="6"/>
    <s v="Restaurants"/>
    <s v="$88.73M"/>
    <n v="88730000"/>
    <n v="1201.28"/>
    <n v="-17.46"/>
    <n v="532255"/>
    <d v="2022-09-18T00:00:00"/>
    <s v="Complete"/>
    <m/>
  </r>
  <r>
    <s v="awoodersonew"/>
    <s v="etsy.com"/>
    <s v="Alice"/>
    <s v="Wooderson"/>
    <s v="Female"/>
    <s v="Female"/>
    <s v="148.98.173.121"/>
    <s v="109.144.221.112"/>
    <n v="537"/>
    <n v="537"/>
    <s v="NASDAQ"/>
    <s v="ABUS"/>
    <s v="Arbutus Biopharma Corporation"/>
    <x v="0"/>
    <s v="Major Pharmaceuticals"/>
    <s v="$198.09M"/>
    <n v="198090000"/>
    <n v="673.15"/>
    <n v="13.84"/>
    <n v="80763821"/>
    <d v="2024-11-29T00:00:00"/>
    <s v="Complete"/>
    <m/>
  </r>
  <r>
    <s v="ghuotex"/>
    <s v="google.co.jp"/>
    <s v="Gerard"/>
    <s v="Huot"/>
    <s v="Genderfluid"/>
    <s v="Other"/>
    <s v="179.42.181.174"/>
    <s v="100.28.90.46"/>
    <n v="538"/>
    <n v="538"/>
    <s v="NASDAQ"/>
    <s v="RGEN"/>
    <s v="Repligen Corporation"/>
    <x v="0"/>
    <s v="Biotechnology: Biological Products (No Diagnostic Substances)"/>
    <s v="$1.3B"/>
    <n v="1300000000"/>
    <n v="1926.78"/>
    <n v="5.71"/>
    <n v="180388587"/>
    <d v="2022-04-13T00:00:00"/>
    <s v="Complete"/>
    <m/>
  </r>
  <r>
    <s v="jdruhaney"/>
    <s v="shareasale.com"/>
    <s v="Jasen"/>
    <s v="Druhan"/>
    <s v="Male"/>
    <s v="Male"/>
    <s v="210.139.246.200"/>
    <s v="119.244.220.74"/>
    <n v="539"/>
    <n v="539"/>
    <s v="NASDAQ"/>
    <s v="DWLV"/>
    <s v="PowerShares DWA Momentum &amp; Low Volatility Rotation Portfolio"/>
    <x v="2"/>
    <s v="N/A"/>
    <s v="$4.2M"/>
    <n v="4200000"/>
    <n v="1191.3599999999999"/>
    <n v="-12.01"/>
    <n v="154693676"/>
    <d v="2022-09-25T00:00:00"/>
    <s v="Missing"/>
    <m/>
  </r>
  <r>
    <s v="edimitrijevicez"/>
    <s v="yellowpages.com"/>
    <s v="Erina"/>
    <s v="Dimitrijevic"/>
    <s v="Female"/>
    <s v="Female"/>
    <s v="144.214.31.6"/>
    <s v="59.228.210.148"/>
    <n v="540"/>
    <n v="540"/>
    <s v="NYSE"/>
    <s v="DLB"/>
    <s v="Dolby Laboratories"/>
    <x v="7"/>
    <s v="Multi-Sector Companies"/>
    <s v="$5.04B"/>
    <n v="5040000000"/>
    <n v="1362.97"/>
    <n v="5.84"/>
    <n v="104228257"/>
    <d v="2020-07-29T00:00:00"/>
    <s v="Complete"/>
    <m/>
  </r>
  <r>
    <s v="cpettegref0"/>
    <s v="google.nl"/>
    <s v="Chiarra"/>
    <s v="Pettegre"/>
    <s v="Female"/>
    <s v="Female"/>
    <s v="130.85.27.63"/>
    <s v="128.21.72.89"/>
    <n v="541"/>
    <n v="541"/>
    <s v="NYSE"/>
    <s v="TI"/>
    <s v="Telecom Italia S.P.A."/>
    <x v="6"/>
    <s v="Telecommunications Equipment"/>
    <s v="$19.89B"/>
    <n v="19890000000"/>
    <n v="16.64"/>
    <n v="-16.84"/>
    <n v="149883506"/>
    <d v="2023-07-01T00:00:00"/>
    <s v="Complete"/>
    <m/>
  </r>
  <r>
    <s v="wachromovf1"/>
    <s v="sogou.com"/>
    <s v="Waverley"/>
    <s v="Achromov"/>
    <s v="Male"/>
    <s v="Male"/>
    <s v="104.164.131.188"/>
    <s v="208.111.130.157"/>
    <n v="542"/>
    <n v="542"/>
    <s v="NASDAQ"/>
    <s v="MRTN"/>
    <s v="Marten Transport, Ltd."/>
    <x v="12"/>
    <s v="Trucking Freight/Courier Services"/>
    <s v="$905.46M"/>
    <n v="905460000"/>
    <n v="1206"/>
    <n v="2.12"/>
    <n v="42194593"/>
    <d v="2025-03-07T00:00:00"/>
    <s v="Complete"/>
    <m/>
  </r>
  <r>
    <s v="hsodenf2"/>
    <s v="examiner.com"/>
    <s v="Hilde"/>
    <s v="Soden"/>
    <s v="Female"/>
    <s v="Female"/>
    <s v="148.242.71.219"/>
    <s v="18.106.82.13"/>
    <n v="543"/>
    <n v="543"/>
    <s v="NASDAQ"/>
    <s v="GERN"/>
    <s v="Geron Corporation"/>
    <x v="0"/>
    <s v="Major Pharmaceuticals"/>
    <s v="$420.22M"/>
    <n v="420220000"/>
    <n v="887"/>
    <n v="-4.33"/>
    <n v="44100064"/>
    <d v="2022-01-11T00:00:00"/>
    <s v="Complete"/>
    <m/>
  </r>
  <r>
    <s v="xthrelkeldf3"/>
    <s v="macromedia.com"/>
    <s v="Xenos"/>
    <s v="Threlkeld"/>
    <s v="Male"/>
    <s v="Male"/>
    <s v="106.122.91.1"/>
    <s v="76.160.111.225"/>
    <n v="544"/>
    <n v="544"/>
    <s v="NYSE"/>
    <s v="CEA"/>
    <s v="China Eastern Airlines Corporation Ltd."/>
    <x v="12"/>
    <s v="Air Freight/Delivery Services"/>
    <s v="$8.42B"/>
    <n v="8420000000"/>
    <n v="679.5"/>
    <n v="13.68"/>
    <n v="120079380"/>
    <d v="2020-01-31T00:00:00"/>
    <s v="Complete"/>
    <m/>
  </r>
  <r>
    <s v="cligertwoodf4"/>
    <s v="ocn.ne.jp"/>
    <s v="Connor"/>
    <s v="Ligertwood"/>
    <s v="Male"/>
    <s v="Male"/>
    <s v="49.98.170.148"/>
    <s v="74.184.169.199"/>
    <n v="545"/>
    <n v="545"/>
    <s v="NYSE"/>
    <s v="LCI"/>
    <s v="Lannett Co Inc"/>
    <x v="0"/>
    <s v="Major Pharmaceuticals"/>
    <s v="$688.77M"/>
    <n v="688770000"/>
    <n v="905.38"/>
    <n v="-11.45"/>
    <n v="196653773"/>
    <d v="2025-03-26T00:00:00"/>
    <s v="Complete"/>
    <m/>
  </r>
  <r>
    <s v="rminoguef5"/>
    <s v="chron.com"/>
    <s v="Ronald"/>
    <s v="Minogue"/>
    <s v="Male"/>
    <s v="Male"/>
    <s v="68.24.167.78"/>
    <s v="169.55.18.66"/>
    <n v="546"/>
    <n v="546"/>
    <s v="NYSE"/>
    <s v="BW"/>
    <s v="Babcock"/>
    <x v="1"/>
    <s v="Building Products"/>
    <s v="$558.63M"/>
    <n v="558630000"/>
    <n v="723.88"/>
    <n v="-13.38"/>
    <n v="140303708"/>
    <d v="2021-06-05T00:00:00"/>
    <s v="Complete"/>
    <m/>
  </r>
  <r>
    <s v="aminghellaf6"/>
    <s v="elpais.com"/>
    <s v="Ahmad"/>
    <s v="Minghella"/>
    <s v="Male"/>
    <s v="Male"/>
    <s v="187.68.47.203"/>
    <s v="236.31.128.109"/>
    <n v="547"/>
    <n v="547"/>
    <s v="NYSE"/>
    <s v="BLK"/>
    <s v="BlackRock, Inc."/>
    <x v="3"/>
    <s v="Investment Bankers/Brokers/Service"/>
    <s v="$67.98B"/>
    <n v="67980000000.000008"/>
    <n v="1354.38"/>
    <n v="2.35"/>
    <n v="193133002"/>
    <d v="2020-04-23T00:00:00"/>
    <s v="Complete"/>
    <m/>
  </r>
  <r>
    <s v="mritchleyf7"/>
    <s v="lycos.com"/>
    <s v="Mattie"/>
    <s v="Ritchley"/>
    <s v="Male"/>
    <s v="Male"/>
    <s v="133.181.141.162"/>
    <s v="244.47.75.126"/>
    <n v="548"/>
    <n v="548"/>
    <s v="NASDAQ"/>
    <s v="PID"/>
    <s v="PowerShares International Dividend Achievers Portfolio"/>
    <x v="2"/>
    <s v="N/A"/>
    <s v="$802.72M"/>
    <n v="802720000"/>
    <n v="834.24"/>
    <n v="-5.46"/>
    <n v="61969719"/>
    <d v="2022-01-14T00:00:00"/>
    <s v="Missing"/>
    <m/>
  </r>
  <r>
    <s v="gantonovicf8"/>
    <s v="paypal.com"/>
    <s v="Geordie"/>
    <s v="Antonovic"/>
    <s v="Male"/>
    <s v="Male"/>
    <s v="223.63.173.59"/>
    <s v="109.2.66.245"/>
    <n v="549"/>
    <n v="549"/>
    <s v="NYSE"/>
    <s v="GSK"/>
    <s v="GlaxoSmithKline PLC"/>
    <x v="0"/>
    <s v="Major Pharmaceuticals"/>
    <s v="$107.75B"/>
    <n v="107750000000"/>
    <n v="1609.39"/>
    <n v="12.55"/>
    <n v="192637079"/>
    <d v="2023-04-04T00:00:00"/>
    <s v="Complete"/>
    <m/>
  </r>
  <r>
    <s v="dmarielf9"/>
    <s v="goo.ne.jp"/>
    <s v="Dalston"/>
    <s v="Mariel"/>
    <s v="Male"/>
    <s v="Male"/>
    <s v="143.43.227.66"/>
    <s v="90.57.116.49"/>
    <n v="550"/>
    <n v="550"/>
    <s v="NASDAQ"/>
    <s v="SIEN"/>
    <s v="Sientra, Inc."/>
    <x v="0"/>
    <s v="Industrial Specialties"/>
    <s v="$154.26M"/>
    <n v="154260000"/>
    <n v="760.73"/>
    <n v="18.18"/>
    <n v="164845617"/>
    <d v="2021-02-16T00:00:00"/>
    <s v="Complete"/>
    <m/>
  </r>
  <r>
    <s v="gfuzzensfa"/>
    <s v="springer.com"/>
    <s v="Garold"/>
    <s v="Fuzzens"/>
    <s v="Male"/>
    <s v="Male"/>
    <s v="229.64.196.230"/>
    <s v="243.6.195.184"/>
    <n v="551"/>
    <n v="551"/>
    <s v="NASDAQ"/>
    <s v="CRWS"/>
    <s v="Crown Crafts, Inc."/>
    <x v="10"/>
    <s v="Textiles"/>
    <s v="$71.74M"/>
    <n v="71740000"/>
    <n v="447.15"/>
    <n v="-0.74"/>
    <n v="130196939"/>
    <d v="2026-06-09T00:00:00"/>
    <s v="Complete"/>
    <m/>
  </r>
  <r>
    <s v="zpiertonfb"/>
    <s v="wp.com"/>
    <s v="Zitella"/>
    <s v="Pierton"/>
    <s v="Female"/>
    <s v="Female"/>
    <s v="85.211.159.41"/>
    <s v="144.75.211.149"/>
    <n v="552"/>
    <n v="552"/>
    <s v="NASDAQ"/>
    <s v="NWBI"/>
    <s v="Northwest Bancshares, Inc."/>
    <x v="3"/>
    <s v="Major Banks"/>
    <s v="$1.65B"/>
    <n v="1650000000"/>
    <n v="1169.53"/>
    <n v="18.579999999999998"/>
    <n v="158622035"/>
    <d v="2026-01-30T00:00:00"/>
    <s v="Complete"/>
    <m/>
  </r>
  <r>
    <s v="gmacdearmidfc"/>
    <s v="whitehouse.gov"/>
    <s v="Gualterio"/>
    <s v="MacDearmid"/>
    <s v="Male"/>
    <s v="Male"/>
    <s v="158.183.152.244"/>
    <s v="242.4.61.247"/>
    <n v="553"/>
    <n v="553"/>
    <s v="NASDAQ"/>
    <s v="ZG"/>
    <s v="Zillow Group, Inc."/>
    <x v="7"/>
    <s v="Business Services"/>
    <s v="$8.39B"/>
    <n v="8390000000.000001"/>
    <n v="1547.02"/>
    <n v="-7.92"/>
    <n v="129219315"/>
    <d v="2026-10-15T00:00:00"/>
    <s v="Complete"/>
    <m/>
  </r>
  <r>
    <s v="mterrellfd"/>
    <s v="baidu.com"/>
    <s v="Mitchell"/>
    <s v="Terrell"/>
    <s v="Male"/>
    <s v="Male"/>
    <s v="159.8.119.207"/>
    <s v="234.234.165.209"/>
    <n v="554"/>
    <n v="554"/>
    <s v="NYSE"/>
    <s v="HTGC"/>
    <s v="Hercules Capital, Inc."/>
    <x v="2"/>
    <s v="N/A"/>
    <s v="$1.1B"/>
    <n v="1100000000"/>
    <n v="1989.14"/>
    <n v="-17.78"/>
    <n v="72338803"/>
    <d v="2020-08-30T00:00:00"/>
    <s v="Missing"/>
    <m/>
  </r>
  <r>
    <s v="kgostickfe"/>
    <s v="addthis.com"/>
    <s v="Kilian"/>
    <s v="Gostick"/>
    <s v="Male"/>
    <s v="Male"/>
    <s v="180.129.204.131"/>
    <s v="85.101.162.241"/>
    <n v="555"/>
    <n v="555"/>
    <s v="NYSE"/>
    <s v="BME"/>
    <s v="Blackrock Health Sciences Trust"/>
    <x v="2"/>
    <s v="N/A"/>
    <s v="$305.71M"/>
    <n v="305710000"/>
    <n v="1345.43"/>
    <n v="8.6300000000000008"/>
    <n v="114585751"/>
    <d v="2021-05-07T00:00:00"/>
    <s v="Missing"/>
    <m/>
  </r>
  <r>
    <s v="areevesff"/>
    <s v="dagondesign.com"/>
    <s v="Abbe"/>
    <s v="Reeves"/>
    <s v="Male"/>
    <s v="Male"/>
    <s v="232.154.66.40"/>
    <s v="210.71.107.193"/>
    <n v="556"/>
    <n v="556"/>
    <s v="NYSE"/>
    <s v="IHC"/>
    <s v="Independence Holding Company"/>
    <x v="3"/>
    <s v="Life Insurance"/>
    <s v="$330.01M"/>
    <n v="330010000"/>
    <n v="1312.56"/>
    <n v="-7.62"/>
    <n v="50048221"/>
    <d v="2025-07-17T00:00:00"/>
    <s v="Complete"/>
    <m/>
  </r>
  <r>
    <s v="rthrelfallfg"/>
    <s v="sitemeter.com"/>
    <s v="Rikki"/>
    <s v="Threlfall"/>
    <s v="Female"/>
    <s v="Female"/>
    <s v="74.13.117.121"/>
    <s v="42.6.154.254"/>
    <n v="557"/>
    <n v="557"/>
    <s v="NYSE"/>
    <s v="TXT"/>
    <s v="Textron Inc."/>
    <x v="1"/>
    <s v="Aerospace"/>
    <s v="$12.7B"/>
    <n v="12700000000"/>
    <n v="528.54999999999995"/>
    <n v="16.47"/>
    <n v="88264532"/>
    <d v="2024-12-08T00:00:00"/>
    <s v="Complete"/>
    <m/>
  </r>
  <r>
    <s v="dfennafh"/>
    <s v="t-online.de"/>
    <s v="Delano"/>
    <s v="Fenna"/>
    <s v="Male"/>
    <s v="Male"/>
    <s v="215.190.217.122"/>
    <s v="33.159.211.12"/>
    <n v="558"/>
    <n v="558"/>
    <s v="NYSE"/>
    <s v="PAG"/>
    <s v="Penske Automotive Group, Inc."/>
    <x v="11"/>
    <s v="Automotive Aftermarket"/>
    <s v="$3.56B"/>
    <n v="3560000000"/>
    <n v="1973.49"/>
    <n v="-2.72"/>
    <n v="51422290"/>
    <d v="2026-01-19T00:00:00"/>
    <s v="Complete"/>
    <m/>
  </r>
  <r>
    <s v="jskippingsfi"/>
    <s v="intel.com"/>
    <s v="Joy"/>
    <s v="Skippings"/>
    <s v="Female"/>
    <s v="Female"/>
    <s v="108.168.252.180"/>
    <s v="243.50.212.116"/>
    <n v="559"/>
    <n v="559"/>
    <s v="NYSE"/>
    <s v="PG"/>
    <s v="Procter &amp; Gamble Company (The)"/>
    <x v="10"/>
    <s v="Package Goods/Cosmetics"/>
    <s v="$229.32B"/>
    <n v="229320000000"/>
    <n v="1160.17"/>
    <n v="-1.5"/>
    <n v="89076818"/>
    <d v="2023-07-01T00:00:00"/>
    <s v="Complete"/>
    <m/>
  </r>
  <r>
    <s v="ecoldhamfj"/>
    <s v="homestead.com"/>
    <s v="Eugene"/>
    <s v="Coldham"/>
    <s v="Male"/>
    <s v="Male"/>
    <s v="230.177.159.173"/>
    <s v="45.117.207.144"/>
    <n v="560"/>
    <n v="560"/>
    <s v="NASDAQ"/>
    <s v="PMBC"/>
    <s v="Pacific Mercantile Bancorp"/>
    <x v="3"/>
    <s v="Major Banks"/>
    <s v="$198.16M"/>
    <n v="198160000"/>
    <n v="25.25"/>
    <n v="-9.08"/>
    <n v="11761725"/>
    <d v="2024-02-28T00:00:00"/>
    <s v="Complete"/>
    <m/>
  </r>
  <r>
    <s v="horganerfk"/>
    <s v="mapy.cz"/>
    <s v="Hamel"/>
    <s v="Organer"/>
    <s v="Male"/>
    <s v="Male"/>
    <s v="240.108.90.216"/>
    <s v="114.80.237.1"/>
    <n v="561"/>
    <n v="561"/>
    <s v="NASDAQ"/>
    <s v="RGSE"/>
    <s v="Real Goods Solar, Inc."/>
    <x v="10"/>
    <s v="Engineering &amp; Construction"/>
    <s v="$6.14M"/>
    <n v="6140000"/>
    <n v="1050.6199999999999"/>
    <n v="3.9"/>
    <n v="48993888"/>
    <d v="2025-09-26T00:00:00"/>
    <s v="Complete"/>
    <m/>
  </r>
  <r>
    <s v="idelosfl"/>
    <s v="google.fr"/>
    <s v="Iain"/>
    <s v="Delos"/>
    <s v="Male"/>
    <s v="Male"/>
    <s v="141.71.118.209"/>
    <s v="143.101.23.150"/>
    <n v="562"/>
    <n v="562"/>
    <s v="NASDAQ"/>
    <s v="AVHI"/>
    <s v="A V Homes, Inc."/>
    <x v="1"/>
    <s v="Homebuilding"/>
    <s v="$410.69M"/>
    <n v="410690000"/>
    <n v="323.24"/>
    <n v="-10.97"/>
    <n v="100359266"/>
    <d v="2022-06-29T00:00:00"/>
    <s v="Complete"/>
    <m/>
  </r>
  <r>
    <s v="ghughesdonfm"/>
    <s v="sphinn.com"/>
    <s v="Gunther"/>
    <s v="Hughesdon"/>
    <s v="Male"/>
    <s v="Male"/>
    <s v="98.11.248.73"/>
    <s v="202.235.197.176"/>
    <n v="563"/>
    <n v="563"/>
    <s v="NYSE"/>
    <s v="HT^D"/>
    <s v="Hersha Hospitality Trust"/>
    <x v="2"/>
    <s v="N/A"/>
    <s v="N/A"/>
    <n v="0"/>
    <n v="1702.18"/>
    <n v="14.95"/>
    <n v="161461346"/>
    <d v="2021-12-11T00:00:00"/>
    <s v="Missing"/>
    <m/>
  </r>
  <r>
    <s v="sjarrelfn"/>
    <s v="t-online.de"/>
    <s v="Sam"/>
    <s v="Jarrel"/>
    <s v="Male"/>
    <s v="Male"/>
    <s v="104.7.221.209"/>
    <s v="165.171.218.183"/>
    <n v="564"/>
    <n v="564"/>
    <s v="NASDAQ"/>
    <s v="LLIT"/>
    <s v="Lianluo Smart Limited"/>
    <x v="0"/>
    <s v="Medical/Dental Instruments"/>
    <s v="$20.95M"/>
    <n v="20950000"/>
    <n v="1728.24"/>
    <n v="-1.2"/>
    <n v="65243963"/>
    <d v="2022-01-26T00:00:00"/>
    <s v="Complete"/>
    <m/>
  </r>
  <r>
    <s v="svassarfo"/>
    <s v="hp.com"/>
    <s v="Sula"/>
    <s v="Vassar"/>
    <s v="Female"/>
    <s v="Female"/>
    <s v="138.17.35.253"/>
    <s v="171.6.69.103"/>
    <n v="565"/>
    <n v="565"/>
    <s v="NYSE"/>
    <s v="NXP"/>
    <s v="Nuveen Select Tax Free Income Portfolio"/>
    <x v="2"/>
    <s v="N/A"/>
    <s v="$239.77M"/>
    <n v="239770000"/>
    <n v="702.63"/>
    <n v="8.81"/>
    <n v="158709358"/>
    <d v="2022-08-27T00:00:00"/>
    <s v="Missing"/>
    <m/>
  </r>
  <r>
    <s v="kleaderfp"/>
    <s v="wikipedia.org"/>
    <s v="Klara"/>
    <s v="Leader"/>
    <s v="Female"/>
    <s v="Female"/>
    <s v="188.136.148.37"/>
    <s v="59.133.164.140"/>
    <n v="566"/>
    <n v="566"/>
    <s v="NASDAQ"/>
    <s v="WAFDW"/>
    <s v="Washington Federal, Inc."/>
    <x v="3"/>
    <s v="Major Banks"/>
    <s v="N/A"/>
    <n v="0"/>
    <n v="863.27"/>
    <n v="-5.13"/>
    <n v="169643457"/>
    <d v="2020-08-10T00:00:00"/>
    <s v="Missing"/>
    <m/>
  </r>
  <r>
    <s v="nblanpeinfq"/>
    <s v="latimes.com"/>
    <s v="Niall"/>
    <s v="Blanpein"/>
    <s v="Genderfluid"/>
    <s v="Other"/>
    <s v="206.118.185.188"/>
    <s v="231.194.209.56"/>
    <n v="567"/>
    <n v="567"/>
    <s v="NASDAQ"/>
    <s v="ENTA"/>
    <s v="Enanta Pharmaceuticals, Inc."/>
    <x v="0"/>
    <s v="Major Pharmaceuticals"/>
    <s v="$647.69M"/>
    <n v="647690000"/>
    <n v="1741.66"/>
    <n v="5.12"/>
    <n v="189706155"/>
    <d v="2024-06-05T00:00:00"/>
    <s v="Complete"/>
    <m/>
  </r>
  <r>
    <s v="kedgertonfr"/>
    <s v="instagram.com"/>
    <s v="Kirbie"/>
    <s v="Edgerton"/>
    <s v="Female"/>
    <s v="Female"/>
    <s v="229.137.174.29"/>
    <s v="28.174.127.154"/>
    <n v="568"/>
    <n v="568"/>
    <s v="NASDAQ"/>
    <s v="CEMI"/>
    <s v="Chembio Diagnostics, Inc."/>
    <x v="0"/>
    <s v="Major Pharmaceuticals"/>
    <s v="$73.79M"/>
    <n v="73790000"/>
    <n v="389.84"/>
    <n v="-1.44"/>
    <n v="63638363"/>
    <d v="2025-01-22T00:00:00"/>
    <s v="Complete"/>
    <m/>
  </r>
  <r>
    <s v="gstanningfs"/>
    <s v="examiner.com"/>
    <s v="Gusty"/>
    <s v="Stanning"/>
    <s v="Female"/>
    <s v="Female"/>
    <s v="22.81.194.147"/>
    <s v="66.122.71.71"/>
    <n v="569"/>
    <n v="569"/>
    <s v="NASDAQ"/>
    <s v="VIRT"/>
    <s v="Virtu Financial, Inc."/>
    <x v="3"/>
    <s v="Investment Bankers/Brokers/Service"/>
    <s v="$2.38B"/>
    <n v="2380000000"/>
    <n v="104.95"/>
    <n v="15.81"/>
    <n v="67582167"/>
    <d v="2020-12-09T00:00:00"/>
    <s v="Complete"/>
    <m/>
  </r>
  <r>
    <s v="amacneiceft"/>
    <s v="miitbeian.gov.cn"/>
    <s v="Arnuad"/>
    <s v="MacNeice"/>
    <s v="Male"/>
    <s v="Male"/>
    <s v="120.19.30.179"/>
    <s v="223.232.138.188"/>
    <n v="570"/>
    <n v="570"/>
    <s v="NASDAQ"/>
    <s v="MBUU"/>
    <s v="Malibu Boats, Inc."/>
    <x v="1"/>
    <s v="Marine Transportation"/>
    <s v="$444.68M"/>
    <n v="444680000"/>
    <n v="1004.84"/>
    <n v="0.22"/>
    <n v="129089197"/>
    <d v="2021-10-31T00:00:00"/>
    <s v="Complete"/>
    <m/>
  </r>
  <r>
    <s v="opalfreefu"/>
    <s v="altervista.org"/>
    <s v="Olag"/>
    <s v="Palfree"/>
    <s v="Agender"/>
    <s v="Other"/>
    <s v="11.16.182.229"/>
    <s v="108.147.179.208"/>
    <n v="571"/>
    <n v="571"/>
    <s v="NASDAQ"/>
    <s v="ATRA"/>
    <s v="Atara Biotherapeutics, Inc."/>
    <x v="0"/>
    <s v="Biotechnology: Biological Products (No Diagnostic Substances)"/>
    <s v="$371.14M"/>
    <n v="371140000"/>
    <n v="1254.6400000000001"/>
    <n v="-17.579999999999998"/>
    <n v="138214657"/>
    <d v="2025-02-24T00:00:00"/>
    <s v="Complete"/>
    <m/>
  </r>
  <r>
    <s v="lovanesianfv"/>
    <s v="mapquest.com"/>
    <s v="Levey"/>
    <s v="Ovanesian"/>
    <s v="Male"/>
    <s v="Male"/>
    <s v="35.46.119.21"/>
    <s v="131.249.157.2"/>
    <n v="572"/>
    <n v="572"/>
    <s v="NYSE"/>
    <s v="MDP"/>
    <s v="Meredith Corporation"/>
    <x v="6"/>
    <s v="Newspapers/Magazines"/>
    <s v="$2.65B"/>
    <n v="2650000000"/>
    <n v="1861.86"/>
    <n v="4.34"/>
    <n v="48148697"/>
    <d v="2025-04-05T00:00:00"/>
    <s v="Complete"/>
    <m/>
  </r>
  <r>
    <s v="gogilbyfw"/>
    <s v="t.co"/>
    <s v="Gare"/>
    <s v="Ogilby"/>
    <s v="Male"/>
    <s v="Male"/>
    <s v="102.215.32.20"/>
    <s v="216.152.233.218"/>
    <n v="573"/>
    <n v="573"/>
    <s v="NYSE"/>
    <s v="ATO"/>
    <s v="Atmos Energy Corporation"/>
    <x v="8"/>
    <s v="Oil/Gas Transmission"/>
    <s v="$9.01B"/>
    <n v="9010000000"/>
    <n v="353.75"/>
    <n v="3.45"/>
    <n v="53535227"/>
    <d v="2020-11-14T00:00:00"/>
    <s v="Complete"/>
    <m/>
  </r>
  <r>
    <s v="obarfffx"/>
    <s v="admin.ch"/>
    <s v="Orran"/>
    <s v="Barff"/>
    <s v="Male"/>
    <s v="Male"/>
    <s v="167.190.190.86"/>
    <s v="97.17.224.6"/>
    <n v="574"/>
    <n v="574"/>
    <s v="NYSE"/>
    <s v="MSGN"/>
    <s v="MSG Networks Inc."/>
    <x v="6"/>
    <s v="Television Services"/>
    <s v="$1.66B"/>
    <n v="1660000000"/>
    <n v="1254.79"/>
    <n v="19.48"/>
    <n v="182982761"/>
    <d v="2022-04-21T00:00:00"/>
    <s v="Complete"/>
    <m/>
  </r>
  <r>
    <s v="rconnahfy"/>
    <s v="printfriendly.com"/>
    <s v="Rich"/>
    <s v="Connah"/>
    <s v="Male"/>
    <s v="Male"/>
    <s v="192.183.168.39"/>
    <s v="87.154.189.192"/>
    <n v="575"/>
    <n v="575"/>
    <s v="NYSE"/>
    <s v="WSM"/>
    <s v="Williams-Sonoma, Inc."/>
    <x v="6"/>
    <s v="Home Furnishings"/>
    <s v="$4.16B"/>
    <n v="4160000000"/>
    <n v="1584.78"/>
    <n v="3.27"/>
    <n v="558076"/>
    <d v="2021-10-31T00:00:00"/>
    <s v="Complete"/>
    <m/>
  </r>
  <r>
    <s v="pmarranfz"/>
    <s v="yahoo.com"/>
    <s v="Priscilla"/>
    <s v="Marran"/>
    <s v="Female"/>
    <s v="Female"/>
    <s v="120.119.169.44"/>
    <s v="206.21.16.49"/>
    <n v="576"/>
    <n v="576"/>
    <s v="NYSE"/>
    <s v="TPH"/>
    <s v="TRI Pointe Group, Inc."/>
    <x v="1"/>
    <s v="Homebuilding"/>
    <s v="$1.98B"/>
    <n v="1980000000"/>
    <n v="1685.83"/>
    <n v="-4.49"/>
    <n v="103078820"/>
    <d v="2020-03-27T00:00:00"/>
    <s v="Complete"/>
    <m/>
  </r>
  <r>
    <s v="afroweng0"/>
    <s v="facebook.com"/>
    <s v="Aymer"/>
    <s v="Frowen"/>
    <s v="Male"/>
    <s v="Male"/>
    <s v="102.220.104.245"/>
    <s v="85.22.90.228"/>
    <n v="577"/>
    <n v="577"/>
    <s v="NASDAQ"/>
    <s v="STBA"/>
    <s v="S&amp;T Bancorp, Inc."/>
    <x v="3"/>
    <s v="Major Banks"/>
    <s v="$1.24B"/>
    <n v="1240000000"/>
    <n v="1322.86"/>
    <n v="7.84"/>
    <n v="48082471"/>
    <d v="2026-05-09T00:00:00"/>
    <s v="Complete"/>
    <m/>
  </r>
  <r>
    <s v="hniesingg1"/>
    <s v="state.gov"/>
    <s v="Harold"/>
    <s v="Niesing"/>
    <s v="Male"/>
    <s v="Male"/>
    <s v="82.29.222.7"/>
    <s v="229.182.195.124"/>
    <n v="578"/>
    <n v="578"/>
    <s v="NYSE"/>
    <s v="FHY"/>
    <s v="First Trust Strategic High Income Fund II"/>
    <x v="2"/>
    <s v="N/A"/>
    <s v="$112.34M"/>
    <n v="112340000"/>
    <n v="1910.6"/>
    <n v="-4.0999999999999996"/>
    <n v="134562388"/>
    <d v="2021-10-27T00:00:00"/>
    <s v="Missing"/>
    <m/>
  </r>
  <r>
    <s v="btinseyg2"/>
    <s v="wsj.com"/>
    <s v="Bondie"/>
    <s v="Tinsey"/>
    <s v="Male"/>
    <s v="Male"/>
    <s v="186.112.40.9"/>
    <s v="139.202.71.231"/>
    <n v="579"/>
    <n v="579"/>
    <s v="NYSE"/>
    <s v="PNC.WS"/>
    <s v="PNC Financial Services Group, Inc. (The)"/>
    <x v="2"/>
    <s v="N/A"/>
    <s v="N/A"/>
    <n v="0"/>
    <n v="998.42"/>
    <n v="17.91"/>
    <n v="131667895"/>
    <d v="2025-05-25T00:00:00"/>
    <s v="Missing"/>
    <m/>
  </r>
  <r>
    <s v="mmuslimg3"/>
    <s v="imgur.com"/>
    <s v="Manon"/>
    <s v="Muslim"/>
    <s v="Female"/>
    <s v="Female"/>
    <s v="219.14.31.128"/>
    <s v="79.246.38.31"/>
    <n v="580"/>
    <n v="580"/>
    <s v="NASDAQ"/>
    <s v="SRET"/>
    <s v="Global X SuperDividend REIT ETF"/>
    <x v="2"/>
    <s v="N/A"/>
    <s v="$3.09M"/>
    <n v="3090000"/>
    <n v="1246.21"/>
    <n v="15.8"/>
    <n v="16246588"/>
    <d v="2021-02-23T00:00:00"/>
    <s v="Missing"/>
    <m/>
  </r>
  <r>
    <s v="gwebbeng4"/>
    <s v="xinhuanet.com"/>
    <s v="Gordy"/>
    <s v="Webben"/>
    <s v="Male"/>
    <s v="Male"/>
    <s v="251.68.161.80"/>
    <s v="207.67.92.82"/>
    <n v="581"/>
    <n v="581"/>
    <s v="NYSE"/>
    <s v="RFTA"/>
    <s v="RAIT Financial Trust"/>
    <x v="6"/>
    <s v="Real Estate Investment Trusts"/>
    <s v="N/A"/>
    <n v="0"/>
    <n v="1611.2"/>
    <n v="-14.96"/>
    <n v="98523570"/>
    <d v="2026-07-30T00:00:00"/>
    <s v="Missing"/>
    <m/>
  </r>
  <r>
    <s v="oheishamg5"/>
    <s v="plala.or.jp"/>
    <s v="Olenolin"/>
    <s v="Heisham"/>
    <s v="Male"/>
    <s v="Male"/>
    <s v="45.184.165.90"/>
    <s v="219.63.60.37"/>
    <n v="582"/>
    <n v="582"/>
    <s v="NASDAQ"/>
    <s v="TAST"/>
    <s v="Carrols Restaurant Group, Inc."/>
    <x v="6"/>
    <s v="Restaurants"/>
    <s v="$450.72M"/>
    <n v="450720000"/>
    <n v="410.15"/>
    <n v="16.850000000000001"/>
    <n v="6905288"/>
    <d v="2021-05-11T00:00:00"/>
    <s v="Complete"/>
    <m/>
  </r>
  <r>
    <s v="rbananeg6"/>
    <s v="si.edu"/>
    <s v="Roma"/>
    <s v="Banane"/>
    <s v="Male"/>
    <s v="Male"/>
    <s v="221.220.198.208"/>
    <s v="163.222.144.228"/>
    <n v="583"/>
    <n v="583"/>
    <s v="NYSE"/>
    <s v="RSO^A"/>
    <s v="Resource Capital Corp."/>
    <x v="2"/>
    <s v="N/A"/>
    <s v="N/A"/>
    <n v="0"/>
    <n v="1990.85"/>
    <n v="-16.88"/>
    <n v="99591625"/>
    <d v="2026-11-10T00:00:00"/>
    <s v="Missing"/>
    <m/>
  </r>
  <r>
    <s v="tprobyg7"/>
    <s v="ucla.edu"/>
    <s v="Tally"/>
    <s v="Proby"/>
    <s v="Agender"/>
    <s v="Other"/>
    <s v="246.50.104.217"/>
    <s v="112.208.77.112"/>
    <n v="584"/>
    <n v="584"/>
    <s v="NYSE"/>
    <s v="CDI"/>
    <s v="CDI Corporation"/>
    <x v="4"/>
    <s v="Professional Services"/>
    <s v="$108.41M"/>
    <n v="108410000"/>
    <n v="746.34"/>
    <n v="6.04"/>
    <n v="32030403"/>
    <d v="2022-05-31T00:00:00"/>
    <s v="Complete"/>
    <m/>
  </r>
  <r>
    <s v="akarusg8"/>
    <s v="tripod.com"/>
    <s v="Alane"/>
    <s v="Karus"/>
    <s v="Female"/>
    <s v="Female"/>
    <s v="159.51.44.117"/>
    <s v="72.223.92.69"/>
    <n v="585"/>
    <n v="585"/>
    <s v="NYSE"/>
    <s v="TWTR"/>
    <s v="Twitter, Inc."/>
    <x v="4"/>
    <s v="Computer Software: Programming, Data Processing"/>
    <s v="$12.18B"/>
    <n v="12180000000"/>
    <n v="278.04000000000002"/>
    <n v="10.47"/>
    <n v="168759131"/>
    <d v="2023-02-28T00:00:00"/>
    <s v="Complete"/>
    <m/>
  </r>
  <r>
    <s v="lwilcocksg9"/>
    <s v="google.ca"/>
    <s v="Lynnea"/>
    <s v="Wilcocks"/>
    <s v="Female"/>
    <s v="Female"/>
    <s v="109.217.52.17"/>
    <s v="10.12.59.130"/>
    <n v="586"/>
    <n v="586"/>
    <s v="NYSE"/>
    <s v="CSTM"/>
    <s v="Constellium N.V."/>
    <x v="10"/>
    <s v="Metal Fabrications"/>
    <s v="$702.12M"/>
    <n v="702120000"/>
    <n v="710"/>
    <n v="13.91"/>
    <n v="72275514"/>
    <d v="2021-11-10T00:00:00"/>
    <s v="Complete"/>
    <m/>
  </r>
  <r>
    <s v="jdillistonga"/>
    <s v="goo.ne.jp"/>
    <s v="Jorey"/>
    <s v="Dilliston"/>
    <s v="Female"/>
    <s v="Female"/>
    <s v="51.49.103.227"/>
    <s v="247.205.253.113"/>
    <n v="587"/>
    <n v="587"/>
    <s v="NASDAQ"/>
    <s v="VEAC"/>
    <s v="Vantage Energy Acquisition Corp."/>
    <x v="3"/>
    <s v="Business Services"/>
    <s v="$674.13M"/>
    <n v="674130000"/>
    <n v="612.66"/>
    <n v="-18.57"/>
    <n v="131530249"/>
    <d v="2021-11-02T00:00:00"/>
    <s v="Complete"/>
    <m/>
  </r>
  <r>
    <s v="cistedgb"/>
    <s v="webnode.com"/>
    <s v="Conrado"/>
    <s v="Isted"/>
    <s v="Polygender"/>
    <s v="Other"/>
    <s v="240.192.87.172"/>
    <s v="72.149.14.135"/>
    <n v="588"/>
    <n v="588"/>
    <s v="NASDAQ"/>
    <s v="TBK"/>
    <s v="Triumph Bancorp, Inc."/>
    <x v="3"/>
    <s v="Major Banks"/>
    <s v="$428.18M"/>
    <n v="428180000"/>
    <n v="286.58"/>
    <n v="-3.18"/>
    <n v="83645491"/>
    <d v="2020-02-05T00:00:00"/>
    <s v="Complete"/>
    <m/>
  </r>
  <r>
    <s v="ghugillgc"/>
    <s v="telegraph.co.uk"/>
    <s v="Goddart"/>
    <s v="Hugill"/>
    <s v="Agender"/>
    <s v="Other"/>
    <s v="239.141.194.97"/>
    <s v="113.217.145.6"/>
    <n v="589"/>
    <n v="589"/>
    <s v="NASDAQ"/>
    <s v="NXEOU"/>
    <s v="Nexeo Solutions, Inc."/>
    <x v="11"/>
    <s v="Specialty Chemicals"/>
    <s v="N/A"/>
    <n v="0"/>
    <n v="102.7"/>
    <n v="17.2"/>
    <n v="95031781"/>
    <d v="2022-08-14T00:00:00"/>
    <s v="Missing"/>
    <m/>
  </r>
  <r>
    <s v="twyeldgd"/>
    <s v="squarespace.com"/>
    <s v="Thelma"/>
    <s v="Wyeld"/>
    <s v="Female"/>
    <s v="Female"/>
    <s v="179.197.87.232"/>
    <s v="63.220.103.115"/>
    <n v="590"/>
    <n v="590"/>
    <s v="NASDAQ"/>
    <s v="PLAY"/>
    <s v="Dave &amp; Buster's Entertainment, Inc."/>
    <x v="6"/>
    <s v="Restaurants"/>
    <s v="$2.84B"/>
    <n v="2840000000"/>
    <n v="895.36"/>
    <n v="-3.06"/>
    <n v="94522891"/>
    <d v="2021-02-28T00:00:00"/>
    <s v="Complete"/>
    <m/>
  </r>
  <r>
    <s v="ldeeksge"/>
    <s v="odnoklassniki.ru"/>
    <s v="Lacey"/>
    <s v="Deeks"/>
    <s v="Female"/>
    <s v="Female"/>
    <s v="205.30.226.135"/>
    <s v="222.209.177.17"/>
    <n v="591"/>
    <n v="591"/>
    <s v="NYSE"/>
    <s v="MHF"/>
    <s v="Western Asset Municipal High Income Fund, Inc."/>
    <x v="2"/>
    <s v="N/A"/>
    <s v="$160.52M"/>
    <n v="160520000"/>
    <n v="267.91000000000003"/>
    <n v="-19.55"/>
    <n v="153778216"/>
    <d v="2020-06-22T00:00:00"/>
    <s v="Missing"/>
    <m/>
  </r>
  <r>
    <s v="cduetschegf"/>
    <s v="gravatar.com"/>
    <s v="Charlotte"/>
    <s v="Duetsche"/>
    <s v="Female"/>
    <s v="Female"/>
    <s v="116.86.237.185"/>
    <s v="8.188.153.182"/>
    <n v="592"/>
    <n v="592"/>
    <s v="NYSE"/>
    <s v="IBP"/>
    <s v="Installed Building Products, Inc."/>
    <x v="10"/>
    <s v="Homebuilding"/>
    <s v="$1.7B"/>
    <n v="1700000000"/>
    <n v="1055.1500000000001"/>
    <n v="-15.26"/>
    <n v="161715719"/>
    <d v="2021-09-30T00:00:00"/>
    <s v="Complete"/>
    <m/>
  </r>
  <r>
    <s v="jdunstallgg"/>
    <s v="unesco.org"/>
    <s v="Jenn"/>
    <s v="Dunstall"/>
    <s v="Female"/>
    <s v="Female"/>
    <s v="177.135.2.233"/>
    <s v="88.4.180.16"/>
    <n v="593"/>
    <n v="593"/>
    <s v="NYSE"/>
    <s v="XRF"/>
    <s v="China Rapid Finance Limited"/>
    <x v="3"/>
    <s v="Finance: Consumer Services"/>
    <s v="$441.95M"/>
    <n v="441950000"/>
    <n v="155.66"/>
    <n v="6.68"/>
    <n v="168083367"/>
    <d v="2026-12-28T00:00:00"/>
    <s v="Complete"/>
    <m/>
  </r>
  <r>
    <s v="dswalwellgh"/>
    <s v="pagesperso-orange.fr"/>
    <s v="Delmer"/>
    <s v="Swalwell"/>
    <s v="Male"/>
    <s v="Male"/>
    <s v="15.85.224.89"/>
    <s v="37.253.49.236"/>
    <n v="594"/>
    <n v="594"/>
    <s v="NASDAQ"/>
    <s v="SNHY"/>
    <s v="Sun Hydraulics Corporation"/>
    <x v="1"/>
    <s v="Metal Fabrications"/>
    <s v="$1.17B"/>
    <n v="1170000000"/>
    <n v="164.52"/>
    <n v="-6.02"/>
    <n v="94392242"/>
    <d v="2022-01-28T00:00:00"/>
    <s v="Complete"/>
    <m/>
  </r>
  <r>
    <s v="jpleasantsgi"/>
    <s v="de.vu"/>
    <s v="Jobey"/>
    <s v="Pleasants"/>
    <s v="Female"/>
    <s v="Female"/>
    <s v="243.143.106.24"/>
    <s v="87.109.247.182"/>
    <n v="595"/>
    <n v="595"/>
    <s v="NYSE"/>
    <s v="DO"/>
    <s v="Diamond Offshore Drilling, Inc."/>
    <x v="9"/>
    <s v="Oil &amp; Gas Production"/>
    <s v="$1.61B"/>
    <n v="1610000000"/>
    <n v="1235.3800000000001"/>
    <n v="17.63"/>
    <n v="48282641"/>
    <d v="2024-01-22T00:00:00"/>
    <s v="Complete"/>
    <m/>
  </r>
  <r>
    <s v="tniessgj"/>
    <s v="123-reg.co.uk"/>
    <s v="Tomlin"/>
    <s v="Niess"/>
    <s v="Male"/>
    <s v="Male"/>
    <s v="35.216.1.201"/>
    <s v="168.245.25.84"/>
    <n v="596"/>
    <n v="596"/>
    <s v="NASDAQ"/>
    <s v="SCAC"/>
    <s v="Saban Capital Acquisition Corp."/>
    <x v="3"/>
    <s v="Business Services"/>
    <s v="$315.63M"/>
    <n v="315630000"/>
    <n v="781.74"/>
    <n v="3.75"/>
    <n v="58637209"/>
    <d v="2020-06-12T00:00:00"/>
    <s v="Complete"/>
    <m/>
  </r>
  <r>
    <s v="foscroftgk"/>
    <s v="tuttocitta.it"/>
    <s v="Ferdinand"/>
    <s v="Oscroft"/>
    <s v="Male"/>
    <s v="Male"/>
    <s v="252.32.159.113"/>
    <s v="134.110.154.227"/>
    <n v="597"/>
    <n v="597"/>
    <s v="NYSE"/>
    <s v="IGI"/>
    <s v="Western Asset Investment Grade Defined Opportunity Trust Inc."/>
    <x v="2"/>
    <s v="N/A"/>
    <s v="$225.71M"/>
    <n v="225710000"/>
    <n v="334.28"/>
    <n v="-16.64"/>
    <n v="53799256"/>
    <d v="2026-09-29T00:00:00"/>
    <s v="Missing"/>
    <m/>
  </r>
  <r>
    <s v="dtolchardegl"/>
    <s v="cbc.ca"/>
    <s v="Dehlia"/>
    <s v="Tolcharde"/>
    <s v="Genderqueer"/>
    <s v="Other"/>
    <s v="86.242.213.55"/>
    <s v="177.72.180.101"/>
    <n v="598"/>
    <n v="598"/>
    <s v="NASDAQ"/>
    <s v="FCEF"/>
    <s v="First Trust CEF Income Opportunity ETF"/>
    <x v="2"/>
    <s v="N/A"/>
    <s v="$28.08M"/>
    <n v="28080000"/>
    <n v="655.37"/>
    <n v="-19.8"/>
    <n v="70448989"/>
    <d v="2024-10-04T00:00:00"/>
    <s v="Missing"/>
    <m/>
  </r>
  <r>
    <s v="sdyergm"/>
    <s v="jalbum.net"/>
    <s v="Sven"/>
    <s v="Dyer"/>
    <s v="Bigender"/>
    <s v="Other"/>
    <s v="159.84.174.172"/>
    <s v="224.194.231.140"/>
    <n v="599"/>
    <n v="599"/>
    <s v="NYSE"/>
    <s v="NUM"/>
    <s v="Nuveen Michigan Quality Municipal Income Fund"/>
    <x v="2"/>
    <s v="N/A"/>
    <s v="$286.36M"/>
    <n v="286360000"/>
    <n v="995.97"/>
    <n v="-15.22"/>
    <n v="185072896"/>
    <d v="2025-10-09T00:00:00"/>
    <s v="Missing"/>
    <m/>
  </r>
  <r>
    <s v="jschohiergn"/>
    <s v="cnet.com"/>
    <s v="Jesse"/>
    <s v="Schohier"/>
    <s v="Agender"/>
    <s v="Other"/>
    <s v="213.241.160.168"/>
    <s v="200.36.22.174"/>
    <n v="600"/>
    <n v="600"/>
    <s v="NASDAQ"/>
    <s v="KE"/>
    <s v="Kimball Electronics, Inc."/>
    <x v="4"/>
    <s v="Electrical Products"/>
    <s v="$496.43M"/>
    <n v="496430000"/>
    <n v="1149.83"/>
    <n v="15.35"/>
    <n v="125316724"/>
    <d v="2022-03-19T00:00:00"/>
    <s v="Complete"/>
    <m/>
  </r>
  <r>
    <s v="rgemelligo"/>
    <s v="liveinternet.ru"/>
    <s v="Rhys"/>
    <s v="Gemelli"/>
    <s v="Male"/>
    <s v="Male"/>
    <s v="109.132.123.18"/>
    <s v="189.64.170.253"/>
    <n v="601"/>
    <n v="601"/>
    <s v="NYSE"/>
    <s v="BGT"/>
    <s v="Blackrock Global"/>
    <x v="2"/>
    <s v="N/A"/>
    <s v="$334.83M"/>
    <n v="334830000"/>
    <n v="1002.62"/>
    <n v="-5.14"/>
    <n v="92462943"/>
    <d v="2020-05-20T00:00:00"/>
    <s v="Missing"/>
    <m/>
  </r>
  <r>
    <s v="gbunneygp"/>
    <s v="wp.com"/>
    <s v="Giuditta"/>
    <s v="Bunney"/>
    <s v="Non-binary"/>
    <s v="Other"/>
    <s v="233.13.193.250"/>
    <s v="34.113.142.216"/>
    <n v="602"/>
    <n v="602"/>
    <s v="NASDAQ"/>
    <s v="FDT"/>
    <s v="First Trust Developed Markets Ex-US AlphaDEX Fund"/>
    <x v="2"/>
    <s v="N/A"/>
    <s v="$458.32M"/>
    <n v="458320000"/>
    <n v="891.62"/>
    <n v="0.04"/>
    <n v="173031615"/>
    <d v="2024-03-08T00:00:00"/>
    <s v="Missing"/>
    <m/>
  </r>
  <r>
    <s v="jbeiderbeckegq"/>
    <s v="shareasale.com"/>
    <s v="Joletta"/>
    <s v="Beiderbecke"/>
    <s v="Female"/>
    <s v="Female"/>
    <s v="17.31.81.61"/>
    <s v="131.199.13.117"/>
    <n v="603"/>
    <n v="603"/>
    <s v="NYSE"/>
    <s v="GES"/>
    <s v="Guess?, Inc."/>
    <x v="5"/>
    <s v="Apparel"/>
    <s v="$974.73M"/>
    <n v="974730000"/>
    <n v="1862.12"/>
    <n v="-7.81"/>
    <n v="173088034"/>
    <d v="2022-07-23T00:00:00"/>
    <s v="Complete"/>
    <m/>
  </r>
  <r>
    <s v="dmcghiegr"/>
    <s v="ucsd.edu"/>
    <s v="Danella"/>
    <s v="McGhie"/>
    <s v="Female"/>
    <s v="Female"/>
    <s v="95.54.127.159"/>
    <s v="205.80.240.114"/>
    <n v="604"/>
    <n v="604"/>
    <s v="NYSE"/>
    <s v="CODI"/>
    <s v="Compass Diversified Holdings"/>
    <x v="11"/>
    <s v="Home Furnishings"/>
    <s v="$1.02B"/>
    <n v="1020000000"/>
    <n v="700.48"/>
    <n v="-3.62"/>
    <n v="90693718"/>
    <d v="2025-12-09T00:00:00"/>
    <s v="Complete"/>
    <m/>
  </r>
  <r>
    <s v="mguildgs"/>
    <s v="hatena.ne.jp"/>
    <s v="Menard"/>
    <s v="Guild"/>
    <s v="Male"/>
    <s v="Male"/>
    <s v="28.37.72.7"/>
    <s v="22.64.123.131"/>
    <n v="605"/>
    <n v="605"/>
    <s v="NASDAQ"/>
    <s v="HTLF"/>
    <s v="Heartland Financial USA, Inc."/>
    <x v="3"/>
    <s v="Major Banks"/>
    <s v="$1.25B"/>
    <n v="1250000000"/>
    <n v="382.14"/>
    <n v="-0.59"/>
    <n v="135733768"/>
    <d v="2024-11-16T00:00:00"/>
    <s v="Complete"/>
    <m/>
  </r>
  <r>
    <s v="dshippardgt"/>
    <s v="macromedia.com"/>
    <s v="Dniren"/>
    <s v="Shippard"/>
    <s v="Female"/>
    <s v="Female"/>
    <s v="50.10.123.66"/>
    <s v="178.73.91.175"/>
    <n v="606"/>
    <n v="606"/>
    <s v="NASDAQ"/>
    <s v="SRCLP"/>
    <s v="Stericycle, Inc."/>
    <x v="10"/>
    <s v="Environmental Services"/>
    <s v="N/A"/>
    <n v="0"/>
    <n v="1030.8699999999999"/>
    <n v="-10.7"/>
    <n v="21513420"/>
    <d v="2024-09-17T00:00:00"/>
    <s v="Missing"/>
    <m/>
  </r>
  <r>
    <s v="cladsongu"/>
    <s v="umn.edu"/>
    <s v="Claudia"/>
    <s v="Ladson"/>
    <s v="Female"/>
    <s v="Female"/>
    <s v="138.53.61.215"/>
    <s v="209.254.203.128"/>
    <n v="607"/>
    <n v="607"/>
    <s v="NASDAQ"/>
    <s v="OFED"/>
    <s v="Oconee Federal Financial Corp."/>
    <x v="3"/>
    <s v="Savings Institutions"/>
    <s v="$161.77M"/>
    <n v="161770000"/>
    <n v="790.52"/>
    <n v="4.3600000000000003"/>
    <n v="98277015"/>
    <d v="2021-08-23T00:00:00"/>
    <s v="Complete"/>
    <m/>
  </r>
  <r>
    <s v="aswindallgv"/>
    <s v="51.la"/>
    <s v="Aurelia"/>
    <s v="Swindall"/>
    <s v="Female"/>
    <s v="Female"/>
    <s v="33.102.92.76"/>
    <s v="84.120.71.29"/>
    <n v="608"/>
    <n v="608"/>
    <s v="NASDAQ"/>
    <s v="WNEB"/>
    <s v="Western New England Bancorp, Inc."/>
    <x v="3"/>
    <s v="Savings Institutions"/>
    <s v="$332.53M"/>
    <n v="332530000"/>
    <n v="555.52"/>
    <n v="1.58"/>
    <n v="199751386"/>
    <d v="2026-03-29T00:00:00"/>
    <s v="Complete"/>
    <m/>
  </r>
  <r>
    <s v="rratterygw"/>
    <s v="pen.io"/>
    <s v="Reuven"/>
    <s v="Rattery"/>
    <s v="Male"/>
    <s v="Male"/>
    <s v="107.20.197.154"/>
    <s v="193.14.15.99"/>
    <n v="609"/>
    <n v="609"/>
    <s v="NYSE"/>
    <s v="PBT"/>
    <s v="Permian Basin Royalty Trust"/>
    <x v="9"/>
    <s v="Oil &amp; Gas Production"/>
    <s v="$426.47M"/>
    <n v="426470000"/>
    <n v="378.35"/>
    <n v="13"/>
    <n v="39176221"/>
    <d v="2022-12-24T00:00:00"/>
    <s v="Complete"/>
    <m/>
  </r>
  <r>
    <s v="jpettigrewgx"/>
    <s v="arizona.edu"/>
    <s v="Julio"/>
    <s v="Pettigrew"/>
    <s v="Male"/>
    <s v="Male"/>
    <s v="60.241.85.134"/>
    <s v="250.135.84.228"/>
    <n v="610"/>
    <n v="610"/>
    <s v="NASDAQ"/>
    <s v="LSXMK"/>
    <s v="Liberty Media Corporation"/>
    <x v="6"/>
    <s v="Broadcasting"/>
    <s v="$13.88B"/>
    <n v="13880000000"/>
    <n v="981.7"/>
    <n v="-15.26"/>
    <n v="58070519"/>
    <d v="2024-01-07T00:00:00"/>
    <s v="Complete"/>
    <m/>
  </r>
  <r>
    <s v="mlehucquetgy"/>
    <s v="va.gov"/>
    <s v="Marietta"/>
    <s v="Le Hucquet"/>
    <s v="Female"/>
    <s v="Female"/>
    <s v="185.68.241.51"/>
    <s v="226.68.91.210"/>
    <n v="611"/>
    <n v="611"/>
    <s v="NASDAQ"/>
    <s v="BNSO"/>
    <s v="Bonso Electronics International, Inc."/>
    <x v="1"/>
    <s v="Industrial Machinery/Components"/>
    <s v="$12.63M"/>
    <n v="12630000"/>
    <n v="1942.49"/>
    <n v="-15.86"/>
    <n v="192114183"/>
    <d v="2025-03-07T00:00:00"/>
    <s v="Complete"/>
    <m/>
  </r>
  <r>
    <s v="ihearseygz"/>
    <s v="yellowbook.com"/>
    <s v="Ives"/>
    <s v="Hearsey"/>
    <s v="Genderqueer"/>
    <s v="Other"/>
    <s v="121.146.19.155"/>
    <s v="40.108.192.118"/>
    <n v="612"/>
    <n v="612"/>
    <s v="NASDAQ"/>
    <s v="OSUR"/>
    <s v="OraSure Technologies, Inc."/>
    <x v="0"/>
    <s v="Medical/Dental Instruments"/>
    <s v="$862.98M"/>
    <n v="862980000"/>
    <n v="1659.14"/>
    <n v="-6.25"/>
    <n v="185402244"/>
    <d v="2021-07-24T00:00:00"/>
    <s v="Complete"/>
    <m/>
  </r>
  <r>
    <s v="emackaileh0"/>
    <s v="pagesperso-orange.fr"/>
    <s v="Esra"/>
    <s v="MacKaile"/>
    <s v="Male"/>
    <s v="Male"/>
    <s v="212.12.202.146"/>
    <s v="58.65.55.164"/>
    <n v="613"/>
    <n v="613"/>
    <s v="NYSE"/>
    <s v="SR"/>
    <s v="Spire Inc."/>
    <x v="8"/>
    <s v="Oil/Gas Transmission"/>
    <s v="$3.49B"/>
    <n v="3490000000"/>
    <n v="1061.3"/>
    <n v="-8.14"/>
    <n v="63843562"/>
    <d v="2021-01-21T00:00:00"/>
    <s v="Complete"/>
    <m/>
  </r>
  <r>
    <s v="kvakhrushevh1"/>
    <s v="webeden.co.uk"/>
    <s v="Killie"/>
    <s v="Vakhrushev"/>
    <s v="Male"/>
    <s v="Male"/>
    <s v="221.31.147.22"/>
    <s v="203.174.49.157"/>
    <n v="614"/>
    <n v="614"/>
    <s v="NYSE"/>
    <s v="VEDL"/>
    <s v="Vedanta  Limited"/>
    <x v="1"/>
    <s v="Metal Fabrications"/>
    <s v="$10.79B"/>
    <n v="10790000000"/>
    <n v="386.32"/>
    <n v="5.97"/>
    <n v="175257884"/>
    <d v="2025-11-15T00:00:00"/>
    <s v="Complete"/>
    <m/>
  </r>
  <r>
    <s v="seakleh2"/>
    <s v="archive.org"/>
    <s v="Shelba"/>
    <s v="Eakle"/>
    <s v="Female"/>
    <s v="Female"/>
    <s v="186.117.113.191"/>
    <s v="40.225.37.154"/>
    <n v="615"/>
    <n v="615"/>
    <s v="NASDAQ"/>
    <s v="FRED"/>
    <s v="Fred's, Inc."/>
    <x v="6"/>
    <s v="Department/Specialty Retail Stores"/>
    <s v="$408.67M"/>
    <n v="408670000"/>
    <n v="1400.25"/>
    <n v="10.7"/>
    <n v="171123761"/>
    <d v="2025-10-24T00:00:00"/>
    <s v="Complete"/>
    <m/>
  </r>
  <r>
    <s v="sclynmansh3"/>
    <s v="google.de"/>
    <s v="Sunny"/>
    <s v="Clynmans"/>
    <s v="Male"/>
    <s v="Male"/>
    <s v="239.16.115.178"/>
    <s v="21.169.65.149"/>
    <n v="616"/>
    <n v="616"/>
    <s v="NYSE"/>
    <s v="EMR"/>
    <s v="Emerson Electric Company"/>
    <x v="9"/>
    <s v="Consumer Electronics/Appliances"/>
    <s v="$39.11B"/>
    <n v="39110000000"/>
    <n v="1000.93"/>
    <n v="11.03"/>
    <n v="17800825"/>
    <d v="2022-06-25T00:00:00"/>
    <s v="Complete"/>
    <m/>
  </r>
  <r>
    <s v="rpollackh4"/>
    <s v="npr.org"/>
    <s v="Rachel"/>
    <s v="Pollack"/>
    <s v="Female"/>
    <s v="Female"/>
    <s v="127.31.159.125"/>
    <s v="18.146.175.43"/>
    <n v="617"/>
    <n v="617"/>
    <s v="NYSE"/>
    <s v="BHLB"/>
    <s v="Berkshire Hills Bancorp, Inc."/>
    <x v="3"/>
    <s v="Banks"/>
    <s v="$1.5B"/>
    <n v="1500000000"/>
    <n v="108.2"/>
    <n v="5.39"/>
    <n v="66202568"/>
    <d v="2021-11-15T00:00:00"/>
    <s v="Complete"/>
    <m/>
  </r>
  <r>
    <s v="ctwisth5"/>
    <s v="reuters.com"/>
    <s v="Cash"/>
    <s v="Twist"/>
    <s v="Agender"/>
    <s v="Other"/>
    <s v="110.223.246.251"/>
    <s v="54.237.179.242"/>
    <n v="618"/>
    <n v="618"/>
    <s v="NASDAQ"/>
    <s v="INVA"/>
    <s v="Innoviva, Inc."/>
    <x v="0"/>
    <s v="Major Pharmaceuticals"/>
    <s v="$1.31B"/>
    <n v="1310000000"/>
    <n v="1175.31"/>
    <n v="-16.87"/>
    <n v="152316759"/>
    <d v="2026-12-15T00:00:00"/>
    <s v="Complete"/>
    <m/>
  </r>
  <r>
    <s v="adreweryh6"/>
    <s v="stanford.edu"/>
    <s v="Ardene"/>
    <s v="Drewery"/>
    <s v="Female"/>
    <s v="Female"/>
    <s v="135.80.2.115"/>
    <s v="184.255.174.96"/>
    <n v="619"/>
    <n v="619"/>
    <s v="NYSE"/>
    <s v="MIY"/>
    <s v="Blackrock MuniYield Michigan Quality Fund, Inc."/>
    <x v="2"/>
    <s v="N/A"/>
    <s v="$415.87M"/>
    <n v="415870000"/>
    <n v="467.48"/>
    <n v="8.9600000000000009"/>
    <n v="168245510"/>
    <d v="2021-03-16T00:00:00"/>
    <s v="Missing"/>
    <m/>
  </r>
  <r>
    <s v="llongboneh7"/>
    <s v="hubpages.com"/>
    <s v="Lindsay"/>
    <s v="Longbone"/>
    <s v="Agender"/>
    <s v="Other"/>
    <s v="242.107.20.42"/>
    <s v="185.168.179.224"/>
    <n v="620"/>
    <n v="620"/>
    <s v="NASDAQ"/>
    <s v="GFNSL"/>
    <s v="General Finance Corporation"/>
    <x v="4"/>
    <s v="Diversified Commercial Services"/>
    <s v="N/A"/>
    <n v="0"/>
    <n v="863.47"/>
    <n v="-3.59"/>
    <n v="187156222"/>
    <d v="2022-12-12T00:00:00"/>
    <s v="Missing"/>
    <m/>
  </r>
  <r>
    <s v="ccoenh8"/>
    <s v="cmu.edu"/>
    <s v="Carleton"/>
    <s v="Coen"/>
    <s v="Male"/>
    <s v="Male"/>
    <s v="171.152.9.101"/>
    <s v="248.40.64.106"/>
    <n v="621"/>
    <n v="621"/>
    <s v="NASDAQ"/>
    <s v="VIDI"/>
    <s v="Vident International Equity Fund"/>
    <x v="2"/>
    <s v="N/A"/>
    <s v="N/A"/>
    <n v="0"/>
    <n v="1600.84"/>
    <n v="9.89"/>
    <n v="179059269"/>
    <d v="2026-03-15T00:00:00"/>
    <s v="Missing"/>
    <m/>
  </r>
  <r>
    <s v="kgingerh9"/>
    <s v="mayoclinic.com"/>
    <s v="Karly"/>
    <s v="Ginger"/>
    <s v="Female"/>
    <s v="Female"/>
    <s v="178.190.30.22"/>
    <s v="112.37.36.11"/>
    <n v="622"/>
    <n v="622"/>
    <s v="NYSE"/>
    <s v="PHM"/>
    <s v="PulteGroup, Inc."/>
    <x v="1"/>
    <s v="Homebuilding"/>
    <s v="$7.58B"/>
    <n v="7580000000"/>
    <n v="1066.8900000000001"/>
    <n v="6.8"/>
    <n v="92915569"/>
    <d v="2024-07-01T00:00:00"/>
    <s v="Complete"/>
    <m/>
  </r>
  <r>
    <s v="ipartrickha"/>
    <s v="pen.io"/>
    <s v="Iggy"/>
    <s v="Partrick"/>
    <s v="Male"/>
    <s v="Male"/>
    <s v="27.41.177.167"/>
    <s v="212.100.52.212"/>
    <n v="623"/>
    <n v="623"/>
    <s v="NYSE"/>
    <s v="BHK"/>
    <s v="Blackrock Core Bond Trust"/>
    <x v="2"/>
    <s v="N/A"/>
    <s v="$741.61M"/>
    <n v="741610000"/>
    <n v="1210.33"/>
    <n v="8.3699999999999992"/>
    <n v="12719776"/>
    <d v="2020-08-01T00:00:00"/>
    <s v="Missing"/>
    <m/>
  </r>
  <r>
    <s v="mwesleyhb"/>
    <s v="furl.net"/>
    <s v="Monah"/>
    <s v="Wesley"/>
    <s v="Agender"/>
    <s v="Other"/>
    <s v="250.5.197.16"/>
    <s v="191.6.234.160"/>
    <n v="624"/>
    <n v="624"/>
    <s v="NYSE"/>
    <s v="ENV"/>
    <s v="Envestnet, Inc"/>
    <x v="7"/>
    <s v="Business Services"/>
    <s v="$1.67B"/>
    <n v="1670000000"/>
    <n v="332.73"/>
    <n v="-2.37"/>
    <n v="189315680"/>
    <d v="2021-09-18T00:00:00"/>
    <s v="Complete"/>
    <m/>
  </r>
  <r>
    <s v="lmccurthc"/>
    <s v="skype.com"/>
    <s v="Ludovico"/>
    <s v="McCurt"/>
    <s v="Male"/>
    <s v="Male"/>
    <s v="131.63.92.70"/>
    <s v="102.247.148.186"/>
    <n v="625"/>
    <n v="625"/>
    <s v="NASDAQ"/>
    <s v="SAFM"/>
    <s v="Sanderson Farms, Inc."/>
    <x v="5"/>
    <s v="Meat/Poultry/Fish"/>
    <s v="$2.88B"/>
    <n v="2880000000"/>
    <n v="852.66"/>
    <n v="17.600000000000001"/>
    <n v="107564543"/>
    <d v="2023-03-20T00:00:00"/>
    <s v="Complete"/>
    <m/>
  </r>
  <r>
    <s v="ahalwoodhd"/>
    <s v="census.gov"/>
    <s v="Alyson"/>
    <s v="Halwood"/>
    <s v="Female"/>
    <s v="Female"/>
    <s v="225.202.185.11"/>
    <s v="68.155.201.71"/>
    <n v="626"/>
    <n v="626"/>
    <s v="NASDAQ"/>
    <s v="PETS"/>
    <s v="PetMed Express, Inc."/>
    <x v="0"/>
    <s v="Medical/Nursing Services"/>
    <s v="$785.51M"/>
    <n v="785510000"/>
    <n v="1370.91"/>
    <n v="0.42"/>
    <n v="177166301"/>
    <d v="2024-06-29T00:00:00"/>
    <s v="Complete"/>
    <m/>
  </r>
  <r>
    <s v="cgowdyhe"/>
    <s v="cyberchimps.com"/>
    <s v="Camel"/>
    <s v="Gowdy"/>
    <s v="Female"/>
    <s v="Female"/>
    <s v="60.161.167.237"/>
    <s v="248.47.112.83"/>
    <n v="627"/>
    <n v="627"/>
    <s v="NASDAQ"/>
    <s v="APLP"/>
    <s v="Archrock Partners, L.P."/>
    <x v="8"/>
    <s v="Natural Gas Distribution"/>
    <s v="$930.51M"/>
    <n v="930510000"/>
    <n v="1022.14"/>
    <n v="14.38"/>
    <n v="75377254"/>
    <d v="2023-08-20T00:00:00"/>
    <s v="Complete"/>
    <m/>
  </r>
  <r>
    <s v="ejannaschhf"/>
    <s v="lulu.com"/>
    <s v="Ewell"/>
    <s v="Jannasch"/>
    <s v="Male"/>
    <s v="Male"/>
    <s v="38.77.109.201"/>
    <s v="29.121.231.191"/>
    <n v="628"/>
    <n v="628"/>
    <s v="NASDAQ"/>
    <s v="ESSA"/>
    <s v="ESSA Bancorp, Inc."/>
    <x v="3"/>
    <s v="Banks"/>
    <s v="$175.65M"/>
    <n v="175650000"/>
    <n v="1083.3"/>
    <n v="-4.16"/>
    <n v="16552327"/>
    <d v="2020-04-26T00:00:00"/>
    <s v="Complete"/>
    <m/>
  </r>
  <r>
    <s v="bburdounhg"/>
    <s v="samsung.com"/>
    <s v="Bobina"/>
    <s v="Burdoun"/>
    <s v="Female"/>
    <s v="Female"/>
    <s v="123.167.125.28"/>
    <s v="8.233.241.216"/>
    <n v="629"/>
    <n v="629"/>
    <s v="NYSE"/>
    <s v="AGRO"/>
    <s v="Adecoagro S.A."/>
    <x v="5"/>
    <s v="Farming/Seeds/Milling"/>
    <s v="$1.21B"/>
    <n v="1210000000"/>
    <n v="1756.26"/>
    <n v="6.52"/>
    <n v="91360688"/>
    <d v="2021-06-09T00:00:00"/>
    <s v="Complete"/>
    <m/>
  </r>
  <r>
    <s v="amunthh"/>
    <s v="cisco.com"/>
    <s v="Alexandrina"/>
    <s v="Munt"/>
    <s v="Female"/>
    <s v="Female"/>
    <s v="131.221.136.34"/>
    <s v="215.226.68.175"/>
    <n v="630"/>
    <n v="630"/>
    <s v="NYSE"/>
    <s v="WTI"/>
    <s v="W&amp;T Offshore, Inc."/>
    <x v="9"/>
    <s v="Oil &amp; Gas Production"/>
    <s v="$284.99M"/>
    <n v="284990000"/>
    <n v="492.23"/>
    <n v="9.98"/>
    <n v="173574904"/>
    <d v="2022-05-23T00:00:00"/>
    <s v="Complete"/>
    <m/>
  </r>
  <r>
    <s v="gladewighi"/>
    <s v="scribd.com"/>
    <s v="Gregorius"/>
    <s v="Ladewig"/>
    <s v="Male"/>
    <s v="Male"/>
    <s v="4.193.204.182"/>
    <s v="66.48.184.245"/>
    <n v="631"/>
    <n v="631"/>
    <s v="NASDAQ"/>
    <s v="PRTK"/>
    <s v="Paratek Pharmaceuticals, Inc. "/>
    <x v="0"/>
    <s v="Major Pharmaceuticals"/>
    <s v="$618.42M"/>
    <n v="618420000"/>
    <n v="1281.8800000000001"/>
    <n v="-2.5"/>
    <n v="189720544"/>
    <d v="2022-06-22T00:00:00"/>
    <s v="Complete"/>
    <m/>
  </r>
  <r>
    <s v="fstennerhj"/>
    <s v="nationalgeographic.com"/>
    <s v="Flem"/>
    <s v="Stenner"/>
    <s v="Male"/>
    <s v="Male"/>
    <s v="26.16.61.32"/>
    <s v="206.224.35.171"/>
    <n v="632"/>
    <n v="632"/>
    <s v="NYSE"/>
    <s v="CUBI^E"/>
    <s v="Customers Bancorp, Inc"/>
    <x v="2"/>
    <s v="N/A"/>
    <s v="N/A"/>
    <n v="0"/>
    <n v="1366.03"/>
    <n v="14.07"/>
    <n v="66462878"/>
    <d v="2021-06-21T00:00:00"/>
    <s v="Missing"/>
    <m/>
  </r>
  <r>
    <s v="eketchellhk"/>
    <s v="nhs.uk"/>
    <s v="Ennis"/>
    <s v="Ketchell"/>
    <s v="Male"/>
    <s v="Male"/>
    <s v="26.75.132.251"/>
    <s v="81.135.102.227"/>
    <n v="633"/>
    <n v="633"/>
    <s v="NYSE"/>
    <s v="MORE          "/>
    <s v="Monogram Residential Trust, Inc."/>
    <x v="6"/>
    <s v="Real Estate Investment Trusts"/>
    <s v="$1.68B"/>
    <n v="1680000000"/>
    <n v="1852.52"/>
    <n v="5.94"/>
    <n v="26695013"/>
    <d v="2025-12-18T00:00:00"/>
    <s v="Complete"/>
    <m/>
  </r>
  <r>
    <s v="fcorsorhl"/>
    <s v="businesswire.com"/>
    <s v="Fallon"/>
    <s v="Corsor"/>
    <s v="Female"/>
    <s v="Female"/>
    <s v="232.20.103.196"/>
    <s v="245.246.125.102"/>
    <n v="634"/>
    <n v="634"/>
    <s v="NYSE"/>
    <s v="EFX"/>
    <s v="Equifax, Inc."/>
    <x v="3"/>
    <s v="Finance: Consumer Services"/>
    <s v="$17.14B"/>
    <n v="17140000000"/>
    <n v="1788.83"/>
    <n v="-9.83"/>
    <n v="131453114"/>
    <d v="2020-04-06T00:00:00"/>
    <s v="Complete"/>
    <m/>
  </r>
  <r>
    <s v="ksturleyhm"/>
    <s v="nationalgeographic.com"/>
    <s v="Karyl"/>
    <s v="Sturley"/>
    <s v="Genderfluid"/>
    <s v="Other"/>
    <s v="15.152.177.98"/>
    <s v="6.190.77.112"/>
    <n v="635"/>
    <n v="635"/>
    <s v="NASDAQ"/>
    <s v="SANM"/>
    <s v="Sanmina Corporation"/>
    <x v="4"/>
    <s v="Electrical Products"/>
    <s v="$2.83B"/>
    <n v="2830000000"/>
    <n v="297.70999999999998"/>
    <n v="-17.850000000000001"/>
    <n v="129705561"/>
    <d v="2024-05-23T00:00:00"/>
    <s v="Complete"/>
    <m/>
  </r>
  <r>
    <s v="bskeemorhn"/>
    <s v="cnet.com"/>
    <s v="Barthel"/>
    <s v="Skeemor"/>
    <s v="Male"/>
    <s v="Male"/>
    <s v="151.227.52.238"/>
    <s v="92.243.126.142"/>
    <n v="636"/>
    <n v="636"/>
    <s v="NASDAQ"/>
    <s v="FANH"/>
    <s v="Fanhua Inc."/>
    <x v="3"/>
    <s v="Specialty Insurers"/>
    <s v="$554.47M"/>
    <n v="554470000"/>
    <n v="304.22000000000003"/>
    <n v="-11.23"/>
    <n v="77942380"/>
    <d v="2024-02-10T00:00:00"/>
    <s v="Complete"/>
    <m/>
  </r>
  <r>
    <s v="kaksellho"/>
    <s v="ifeng.com"/>
    <s v="Kristine"/>
    <s v="Aksell"/>
    <s v="Female"/>
    <s v="Female"/>
    <s v="26.73.17.8"/>
    <s v="92.238.75.120"/>
    <n v="637"/>
    <n v="637"/>
    <s v="NYSE"/>
    <s v="BAK"/>
    <s v="Braskem S.A."/>
    <x v="10"/>
    <s v="Major Chemicals"/>
    <s v="$7.97B"/>
    <n v="7970000000"/>
    <n v="528.46"/>
    <n v="8.49"/>
    <n v="103549101"/>
    <d v="2025-09-23T00:00:00"/>
    <s v="Complete"/>
    <m/>
  </r>
  <r>
    <s v="mbabberhp"/>
    <s v="statcounter.com"/>
    <s v="Madel"/>
    <s v="Babber"/>
    <s v="Female"/>
    <s v="Female"/>
    <s v="238.227.12.14"/>
    <s v="159.46.149.72"/>
    <n v="638"/>
    <n v="638"/>
    <s v="NYSE"/>
    <s v="STT^E"/>
    <s v="State Street Corporation"/>
    <x v="2"/>
    <s v="N/A"/>
    <s v="N/A"/>
    <n v="0"/>
    <n v="1652.79"/>
    <n v="4.4400000000000004"/>
    <n v="56886295"/>
    <d v="2022-12-29T00:00:00"/>
    <s v="Missing"/>
    <m/>
  </r>
  <r>
    <s v="ppetyaninhq"/>
    <s v="t-online.de"/>
    <s v="Pam"/>
    <s v="Petyanin"/>
    <s v="Female"/>
    <s v="Female"/>
    <s v="161.93.88.65"/>
    <s v="108.137.120.203"/>
    <n v="639"/>
    <n v="639"/>
    <s v="NASDAQ"/>
    <s v="KTEC"/>
    <s v="Key Technology, Inc."/>
    <x v="4"/>
    <s v="Industrial Machinery/Components"/>
    <s v="$87.57M"/>
    <n v="87570000"/>
    <n v="1132.78"/>
    <n v="2.92"/>
    <n v="114383978"/>
    <d v="2021-04-23T00:00:00"/>
    <s v="Complete"/>
    <m/>
  </r>
  <r>
    <s v="fmcgairlhr"/>
    <s v="hud.gov"/>
    <s v="Florencia"/>
    <s v="McGairl"/>
    <s v="Female"/>
    <s v="Female"/>
    <s v="31.131.164.207"/>
    <s v="40.159.69.212"/>
    <n v="640"/>
    <n v="640"/>
    <s v="NYSE"/>
    <s v="LTM"/>
    <s v="LATAM Airlines Group S.A."/>
    <x v="12"/>
    <s v="Air Freight/Delivery Services"/>
    <s v="$6.79B"/>
    <n v="6790000000"/>
    <n v="1965.43"/>
    <n v="0.11"/>
    <n v="181736196"/>
    <d v="2022-04-09T00:00:00"/>
    <s v="Complete"/>
    <m/>
  </r>
  <r>
    <s v="jattrillhs"/>
    <s v="addtoany.com"/>
    <s v="Jaquith"/>
    <s v="Attrill"/>
    <s v="Female"/>
    <s v="Female"/>
    <s v="169.36.127.254"/>
    <s v="185.136.176.225"/>
    <n v="641"/>
    <n v="641"/>
    <s v="NYSE"/>
    <s v="JBN"/>
    <s v="Select Asset Inc."/>
    <x v="3"/>
    <s v="Finance: Consumer Services"/>
    <s v="N/A"/>
    <n v="0"/>
    <n v="478.44"/>
    <n v="7.76"/>
    <n v="97651342"/>
    <d v="2025-11-26T00:00:00"/>
    <s v="Missing"/>
    <m/>
  </r>
  <r>
    <s v="hbroxholmeht"/>
    <s v="barnesandnoble.com"/>
    <s v="Heloise"/>
    <s v="Broxholme"/>
    <s v="Female"/>
    <s v="Female"/>
    <s v="250.40.135.5"/>
    <s v="141.106.163.46"/>
    <n v="642"/>
    <n v="642"/>
    <s v="NYSE"/>
    <s v="CXH"/>
    <s v="Colonial Investment Grade Municipal Trust"/>
    <x v="2"/>
    <s v="N/A"/>
    <s v="$116.91M"/>
    <n v="116910000"/>
    <n v="1080.8"/>
    <n v="15.41"/>
    <n v="45347858"/>
    <d v="2021-02-12T00:00:00"/>
    <s v="Missing"/>
    <m/>
  </r>
  <r>
    <s v="tharberthu"/>
    <s v="nifty.com"/>
    <s v="Trudey"/>
    <s v="Harbert"/>
    <s v="Female"/>
    <s v="Female"/>
    <s v="159.25.243.106"/>
    <s v="7.161.33.232"/>
    <n v="643"/>
    <n v="643"/>
    <s v="NASDAQ"/>
    <s v="OLLI"/>
    <s v="Ollie's Bargain Outlet Holdings, Inc."/>
    <x v="6"/>
    <s v="Department/Specialty Retail Stores"/>
    <s v="$2.5B"/>
    <n v="2500000000"/>
    <n v="1271.45"/>
    <n v="-10.15"/>
    <n v="35958762"/>
    <d v="2020-01-16T00:00:00"/>
    <s v="Complete"/>
    <m/>
  </r>
  <r>
    <s v="gkornhv"/>
    <s v="gnu.org"/>
    <s v="Gayle"/>
    <s v="Korn"/>
    <s v="Male"/>
    <s v="Male"/>
    <s v="195.113.142.206"/>
    <s v="196.128.60.235"/>
    <n v="644"/>
    <n v="644"/>
    <s v="NYSE"/>
    <s v="NEE^I"/>
    <s v="NextEra Energy, Inc."/>
    <x v="2"/>
    <s v="N/A"/>
    <s v="N/A"/>
    <n v="0"/>
    <n v="663"/>
    <n v="-8.08"/>
    <n v="137287443"/>
    <d v="2021-12-16T00:00:00"/>
    <s v="Missing"/>
    <m/>
  </r>
  <r>
    <s v="wembertonhw"/>
    <s v="photobucket.com"/>
    <s v="Warren"/>
    <s v="Emberton"/>
    <s v="Male"/>
    <s v="Male"/>
    <s v="118.127.86.99"/>
    <s v="239.121.116.107"/>
    <n v="645"/>
    <n v="645"/>
    <s v="NASDAQ"/>
    <s v="PAHC"/>
    <s v="Phibro Animal Health Corporation"/>
    <x v="0"/>
    <s v="Major Pharmaceuticals"/>
    <s v="$1.43B"/>
    <n v="1430000000"/>
    <n v="1307.98"/>
    <n v="17.55"/>
    <n v="119989709"/>
    <d v="2024-06-18T00:00:00"/>
    <s v="Complete"/>
    <m/>
  </r>
  <r>
    <s v="wreaphx"/>
    <s v="icio.us"/>
    <s v="Waylin"/>
    <s v="Reap"/>
    <s v="Male"/>
    <s v="Male"/>
    <s v="153.121.213.17"/>
    <s v="59.228.51.114"/>
    <n v="646"/>
    <n v="646"/>
    <s v="NASDAQ"/>
    <s v="LULU"/>
    <s v="lululemon athletica inc."/>
    <x v="5"/>
    <s v="Apparel"/>
    <s v="$7.24B"/>
    <n v="7240000000"/>
    <n v="1240.3900000000001"/>
    <n v="-1.29"/>
    <n v="147790161"/>
    <d v="2022-02-15T00:00:00"/>
    <s v="Complete"/>
    <m/>
  </r>
  <r>
    <s v="wbossonhy"/>
    <s v="thetimes.co.uk"/>
    <s v="Weber"/>
    <s v="Bosson"/>
    <s v="Genderfluid"/>
    <s v="Other"/>
    <s v="33.242.80.114"/>
    <s v="21.82.248.71"/>
    <n v="647"/>
    <n v="647"/>
    <s v="NYSE"/>
    <s v="STAG^B"/>
    <s v="Stag Industrial, Inc."/>
    <x v="2"/>
    <s v="N/A"/>
    <s v="N/A"/>
    <n v="0"/>
    <n v="1043.5999999999999"/>
    <n v="-9.15"/>
    <n v="28088671"/>
    <d v="2025-08-05T00:00:00"/>
    <s v="Missing"/>
    <m/>
  </r>
  <r>
    <s v="dcranfieldhz"/>
    <s v="wordpress.org"/>
    <s v="Debee"/>
    <s v="Cranfield"/>
    <s v="Female"/>
    <s v="Female"/>
    <s v="201.151.176.65"/>
    <s v="25.15.51.78"/>
    <n v="648"/>
    <n v="648"/>
    <s v="NYSE"/>
    <s v="ZBK"/>
    <s v="Zions Bancorporation"/>
    <x v="3"/>
    <s v="Major Banks"/>
    <s v="N/A"/>
    <n v="0"/>
    <n v="663.29"/>
    <n v="-8.6199999999999992"/>
    <n v="89996811"/>
    <d v="2021-07-20T00:00:00"/>
    <s v="Missing"/>
    <m/>
  </r>
  <r>
    <s v="dshuttlewoodi0"/>
    <s v="indiatimes.com"/>
    <s v="Donavon"/>
    <s v="Shuttlewood"/>
    <s v="Male"/>
    <s v="Male"/>
    <s v="147.181.98.181"/>
    <s v="94.112.231.89"/>
    <n v="649"/>
    <n v="649"/>
    <s v="NASDAQ"/>
    <s v="MKTX"/>
    <s v="MarketAxess Holdings, Inc."/>
    <x v="3"/>
    <s v="Investment Bankers/Brokers/Service"/>
    <s v="$7.72B"/>
    <n v="7720000000"/>
    <n v="1051.49"/>
    <n v="4.2"/>
    <n v="163261129"/>
    <d v="2025-10-10T00:00:00"/>
    <s v="Complete"/>
    <m/>
  </r>
  <r>
    <s v="cduthiei1"/>
    <s v="privacy.gov.au"/>
    <s v="Chandra"/>
    <s v="Duthie"/>
    <s v="Female"/>
    <s v="Female"/>
    <s v="159.103.122.16"/>
    <s v="94.29.197.191"/>
    <n v="650"/>
    <n v="650"/>
    <s v="NYSE"/>
    <s v="DCM"/>
    <s v="NTT DOCOMO, Inc"/>
    <x v="4"/>
    <s v="Radio And Television Broadcasting And Communications Equipment"/>
    <s v="$96.67B"/>
    <n v="96670000000"/>
    <n v="1516.97"/>
    <n v="19"/>
    <n v="139362323"/>
    <d v="2024-04-18T00:00:00"/>
    <s v="Complete"/>
    <m/>
  </r>
  <r>
    <s v="nstranierii2"/>
    <s v="exblog.jp"/>
    <s v="Niki"/>
    <s v="Stranieri"/>
    <s v="Male"/>
    <s v="Male"/>
    <s v="193.213.237.226"/>
    <s v="21.202.200.107"/>
    <n v="651"/>
    <n v="651"/>
    <s v="NASDAQ"/>
    <s v="CBSHP"/>
    <s v="Commerce Bancshares, Inc."/>
    <x v="3"/>
    <s v="Major Banks"/>
    <s v="$2.4B"/>
    <n v="2400000000"/>
    <n v="656.54"/>
    <n v="10.66"/>
    <n v="112774943"/>
    <d v="2022-05-17T00:00:00"/>
    <s v="Complete"/>
    <m/>
  </r>
  <r>
    <s v="rdorsayi3"/>
    <s v="shinystat.com"/>
    <s v="Robinet"/>
    <s v="D'Orsay"/>
    <s v="Female"/>
    <s v="Female"/>
    <s v="92.221.163.154"/>
    <s v="252.215.133.97"/>
    <n v="652"/>
    <n v="652"/>
    <s v="NASDAQ"/>
    <s v="TRVG"/>
    <s v="trivago N.V."/>
    <x v="2"/>
    <s v="N/A"/>
    <s v="$4.38B"/>
    <n v="4380000000"/>
    <n v="1285.26"/>
    <n v="-3.2"/>
    <n v="163053189"/>
    <d v="2026-10-22T00:00:00"/>
    <s v="Missing"/>
    <m/>
  </r>
  <r>
    <s v="gbatkini4"/>
    <s v="hexun.com"/>
    <s v="Guthrie"/>
    <s v="Batkin"/>
    <s v="Male"/>
    <s v="Male"/>
    <s v="247.173.171.77"/>
    <s v="237.159.233.171"/>
    <n v="653"/>
    <n v="653"/>
    <s v="NYSE"/>
    <s v="ADSW"/>
    <s v="Advanced Disposal Services, Inc."/>
    <x v="8"/>
    <s v="Environmental Services"/>
    <s v="$2.1B"/>
    <n v="2100000000"/>
    <n v="665.54"/>
    <n v="-13.29"/>
    <n v="66576901"/>
    <d v="2026-04-05T00:00:00"/>
    <s v="Complete"/>
    <m/>
  </r>
  <r>
    <s v="vhutsbyi5"/>
    <s v="answers.com"/>
    <s v="Vivien"/>
    <s v="Hutsby"/>
    <s v="Female"/>
    <s v="Female"/>
    <s v="77.90.143.250"/>
    <s v="126.23.17.184"/>
    <n v="654"/>
    <n v="654"/>
    <s v="NYSE"/>
    <s v="NAZ"/>
    <s v="Nuveen Arizona Quality Municipal Income Fund"/>
    <x v="2"/>
    <s v="N/A"/>
    <s v="$167.96M"/>
    <n v="167960000"/>
    <n v="1660.19"/>
    <n v="-2.6"/>
    <n v="125946407"/>
    <d v="2024-07-02T00:00:00"/>
    <s v="Missing"/>
    <m/>
  </r>
  <r>
    <s v="bdecenti6"/>
    <s v="live.com"/>
    <s v="Bo"/>
    <s v="Decent"/>
    <s v="Agender"/>
    <s v="Other"/>
    <s v="234.249.43.85"/>
    <s v="199.25.93.115"/>
    <n v="655"/>
    <n v="655"/>
    <s v="NYSE"/>
    <s v="ACM"/>
    <s v="AECOM"/>
    <x v="6"/>
    <s v="Military/Government/Technical"/>
    <s v="$5.08B"/>
    <n v="5080000000"/>
    <n v="349.82"/>
    <n v="-17.79"/>
    <n v="124204008"/>
    <d v="2022-12-16T00:00:00"/>
    <s v="Complete"/>
    <m/>
  </r>
  <r>
    <s v="mloffilli7"/>
    <s v="economist.com"/>
    <s v="Merrill"/>
    <s v="Loffill"/>
    <s v="Female"/>
    <s v="Female"/>
    <s v="166.206.241.191"/>
    <s v="156.99.107.152"/>
    <n v="656"/>
    <n v="656"/>
    <s v="NASDAQ"/>
    <s v="SSKN"/>
    <s v="Strata Skin Sciences, Inc."/>
    <x v="0"/>
    <s v="Medical/Dental Instruments"/>
    <s v="$6.36M"/>
    <n v="6360000"/>
    <n v="382.47"/>
    <n v="18.66"/>
    <n v="177958701"/>
    <d v="2025-07-15T00:00:00"/>
    <s v="Complete"/>
    <m/>
  </r>
  <r>
    <s v="tguiraui8"/>
    <s v="ox.ac.uk"/>
    <s v="Tresa"/>
    <s v="Guirau"/>
    <s v="Female"/>
    <s v="Female"/>
    <s v="130.116.6.44"/>
    <s v="12.155.68.28"/>
    <n v="657"/>
    <n v="657"/>
    <s v="NYSE"/>
    <s v="CAF"/>
    <s v="Morgan Stanley China A Share Fund Inc."/>
    <x v="2"/>
    <s v="N/A"/>
    <s v="$474.83M"/>
    <n v="474830000"/>
    <n v="394.28"/>
    <n v="-11.18"/>
    <n v="174600201"/>
    <d v="2022-07-17T00:00:00"/>
    <s v="Missing"/>
    <m/>
  </r>
  <r>
    <s v="wathowi9"/>
    <s v="usa.gov"/>
    <s v="Wendell"/>
    <s v="Athow"/>
    <s v="Male"/>
    <s v="Male"/>
    <s v="200.103.95.167"/>
    <s v="194.133.123.228"/>
    <n v="658"/>
    <n v="658"/>
    <s v="NASDAQ"/>
    <s v="PLXP"/>
    <s v="PLx Pharma Inc."/>
    <x v="0"/>
    <s v="Major Pharmaceuticals"/>
    <s v="$1.04M"/>
    <n v="1040000"/>
    <n v="1134.26"/>
    <n v="-10.16"/>
    <n v="83688427"/>
    <d v="2021-06-12T00:00:00"/>
    <s v="Complete"/>
    <m/>
  </r>
  <r>
    <s v="nmilingtonia"/>
    <s v="yolasite.com"/>
    <s v="Nike"/>
    <s v="Milington"/>
    <s v="Female"/>
    <s v="Female"/>
    <s v="61.247.10.95"/>
    <s v="91.62.219.8"/>
    <n v="659"/>
    <n v="659"/>
    <s v="NYSE"/>
    <s v="ACP"/>
    <s v="Avenue Income Credit Strategies Fund"/>
    <x v="2"/>
    <s v="N/A"/>
    <s v="$185.39M"/>
    <n v="185390000"/>
    <n v="442.18"/>
    <n v="18.2"/>
    <n v="53913490"/>
    <d v="2020-03-20T00:00:00"/>
    <s v="Missing"/>
    <m/>
  </r>
  <r>
    <s v="csquibbsib"/>
    <s v="arizona.edu"/>
    <s v="Chastity"/>
    <s v="Squibbs"/>
    <s v="Female"/>
    <s v="Female"/>
    <s v="86.143.197.131"/>
    <s v="164.218.15.66"/>
    <n v="660"/>
    <n v="660"/>
    <s v="NYSE"/>
    <s v="CFR"/>
    <s v="Cullen/Frost Bankers, Inc."/>
    <x v="3"/>
    <s v="Major Banks"/>
    <s v="$6.19B"/>
    <n v="6190000000"/>
    <n v="17.89"/>
    <n v="-5.24"/>
    <n v="99215224"/>
    <d v="2025-06-30T00:00:00"/>
    <s v="Complete"/>
    <m/>
  </r>
  <r>
    <s v="bbirthic"/>
    <s v="intel.com"/>
    <s v="Baryram"/>
    <s v="Birth"/>
    <s v="Male"/>
    <s v="Male"/>
    <s v="2.252.47.104"/>
    <s v="75.181.80.239"/>
    <n v="661"/>
    <n v="661"/>
    <s v="NYSE"/>
    <s v="PLT"/>
    <s v="Plantronics, Inc."/>
    <x v="8"/>
    <s v="Telecommunications Equipment"/>
    <s v="$1.8B"/>
    <n v="1800000000"/>
    <n v="428.31"/>
    <n v="2.46"/>
    <n v="149429554"/>
    <d v="2025-02-06T00:00:00"/>
    <s v="Complete"/>
    <m/>
  </r>
  <r>
    <s v="gferronelid"/>
    <s v="dailymotion.com"/>
    <s v="Gerome"/>
    <s v="Ferronel"/>
    <s v="Male"/>
    <s v="Male"/>
    <s v="45.58.82.111"/>
    <s v="8.140.78.136"/>
    <n v="662"/>
    <n v="662"/>
    <s v="NYSE"/>
    <s v="HIL"/>
    <s v="Hill International, Inc."/>
    <x v="6"/>
    <s v="Military/Government/Technical"/>
    <s v="$251.61M"/>
    <n v="251610000"/>
    <n v="1894.67"/>
    <n v="-16.53"/>
    <n v="123706943"/>
    <d v="2024-04-01T00:00:00"/>
    <s v="Complete"/>
    <m/>
  </r>
  <r>
    <s v="amcmillamie"/>
    <s v="phoca.cz"/>
    <s v="Avictor"/>
    <s v="McMillam"/>
    <s v="Male"/>
    <s v="Male"/>
    <s v="244.232.57.150"/>
    <s v="214.77.22.230"/>
    <n v="663"/>
    <n v="663"/>
    <s v="NYSE"/>
    <s v="THR"/>
    <s v="Thermon Group Holdings, Inc."/>
    <x v="9"/>
    <s v="Industrial Machinery/Components"/>
    <s v="$608.57M"/>
    <n v="608570000"/>
    <n v="1.38"/>
    <n v="-11.45"/>
    <n v="96700145"/>
    <d v="2021-03-13T00:00:00"/>
    <s v="Complete"/>
    <m/>
  </r>
  <r>
    <s v="pfardyif"/>
    <s v="geocities.com"/>
    <s v="Parnell"/>
    <s v="Fardy"/>
    <s v="Male"/>
    <s v="Male"/>
    <s v="21.37.177.254"/>
    <s v="64.114.102.63"/>
    <n v="664"/>
    <n v="664"/>
    <s v="NYSE"/>
    <s v="FI"/>
    <s v="Frank's International N.V."/>
    <x v="9"/>
    <s v="Oilfield Services/Equipment"/>
    <s v="$1.9B"/>
    <n v="1900000000"/>
    <n v="1815.39"/>
    <n v="-17.98"/>
    <n v="127308891"/>
    <d v="2021-12-14T00:00:00"/>
    <s v="Complete"/>
    <m/>
  </r>
  <r>
    <s v="wdoig"/>
    <s v="marketwatch.com"/>
    <s v="Wileen"/>
    <s v="Do"/>
    <s v="Female"/>
    <s v="Female"/>
    <s v="215.202.175.72"/>
    <s v="5.204.137.197"/>
    <n v="665"/>
    <n v="665"/>
    <s v="NASDAQ"/>
    <s v="CSML"/>
    <s v="IQ Chaikin U.S. Small Cap ETF"/>
    <x v="2"/>
    <s v="N/A"/>
    <s v="$74.69M"/>
    <n v="74690000"/>
    <n v="1161.26"/>
    <n v="5.39"/>
    <n v="189367133"/>
    <d v="2025-02-14T00:00:00"/>
    <s v="Missing"/>
    <m/>
  </r>
  <r>
    <s v="trebouletih"/>
    <s v="microsoft.com"/>
    <s v="Tracie"/>
    <s v="Reboulet"/>
    <s v="Male"/>
    <s v="Male"/>
    <s v="246.155.251.216"/>
    <s v="74.230.49.60"/>
    <n v="666"/>
    <n v="666"/>
    <s v="NYSE"/>
    <s v="RDS.A"/>
    <s v="Royal Dutch Shell PLC"/>
    <x v="2"/>
    <s v="N/A"/>
    <s v="N/A"/>
    <n v="0"/>
    <n v="892.38"/>
    <n v="-17.43"/>
    <n v="89206522"/>
    <d v="2025-05-28T00:00:00"/>
    <s v="Missing"/>
    <m/>
  </r>
  <r>
    <s v="tcanonii"/>
    <s v="redcross.org"/>
    <s v="Twila"/>
    <s v="Canon"/>
    <s v="Female"/>
    <s v="Female"/>
    <s v="7.239.0.166"/>
    <s v="36.124.96.251"/>
    <n v="667"/>
    <n v="667"/>
    <s v="NYSE"/>
    <s v="ATHM"/>
    <s v="Autohome Inc."/>
    <x v="4"/>
    <s v="EDP Services"/>
    <s v="$5.07B"/>
    <n v="5070000000"/>
    <n v="22.63"/>
    <n v="-14.38"/>
    <n v="49880203"/>
    <d v="2026-10-05T00:00:00"/>
    <s v="Complete"/>
    <m/>
  </r>
  <r>
    <s v="tparkeij"/>
    <s v="forbes.com"/>
    <s v="Thorny"/>
    <s v="Parke"/>
    <s v="Male"/>
    <s v="Male"/>
    <s v="3.235.140.192"/>
    <s v="175.250.87.121"/>
    <n v="668"/>
    <n v="668"/>
    <s v="NASDAQ"/>
    <s v="CHW"/>
    <s v="Calamos Global Dynamic Income Fund"/>
    <x v="2"/>
    <s v="N/A"/>
    <s v="$499.2M"/>
    <n v="499200000"/>
    <n v="1644.64"/>
    <n v="-14.04"/>
    <n v="48002957"/>
    <d v="2021-05-22T00:00:00"/>
    <s v="Missing"/>
    <m/>
  </r>
  <r>
    <s v="kivamyik"/>
    <s v="yolasite.com"/>
    <s v="Karole"/>
    <s v="Ivamy"/>
    <s v="Female"/>
    <s v="Female"/>
    <s v="12.185.254.15"/>
    <s v="63.85.215.28"/>
    <n v="669"/>
    <n v="669"/>
    <s v="NYSE"/>
    <s v="MAN"/>
    <s v="ManpowerGroup"/>
    <x v="4"/>
    <s v="Professional Services"/>
    <s v="$7.22B"/>
    <n v="7220000000"/>
    <n v="237.59"/>
    <n v="-14.45"/>
    <n v="144967503"/>
    <d v="2022-05-13T00:00:00"/>
    <s v="Complete"/>
    <m/>
  </r>
  <r>
    <s v="dchuckil"/>
    <s v="amazon.co.jp"/>
    <s v="Darline"/>
    <s v="Chuck"/>
    <s v="Female"/>
    <s v="Female"/>
    <s v="148.16.90.178"/>
    <s v="228.72.191.88"/>
    <n v="670"/>
    <n v="670"/>
    <s v="NASDAQ"/>
    <s v="SNC"/>
    <s v="State National Companies, Inc."/>
    <x v="3"/>
    <s v="Property-Casualty Insurers"/>
    <s v="$736.77M"/>
    <n v="736770000"/>
    <n v="1793.87"/>
    <n v="10.41"/>
    <n v="28248361"/>
    <d v="2022-12-02T00:00:00"/>
    <s v="Complete"/>
    <m/>
  </r>
  <r>
    <s v="jwemesim"/>
    <s v="merriam-webster.com"/>
    <s v="Juliann"/>
    <s v="Wemes"/>
    <s v="Agender"/>
    <s v="Other"/>
    <s v="14.242.206.19"/>
    <s v="131.169.246.224"/>
    <n v="671"/>
    <n v="671"/>
    <s v="NASDAQ"/>
    <s v="ACIU"/>
    <s v="AC Immune SA"/>
    <x v="0"/>
    <s v="Major Pharmaceuticals"/>
    <s v="$484.41M"/>
    <n v="484410000"/>
    <n v="123.03"/>
    <n v="-13.88"/>
    <n v="18125385"/>
    <d v="2024-05-15T00:00:00"/>
    <s v="Complete"/>
    <m/>
  </r>
  <r>
    <s v="heddiesin"/>
    <s v="businessweek.com"/>
    <s v="Ham"/>
    <s v="Eddies"/>
    <s v="Male"/>
    <s v="Male"/>
    <s v="34.217.224.233"/>
    <s v="81.98.3.88"/>
    <n v="672"/>
    <n v="672"/>
    <s v="NYSE"/>
    <s v="FRC^D"/>
    <s v="FIRST REPUBLIC BANK"/>
    <x v="2"/>
    <s v="N/A"/>
    <s v="N/A"/>
    <n v="0"/>
    <n v="1817.26"/>
    <n v="-19.39"/>
    <n v="16466746"/>
    <d v="2020-08-28T00:00:00"/>
    <s v="Missing"/>
    <m/>
  </r>
  <r>
    <s v="aorrocksio"/>
    <s v="drupal.org"/>
    <s v="Amerigo"/>
    <s v="Orrocks"/>
    <s v="Male"/>
    <s v="Male"/>
    <s v="179.47.113.202"/>
    <s v="172.87.218.228"/>
    <n v="673"/>
    <n v="673"/>
    <s v="NASDAQ"/>
    <s v="OCRX"/>
    <s v="Ocera Therapeutics, Inc."/>
    <x v="0"/>
    <s v="Major Pharmaceuticals"/>
    <s v="$25.45M"/>
    <n v="25450000"/>
    <n v="2.0299999999999998"/>
    <n v="8.1999999999999993"/>
    <n v="12069237"/>
    <d v="2023-05-08T00:00:00"/>
    <s v="Complete"/>
    <m/>
  </r>
  <r>
    <s v="gfergysonip"/>
    <s v="theguardian.com"/>
    <s v="Gualterio"/>
    <s v="Fergyson"/>
    <s v="Male"/>
    <s v="Male"/>
    <s v="101.24.74.34"/>
    <s v="203.67.245.91"/>
    <n v="674"/>
    <n v="674"/>
    <s v="NASDAQ"/>
    <s v="VIRC"/>
    <s v="Virco Manufacturing Corporation"/>
    <x v="11"/>
    <s v="Industrial Specialties"/>
    <s v="$70.59M"/>
    <n v="70590000"/>
    <n v="1968.91"/>
    <n v="-16.920000000000002"/>
    <n v="111767598"/>
    <d v="2025-10-06T00:00:00"/>
    <s v="Complete"/>
    <m/>
  </r>
  <r>
    <s v="mogreadyiq"/>
    <s v="behance.net"/>
    <s v="Malanie"/>
    <s v="O'Gready"/>
    <s v="Female"/>
    <s v="Female"/>
    <s v="52.233.103.230"/>
    <s v="190.29.103.75"/>
    <n v="675"/>
    <n v="675"/>
    <s v="NYSE"/>
    <s v="SQNS"/>
    <s v="Sequans Communications S.A."/>
    <x v="4"/>
    <s v="Semiconductors"/>
    <s v="$299.74M"/>
    <n v="299740000"/>
    <n v="801.98"/>
    <n v="-14.85"/>
    <n v="52741738"/>
    <d v="2023-11-21T00:00:00"/>
    <s v="Complete"/>
    <m/>
  </r>
  <r>
    <s v="rsellarir"/>
    <s v="tamu.edu"/>
    <s v="Rahel"/>
    <s v="Sellar"/>
    <s v="Female"/>
    <s v="Female"/>
    <s v="220.51.241.140"/>
    <s v="234.171.101.137"/>
    <n v="676"/>
    <n v="676"/>
    <s v="NASDAQ"/>
    <s v="SQBG"/>
    <s v="Sequential Brands Group, Inc."/>
    <x v="5"/>
    <s v="Apparel"/>
    <s v="$237.5M"/>
    <n v="237500000"/>
    <n v="1541.53"/>
    <n v="1.96"/>
    <n v="127190269"/>
    <d v="2023-06-12T00:00:00"/>
    <s v="Complete"/>
    <m/>
  </r>
  <r>
    <s v="ighiroldiis"/>
    <s v="over-blog.com"/>
    <s v="Ignacius"/>
    <s v="Ghiroldi"/>
    <s v="Male"/>
    <s v="Male"/>
    <s v="129.151.101.84"/>
    <s v="126.65.82.45"/>
    <n v="677"/>
    <n v="677"/>
    <s v="NYSE"/>
    <s v="PMM"/>
    <s v="Putnam Managed Municipal Income Trust"/>
    <x v="2"/>
    <s v="N/A"/>
    <s v="$406.45M"/>
    <n v="406450000"/>
    <n v="1892.52"/>
    <n v="-9.0500000000000007"/>
    <n v="20372965"/>
    <d v="2023-06-11T00:00:00"/>
    <s v="Missing"/>
    <m/>
  </r>
  <r>
    <s v="efidgettit"/>
    <s v="aboutads.info"/>
    <s v="Elias"/>
    <s v="Fidgett"/>
    <s v="Male"/>
    <s v="Male"/>
    <s v="250.70.112.143"/>
    <s v="209.207.253.121"/>
    <n v="678"/>
    <n v="678"/>
    <s v="NASDAQ"/>
    <s v="CAMP"/>
    <s v="CalAmp Corp."/>
    <x v="4"/>
    <s v="Radio And Television Broadcasting And Communications Equipment"/>
    <s v="$685.07M"/>
    <n v="685070000"/>
    <n v="1098.3"/>
    <n v="-11.51"/>
    <n v="139872771"/>
    <d v="2025-03-07T00:00:00"/>
    <s v="Complete"/>
    <m/>
  </r>
  <r>
    <s v="gendecottiu"/>
    <s v="purevolume.com"/>
    <s v="Giffard"/>
    <s v="Endecott"/>
    <s v="Male"/>
    <s v="Male"/>
    <s v="131.241.147.254"/>
    <s v="182.113.67.231"/>
    <n v="679"/>
    <n v="679"/>
    <s v="NASDAQ"/>
    <s v="FNSR"/>
    <s v="Finisar Corporation"/>
    <x v="4"/>
    <s v="Semiconductors"/>
    <s v="$3.1B"/>
    <n v="3100000000"/>
    <n v="1577.39"/>
    <n v="-14.98"/>
    <n v="171511228"/>
    <d v="2025-12-15T00:00:00"/>
    <s v="Complete"/>
    <m/>
  </r>
  <r>
    <s v="dbonnettiv"/>
    <s v="smugmug.com"/>
    <s v="Dianemarie"/>
    <s v="Bonnett"/>
    <s v="Female"/>
    <s v="Female"/>
    <s v="144.93.171.144"/>
    <s v="196.46.253.232"/>
    <n v="680"/>
    <n v="680"/>
    <s v="NYSE"/>
    <s v="LNT"/>
    <s v="Alliant Energy Corporation"/>
    <x v="8"/>
    <s v="Power Generation"/>
    <s v="$9.61B"/>
    <n v="9610000000"/>
    <n v="982.23"/>
    <n v="-19.23"/>
    <n v="151598762"/>
    <d v="2025-04-12T00:00:00"/>
    <s v="Complete"/>
    <m/>
  </r>
  <r>
    <s v="ulewtyiw"/>
    <s v="1688.com"/>
    <s v="Ulrikaumeko"/>
    <s v="Lewty"/>
    <s v="Female"/>
    <s v="Female"/>
    <s v="17.176.169.160"/>
    <s v="4.12.241.14"/>
    <n v="681"/>
    <n v="681"/>
    <s v="NASDAQ"/>
    <s v="DEST"/>
    <s v="Destination Maternity Corporation"/>
    <x v="6"/>
    <s v="Clothing/Shoe/Accessory Stores"/>
    <s v="$64.48M"/>
    <n v="64480000.000000007"/>
    <n v="1417.29"/>
    <n v="5.53"/>
    <n v="82540267"/>
    <d v="2021-01-08T00:00:00"/>
    <s v="Complete"/>
    <m/>
  </r>
  <r>
    <s v="rgeneverix"/>
    <s v="hp.com"/>
    <s v="Rosalie"/>
    <s v="Genever"/>
    <s v="Female"/>
    <s v="Female"/>
    <s v="231.56.176.140"/>
    <s v="232.119.117.171"/>
    <n v="682"/>
    <n v="682"/>
    <s v="NASDAQ"/>
    <s v="IEUS"/>
    <s v="iShares MSCI Europe Small-Cap ETF"/>
    <x v="2"/>
    <s v="N/A"/>
    <s v="$126.72M"/>
    <n v="126720000"/>
    <n v="809.71"/>
    <n v="-8.8699999999999992"/>
    <n v="179052736"/>
    <d v="2022-08-24T00:00:00"/>
    <s v="Missing"/>
    <m/>
  </r>
  <r>
    <s v="pwaneiy"/>
    <s v="etsy.com"/>
    <s v="Patty"/>
    <s v="Wane"/>
    <s v="Female"/>
    <s v="Female"/>
    <s v="215.129.98.134"/>
    <s v="230.142.80.154"/>
    <n v="683"/>
    <n v="683"/>
    <s v="NASDAQ"/>
    <s v="CHUBA"/>
    <s v="CommerceHub, Inc."/>
    <x v="4"/>
    <s v="Computer Software: Prepackaged Software"/>
    <s v="$725.75M"/>
    <n v="725750000"/>
    <n v="824.71"/>
    <n v="-3.19"/>
    <n v="195917557"/>
    <d v="2024-08-05T00:00:00"/>
    <s v="Complete"/>
    <m/>
  </r>
  <r>
    <s v="tlongmuiriz"/>
    <s v="rambler.ru"/>
    <s v="Tybalt"/>
    <s v="Longmuir"/>
    <s v="Agender"/>
    <s v="Other"/>
    <s v="164.187.13.250"/>
    <s v="210.178.184.155"/>
    <n v="684"/>
    <n v="684"/>
    <s v="NYSE"/>
    <s v="CIM^B"/>
    <s v="Chimera Investment Corporation"/>
    <x v="2"/>
    <s v="N/A"/>
    <s v="N/A"/>
    <n v="0"/>
    <n v="844.64"/>
    <n v="-8.1999999999999993"/>
    <n v="148510810"/>
    <d v="2023-12-05T00:00:00"/>
    <s v="Missing"/>
    <m/>
  </r>
  <r>
    <s v="cmcgeouchj0"/>
    <s v="seattletimes.com"/>
    <s v="Conni"/>
    <s v="McGeouch"/>
    <s v="Female"/>
    <s v="Female"/>
    <s v="215.139.220.28"/>
    <s v="148.76.78.162"/>
    <n v="685"/>
    <n v="685"/>
    <s v="NYSE"/>
    <s v="EVG"/>
    <s v="Eaton Vance Short Diversified Income Fund"/>
    <x v="2"/>
    <s v="N/A"/>
    <s v="$252.83M"/>
    <n v="252830000"/>
    <n v="1281.99"/>
    <n v="4.68"/>
    <n v="181488968"/>
    <d v="2024-02-06T00:00:00"/>
    <s v="Missing"/>
    <m/>
  </r>
  <r>
    <s v="aditchfieldj1"/>
    <s v="bloomberg.com"/>
    <s v="Amii"/>
    <s v="Ditchfield"/>
    <s v="Female"/>
    <s v="Female"/>
    <s v="79.76.128.219"/>
    <s v="158.248.20.34"/>
    <n v="686"/>
    <n v="686"/>
    <s v="NYSE"/>
    <s v="CLI"/>
    <s v="Mack-Cali Realty Corporation"/>
    <x v="6"/>
    <s v="Real Estate Investment Trusts"/>
    <s v="$2.54B"/>
    <n v="2540000000"/>
    <n v="1277.8800000000001"/>
    <n v="-4.78"/>
    <n v="139256681"/>
    <d v="2024-08-28T00:00:00"/>
    <s v="Complete"/>
    <m/>
  </r>
  <r>
    <s v="jpahlj2"/>
    <s v="etsy.com"/>
    <s v="Jessie"/>
    <s v="Pahl"/>
    <s v="Female"/>
    <s v="Female"/>
    <s v="32.213.194.132"/>
    <s v="84.35.239.212"/>
    <n v="687"/>
    <n v="687"/>
    <s v="NASDAQ"/>
    <s v="MITK"/>
    <s v="Mitek Systems, Inc."/>
    <x v="4"/>
    <s v="Computer peripheral equipment"/>
    <s v="$280.33M"/>
    <n v="280330000"/>
    <n v="421.19"/>
    <n v="-11.26"/>
    <n v="5136197"/>
    <d v="2022-05-26T00:00:00"/>
    <s v="Complete"/>
    <m/>
  </r>
  <r>
    <s v="rfeatenbyj3"/>
    <s v="utexas.edu"/>
    <s v="Ramsay"/>
    <s v="Featenby"/>
    <s v="Male"/>
    <s v="Male"/>
    <s v="152.5.176.94"/>
    <s v="193.90.199.217"/>
    <n v="688"/>
    <n v="688"/>
    <s v="NASDAQ"/>
    <s v="NYMTO"/>
    <s v="New York Mortgage Trust, Inc."/>
    <x v="6"/>
    <s v="Real Estate Investment Trusts"/>
    <s v="N/A"/>
    <n v="0"/>
    <n v="662.56"/>
    <n v="10.96"/>
    <n v="69214959"/>
    <d v="2025-08-02T00:00:00"/>
    <s v="Missing"/>
    <m/>
  </r>
  <r>
    <s v="vbrentj4"/>
    <s v="bing.com"/>
    <s v="Vinni"/>
    <s v="Brent"/>
    <s v="Bigender"/>
    <s v="Other"/>
    <s v="144.153.85.21"/>
    <s v="90.36.12.187"/>
    <n v="689"/>
    <n v="689"/>
    <s v="NYSE"/>
    <s v="STI.WS.B"/>
    <s v="SunTrust Banks, Inc."/>
    <x v="2"/>
    <s v="N/A"/>
    <s v="N/A"/>
    <n v="0"/>
    <n v="1747.03"/>
    <n v="-15.39"/>
    <n v="17869487"/>
    <d v="2026-04-14T00:00:00"/>
    <s v="Missing"/>
    <m/>
  </r>
  <r>
    <s v="mmustoj5"/>
    <s v="dedecms.com"/>
    <s v="Mignon"/>
    <s v="Musto"/>
    <s v="Female"/>
    <s v="Female"/>
    <s v="118.138.143.243"/>
    <s v="19.143.150.163"/>
    <n v="690"/>
    <n v="690"/>
    <s v="NYSE"/>
    <s v="RXN^A"/>
    <s v="Rexnord Corporation"/>
    <x v="2"/>
    <s v="N/A"/>
    <s v="N/A"/>
    <n v="0"/>
    <n v="905.05"/>
    <n v="-11.61"/>
    <n v="81399534"/>
    <d v="2020-03-28T00:00:00"/>
    <s v="Missing"/>
    <m/>
  </r>
  <r>
    <s v="fjeromsonj6"/>
    <s v="samsung.com"/>
    <s v="Farlay"/>
    <s v="Jeromson"/>
    <s v="Male"/>
    <s v="Male"/>
    <s v="6.129.68.53"/>
    <s v="185.245.169.214"/>
    <n v="691"/>
    <n v="691"/>
    <s v="NYSE"/>
    <s v="CHK^D"/>
    <s v="Chesapeake Energy Corporation"/>
    <x v="2"/>
    <s v="N/A"/>
    <s v="N/A"/>
    <n v="0"/>
    <n v="1000.82"/>
    <n v="-13.54"/>
    <n v="81537237"/>
    <d v="2025-07-19T00:00:00"/>
    <s v="Missing"/>
    <m/>
  </r>
  <r>
    <s v="cmaylingj7"/>
    <s v="vistaprint.com"/>
    <s v="Christine"/>
    <s v="Mayling"/>
    <s v="Female"/>
    <s v="Female"/>
    <s v="62.136.212.111"/>
    <s v="196.210.213.116"/>
    <n v="692"/>
    <n v="692"/>
    <s v="NASDAQ"/>
    <s v="FIZZ"/>
    <s v="National Beverage Corp."/>
    <x v="5"/>
    <s v="Beverages (Production/Distribution)"/>
    <s v="$4.16B"/>
    <n v="4160000000"/>
    <n v="1666.04"/>
    <n v="-11.54"/>
    <n v="80619274"/>
    <d v="2026-12-11T00:00:00"/>
    <s v="Complete"/>
    <m/>
  </r>
  <r>
    <s v="vodeej8"/>
    <s v="census.gov"/>
    <s v="Vernor"/>
    <s v="O'Dee"/>
    <s v="Male"/>
    <s v="Male"/>
    <s v="58.55.55.28"/>
    <s v="145.213.249.36"/>
    <n v="693"/>
    <n v="693"/>
    <s v="NYSE"/>
    <s v="AM"/>
    <s v="Antero Midstream Partners LP"/>
    <x v="8"/>
    <s v="Natural Gas Distribution"/>
    <s v="$6.02B"/>
    <n v="6020000000"/>
    <n v="441.56"/>
    <n v="-19.63"/>
    <n v="92644834"/>
    <d v="2024-07-11T00:00:00"/>
    <s v="Complete"/>
    <m/>
  </r>
  <r>
    <s v="rmcinultyj9"/>
    <s v="msn.com"/>
    <s v="Rosabel"/>
    <s v="McInulty"/>
    <s v="Female"/>
    <s v="Female"/>
    <s v="37.42.150.160"/>
    <s v="57.29.25.90"/>
    <n v="694"/>
    <n v="694"/>
    <s v="NYSE"/>
    <s v="KBH"/>
    <s v="KB Home"/>
    <x v="1"/>
    <s v="Homebuilding"/>
    <s v="$1.84B"/>
    <n v="1840000000"/>
    <n v="196.22"/>
    <n v="-18.05"/>
    <n v="195937062"/>
    <d v="2020-10-19T00:00:00"/>
    <s v="Complete"/>
    <m/>
  </r>
  <r>
    <s v="fbowerbankja"/>
    <s v="rambler.ru"/>
    <s v="Franchot"/>
    <s v="Bowerbank"/>
    <s v="Male"/>
    <s v="Male"/>
    <s v="111.126.11.57"/>
    <s v="119.93.42.121"/>
    <n v="695"/>
    <n v="695"/>
    <s v="NYSE"/>
    <s v="RYAM^A"/>
    <s v="Rayonier Advanced Materials Inc."/>
    <x v="2"/>
    <s v="N/A"/>
    <s v="N/A"/>
    <n v="0"/>
    <n v="816.76"/>
    <n v="-4.3499999999999996"/>
    <n v="60087983"/>
    <d v="2026-02-19T00:00:00"/>
    <s v="Missing"/>
    <m/>
  </r>
  <r>
    <s v="bairsjb"/>
    <s v="arstechnica.com"/>
    <s v="Benedicto"/>
    <s v="Airs"/>
    <s v="Bigender"/>
    <s v="Other"/>
    <s v="197.52.195.143"/>
    <s v="124.187.98.91"/>
    <n v="696"/>
    <n v="696"/>
    <s v="NASDAQ"/>
    <s v="HUNTW"/>
    <s v="Hunter Maritime Acquisition Corp."/>
    <x v="12"/>
    <s v="Oil Refining/Marketing"/>
    <s v="N/A"/>
    <n v="0"/>
    <n v="1663.75"/>
    <n v="9.76"/>
    <n v="33671140"/>
    <d v="2022-03-21T00:00:00"/>
    <s v="Missing"/>
    <m/>
  </r>
  <r>
    <s v="tpagetjc"/>
    <s v="marketwatch.com"/>
    <s v="Talbert"/>
    <s v="Paget"/>
    <s v="Male"/>
    <s v="Male"/>
    <s v="51.15.114.123"/>
    <s v="12.199.191.253"/>
    <n v="697"/>
    <n v="697"/>
    <s v="NYSE"/>
    <s v="VZ"/>
    <s v="Verizon Communications Inc."/>
    <x v="8"/>
    <s v="Telecommunications Equipment"/>
    <s v="$190.22B"/>
    <n v="190220000000"/>
    <n v="23.61"/>
    <n v="-19.18"/>
    <n v="135172221"/>
    <d v="2026-12-16T00:00:00"/>
    <s v="Complete"/>
    <m/>
  </r>
  <r>
    <s v="fturbaynejd"/>
    <s v="archive.org"/>
    <s v="Felipe"/>
    <s v="Turbayne"/>
    <s v="Male"/>
    <s v="Male"/>
    <s v="143.225.234.191"/>
    <s v="27.131.169.50"/>
    <n v="698"/>
    <n v="698"/>
    <s v="NASDAQ"/>
    <s v="XPER"/>
    <s v="Xperi Corporation"/>
    <x v="4"/>
    <s v="Semiconductors"/>
    <s v="$1.49B"/>
    <n v="1490000000"/>
    <n v="1278.67"/>
    <n v="-5.07"/>
    <n v="51663866"/>
    <d v="2020-06-29T00:00:00"/>
    <s v="Complete"/>
    <m/>
  </r>
  <r>
    <s v="wshentonje"/>
    <s v="blogtalkradio.com"/>
    <s v="Winthrop"/>
    <s v="Shenton"/>
    <s v="Male"/>
    <s v="Male"/>
    <s v="195.61.158.42"/>
    <s v="231.85.5.93"/>
    <n v="699"/>
    <n v="699"/>
    <s v="NYSE"/>
    <s v="DLX"/>
    <s v="Deluxe Corporation"/>
    <x v="11"/>
    <s v="Publishing"/>
    <s v="$3.46B"/>
    <n v="3460000000"/>
    <n v="931.8"/>
    <n v="-19.16"/>
    <n v="71940359"/>
    <d v="2022-05-14T00:00:00"/>
    <s v="Complete"/>
    <m/>
  </r>
  <r>
    <s v="vdecentjf"/>
    <s v="earthlink.net"/>
    <s v="Vanni"/>
    <s v="Decent"/>
    <s v="Female"/>
    <s v="Female"/>
    <s v="111.214.149.226"/>
    <s v="150.237.40.87"/>
    <n v="700"/>
    <n v="700"/>
    <s v="NYSE"/>
    <s v="CHH"/>
    <s v="Choice Hotels International, Inc."/>
    <x v="6"/>
    <s v="Hotels/Resorts"/>
    <s v="$3.75B"/>
    <n v="3750000000"/>
    <n v="1157.08"/>
    <n v="-0.17"/>
    <n v="87369071"/>
    <d v="2023-09-13T00:00:00"/>
    <s v="Complete"/>
    <m/>
  </r>
  <r>
    <s v="othakejg"/>
    <s v="nationalgeographic.com"/>
    <s v="Olimpia"/>
    <s v="Thake"/>
    <s v="Genderfluid"/>
    <s v="Other"/>
    <s v="27.97.216.82"/>
    <s v="238.101.221.0"/>
    <n v="701"/>
    <n v="701"/>
    <s v="NYSE"/>
    <s v="AI"/>
    <s v="Arlington Asset Investment Corp"/>
    <x v="3"/>
    <s v="Finance/Investors Services"/>
    <s v="$352.64M"/>
    <n v="352640000"/>
    <n v="483.92"/>
    <n v="16.170000000000002"/>
    <n v="175485118"/>
    <d v="2023-02-26T00:00:00"/>
    <s v="Complete"/>
    <m/>
  </r>
  <r>
    <s v="dpatkinjh"/>
    <s v="engadget.com"/>
    <s v="Dag"/>
    <s v="Patkin"/>
    <s v="Male"/>
    <s v="Male"/>
    <s v="207.15.204.152"/>
    <s v="18.34.14.57"/>
    <n v="702"/>
    <n v="702"/>
    <s v="NASDAQ"/>
    <s v="AKRX"/>
    <s v="Akorn, Inc."/>
    <x v="0"/>
    <s v="Major Pharmaceuticals"/>
    <s v="$4.17B"/>
    <n v="4170000000"/>
    <n v="1877.6"/>
    <n v="7.5"/>
    <n v="148252651"/>
    <d v="2022-03-06T00:00:00"/>
    <s v="Complete"/>
    <m/>
  </r>
  <r>
    <s v="rlantji"/>
    <s v="toplist.cz"/>
    <s v="Rosalinde"/>
    <s v="Lant"/>
    <s v="Female"/>
    <s v="Female"/>
    <s v="125.185.101.157"/>
    <s v="137.144.59.14"/>
    <n v="703"/>
    <n v="703"/>
    <s v="NYSE"/>
    <s v="NSR"/>
    <s v="Neustar, Inc."/>
    <x v="6"/>
    <s v="Telecommunications Equipment"/>
    <s v="$1.87B"/>
    <n v="1870000000"/>
    <n v="217.95"/>
    <n v="-18.89"/>
    <n v="148989550"/>
    <d v="2023-09-11T00:00:00"/>
    <s v="Complete"/>
    <m/>
  </r>
  <r>
    <s v="bcomberbeachjj"/>
    <s v="digg.com"/>
    <s v="Bren"/>
    <s v="Comberbeach"/>
    <s v="Male"/>
    <s v="Male"/>
    <s v="206.214.80.17"/>
    <s v="27.54.8.180"/>
    <n v="704"/>
    <n v="704"/>
    <s v="NYSE"/>
    <s v="CIO^A"/>
    <s v="City Office REIT, Inc."/>
    <x v="2"/>
    <s v="N/A"/>
    <s v="N/A"/>
    <n v="0"/>
    <n v="394.84"/>
    <n v="13.88"/>
    <n v="84495632"/>
    <d v="2023-01-16T00:00:00"/>
    <s v="Missing"/>
    <m/>
  </r>
  <r>
    <s v="mcoddringtonjk"/>
    <s v="amazonaws.com"/>
    <s v="Malissa"/>
    <s v="Coddrington"/>
    <s v="Female"/>
    <s v="Female"/>
    <s v="24.73.45.60"/>
    <s v="189.46.117.138"/>
    <n v="705"/>
    <n v="705"/>
    <s v="NYSE"/>
    <s v="VEC"/>
    <s v="Vectrus, Inc."/>
    <x v="6"/>
    <s v="Diversified Commercial Services"/>
    <s v="$340.82M"/>
    <n v="340820000"/>
    <n v="1237.92"/>
    <n v="-7.79"/>
    <n v="151184265"/>
    <d v="2025-11-21T00:00:00"/>
    <s v="Complete"/>
    <m/>
  </r>
  <r>
    <s v="smandeljl"/>
    <s v="pen.io"/>
    <s v="Stephanus"/>
    <s v="Mandel"/>
    <s v="Male"/>
    <s v="Male"/>
    <s v="255.121.62.120"/>
    <s v="114.90.204.112"/>
    <n v="706"/>
    <n v="706"/>
    <s v="NYSE"/>
    <s v="SFR"/>
    <s v="Colony Starwood Homes"/>
    <x v="6"/>
    <s v="Real Estate Investment Trusts"/>
    <s v="$4.37B"/>
    <n v="4370000000"/>
    <n v="1468.12"/>
    <n v="-15.32"/>
    <n v="120612582"/>
    <d v="2022-03-21T00:00:00"/>
    <s v="Complete"/>
    <m/>
  </r>
  <r>
    <s v="eperottijm"/>
    <s v="ow.ly"/>
    <s v="Ewell"/>
    <s v="Perotti"/>
    <s v="Male"/>
    <s v="Male"/>
    <s v="128.148.16.190"/>
    <s v="23.33.153.225"/>
    <n v="707"/>
    <n v="707"/>
    <s v="NASDAQ"/>
    <s v="DHXM"/>
    <s v="DHX Media Ltd."/>
    <x v="2"/>
    <s v="N/A"/>
    <s v="$122.51M"/>
    <n v="122510000"/>
    <n v="1466.61"/>
    <n v="-14.59"/>
    <n v="42267894"/>
    <d v="2024-01-15T00:00:00"/>
    <s v="Missing"/>
    <m/>
  </r>
  <r>
    <s v="cmcmurtyjn"/>
    <s v="mayoclinic.com"/>
    <s v="Charlena"/>
    <s v="McMurty"/>
    <s v="Female"/>
    <s v="Female"/>
    <s v="48.5.19.143"/>
    <s v="125.9.70.35"/>
    <n v="708"/>
    <n v="708"/>
    <s v="NASDAQ"/>
    <s v="GBCI"/>
    <s v="Glacier Bancorp, Inc."/>
    <x v="3"/>
    <s v="Major Banks"/>
    <s v="$2.8B"/>
    <n v="2800000000"/>
    <n v="247.35"/>
    <n v="3.34"/>
    <n v="80258598"/>
    <d v="2026-02-06T00:00:00"/>
    <s v="Complete"/>
    <m/>
  </r>
  <r>
    <s v="islaterjo"/>
    <s v="hud.gov"/>
    <s v="Isak"/>
    <s v="Slater"/>
    <s v="Male"/>
    <s v="Male"/>
    <s v="244.197.173.48"/>
    <s v="178.124.103.75"/>
    <n v="709"/>
    <n v="709"/>
    <s v="NYSE"/>
    <s v="GPC"/>
    <s v="Genuine Parts Company"/>
    <x v="1"/>
    <s v="Automotive Aftermarket"/>
    <s v="$14.09B"/>
    <n v="14090000000"/>
    <n v="1285.1400000000001"/>
    <n v="-1.84"/>
    <n v="125142117"/>
    <d v="2022-04-27T00:00:00"/>
    <s v="Complete"/>
    <m/>
  </r>
  <r>
    <s v="dhaguejp"/>
    <s v="blogtalkradio.com"/>
    <s v="Darn"/>
    <s v="Hague"/>
    <s v="Male"/>
    <s v="Male"/>
    <s v="186.112.43.66"/>
    <s v="22.154.28.254"/>
    <n v="710"/>
    <n v="710"/>
    <s v="NASDAQ"/>
    <s v="NAUH"/>
    <s v="National American University Holdings, Inc."/>
    <x v="6"/>
    <s v="Other Consumer Services"/>
    <s v="$63.95M"/>
    <n v="63950000"/>
    <n v="932.9"/>
    <n v="-16.47"/>
    <n v="145596926"/>
    <d v="2026-10-01T00:00:00"/>
    <s v="Complete"/>
    <m/>
  </r>
  <r>
    <s v="bwiggjq"/>
    <s v="forbes.com"/>
    <s v="Bron"/>
    <s v="Wigg"/>
    <s v="Male"/>
    <s v="Male"/>
    <s v="24.246.200.217"/>
    <s v="184.179.219.193"/>
    <n v="711"/>
    <n v="711"/>
    <s v="NYSE"/>
    <s v="GTY"/>
    <s v="Getty Realty Corporation"/>
    <x v="3"/>
    <s v="Real Estate"/>
    <s v="$896.38M"/>
    <n v="896380000"/>
    <n v="1009.2"/>
    <n v="4.1399999999999997"/>
    <n v="139637693"/>
    <d v="2022-08-08T00:00:00"/>
    <s v="Complete"/>
    <m/>
  </r>
  <r>
    <s v="htomsajr"/>
    <s v="cam.ac.uk"/>
    <s v="Hamil"/>
    <s v="Tomsa"/>
    <s v="Male"/>
    <s v="Male"/>
    <s v="4.64.123.16"/>
    <s v="166.133.198.57"/>
    <n v="712"/>
    <n v="712"/>
    <s v="NASDAQ"/>
    <s v="TST"/>
    <s v="TheStreet, Inc."/>
    <x v="6"/>
    <s v="Newspapers/Magazines"/>
    <s v="$30.31M"/>
    <n v="30310000"/>
    <n v="581.98"/>
    <n v="17.62"/>
    <n v="64942562"/>
    <d v="2021-05-01T00:00:00"/>
    <s v="Complete"/>
    <m/>
  </r>
  <r>
    <s v="kgostalljs"/>
    <s v="epa.gov"/>
    <s v="Karlie"/>
    <s v="Gostall"/>
    <s v="Female"/>
    <s v="Female"/>
    <s v="239.47.228.163"/>
    <s v="134.232.17.92"/>
    <n v="713"/>
    <n v="713"/>
    <s v="NYSE"/>
    <s v="ALL^C"/>
    <s v="Allstate Corporation (The)"/>
    <x v="2"/>
    <s v="N/A"/>
    <s v="N/A"/>
    <n v="0"/>
    <n v="1189.57"/>
    <n v="0.03"/>
    <n v="56261567"/>
    <d v="2024-05-19T00:00:00"/>
    <s v="Missing"/>
    <m/>
  </r>
  <r>
    <s v="fselwinjt"/>
    <s v="noaa.gov"/>
    <s v="Fayina"/>
    <s v="Selwin"/>
    <s v="Female"/>
    <s v="Female"/>
    <s v="189.199.30.227"/>
    <s v="60.88.87.159"/>
    <n v="714"/>
    <n v="714"/>
    <s v="NASDAQ"/>
    <s v="RMCF"/>
    <s v="Rocky Mountain Chocolate Factory, Inc."/>
    <x v="5"/>
    <s v="Specialty Foods"/>
    <s v="$68.38M"/>
    <n v="68380000"/>
    <n v="1855.67"/>
    <n v="8.9"/>
    <n v="149047114"/>
    <d v="2025-02-06T00:00:00"/>
    <s v="Complete"/>
    <m/>
  </r>
  <r>
    <s v="fduforeju"/>
    <s v="wikispaces.com"/>
    <s v="Farlee"/>
    <s v="Dufore"/>
    <s v="Male"/>
    <s v="Male"/>
    <s v="229.48.198.38"/>
    <s v="245.163.15.20"/>
    <n v="715"/>
    <n v="715"/>
    <s v="NYSE"/>
    <s v="FCPT"/>
    <s v="Four Corners Property Trust, Inc."/>
    <x v="6"/>
    <s v="Real Estate Investment Trusts"/>
    <s v="$1.53B"/>
    <n v="1530000000"/>
    <n v="147.33000000000001"/>
    <n v="-4.97"/>
    <n v="142813131"/>
    <d v="2024-12-06T00:00:00"/>
    <s v="Complete"/>
    <m/>
  </r>
  <r>
    <s v="skinsmanjv"/>
    <s v="zdnet.com"/>
    <s v="Shel"/>
    <s v="Kinsman"/>
    <s v="Female"/>
    <s v="Female"/>
    <s v="97.25.247.77"/>
    <s v="232.137.30.147"/>
    <n v="716"/>
    <n v="716"/>
    <s v="NYSE"/>
    <s v="TEVA"/>
    <s v="Teva Pharmaceutical Industries Limited"/>
    <x v="0"/>
    <s v="Major Pharmaceuticals"/>
    <s v="$31.41B"/>
    <n v="31410000000"/>
    <n v="359.02"/>
    <n v="15.26"/>
    <n v="185827710"/>
    <d v="2021-11-22T00:00:00"/>
    <s v="Complete"/>
    <m/>
  </r>
  <r>
    <s v="tfransemaijw"/>
    <s v="ox.ac.uk"/>
    <s v="Tad"/>
    <s v="Fransemai"/>
    <s v="Male"/>
    <s v="Male"/>
    <s v="112.18.3.214"/>
    <s v="89.96.75.57"/>
    <n v="717"/>
    <n v="717"/>
    <s v="NYSE"/>
    <s v="TREX"/>
    <s v="Trex Company, Inc."/>
    <x v="10"/>
    <s v="Forest Products"/>
    <s v="$1.99B"/>
    <n v="1990000000"/>
    <n v="1383.91"/>
    <n v="-1.99"/>
    <n v="49224057"/>
    <d v="2024-11-19T00:00:00"/>
    <s v="Complete"/>
    <m/>
  </r>
  <r>
    <s v="ywynchjx"/>
    <s v="sciencedaily.com"/>
    <s v="Yale"/>
    <s v="Wynch"/>
    <s v="Male"/>
    <s v="Male"/>
    <s v="1.38.115.231"/>
    <s v="154.79.47.171"/>
    <n v="718"/>
    <n v="718"/>
    <s v="NASDAQ"/>
    <s v="CRAY"/>
    <s v="Cray Inc"/>
    <x v="4"/>
    <s v="Computer Manufacturing"/>
    <s v="$737.25M"/>
    <n v="737250000"/>
    <n v="577.94000000000005"/>
    <n v="11.44"/>
    <n v="87514351"/>
    <d v="2024-09-27T00:00:00"/>
    <s v="Complete"/>
    <m/>
  </r>
  <r>
    <s v="bpoggjy"/>
    <s v="yellowbook.com"/>
    <s v="Bunni"/>
    <s v="Pogg"/>
    <s v="Female"/>
    <s v="Female"/>
    <s v="177.232.102.242"/>
    <s v="33.194.142.157"/>
    <n v="719"/>
    <n v="719"/>
    <s v="NYSE"/>
    <s v="SHLX"/>
    <s v="Shell Midstream Partners, L.P."/>
    <x v="9"/>
    <s v="Natural Gas Distribution"/>
    <s v="$5.1B"/>
    <n v="5100000000"/>
    <n v="113.83"/>
    <n v="16.920000000000002"/>
    <n v="129506080"/>
    <d v="2024-04-11T00:00:00"/>
    <s v="Complete"/>
    <m/>
  </r>
  <r>
    <s v="tsamettjz"/>
    <s v="kickstarter.com"/>
    <s v="Trudey"/>
    <s v="Samett"/>
    <s v="Female"/>
    <s v="Female"/>
    <s v="155.246.81.87"/>
    <s v="198.107.118.125"/>
    <n v="720"/>
    <n v="720"/>
    <s v="NYSE"/>
    <s v="AF"/>
    <s v="Astoria Financial Corporation"/>
    <x v="3"/>
    <s v="Savings Institutions"/>
    <s v="$2.06B"/>
    <n v="2060000000"/>
    <n v="1781.22"/>
    <n v="0.31"/>
    <n v="51528520"/>
    <d v="2024-07-13T00:00:00"/>
    <s v="Complete"/>
    <m/>
  </r>
  <r>
    <s v="kcamelink0"/>
    <s v="slideshare.net"/>
    <s v="Kenn"/>
    <s v="Camelin"/>
    <s v="Male"/>
    <s v="Male"/>
    <s v="132.136.201.50"/>
    <s v="96.25.213.142"/>
    <n v="721"/>
    <n v="721"/>
    <s v="NASDAQ"/>
    <s v="TGA"/>
    <s v="Transglobe Energy Corp"/>
    <x v="9"/>
    <s v="Oil &amp; Gas Production"/>
    <s v="$92.42M"/>
    <n v="92420000"/>
    <n v="1009.09"/>
    <n v="8.66"/>
    <n v="101955660"/>
    <d v="2023-10-29T00:00:00"/>
    <s v="Complete"/>
    <m/>
  </r>
  <r>
    <s v="crosenzwigk1"/>
    <s v="stanford.edu"/>
    <s v="Clywd"/>
    <s v="Rosenzwig"/>
    <s v="Male"/>
    <s v="Male"/>
    <s v="169.136.245.101"/>
    <s v="120.39.231.138"/>
    <n v="722"/>
    <n v="722"/>
    <s v="NYSE"/>
    <s v="WRB^D"/>
    <s v="W.R. Berkley Corporation"/>
    <x v="2"/>
    <s v="N/A"/>
    <s v="N/A"/>
    <n v="0"/>
    <n v="1820.6"/>
    <n v="10.7"/>
    <n v="119191930"/>
    <d v="2022-11-27T00:00:00"/>
    <s v="Missing"/>
    <m/>
  </r>
  <r>
    <s v="noherlihyk2"/>
    <s v="bloglovin.com"/>
    <s v="Nanine"/>
    <s v="Oherlihy"/>
    <s v="Female"/>
    <s v="Female"/>
    <s v="27.156.52.31"/>
    <s v="118.210.27.199"/>
    <n v="723"/>
    <n v="723"/>
    <s v="NYSE"/>
    <s v="CIR"/>
    <s v="CIRCOR International, Inc."/>
    <x v="1"/>
    <s v="Metal Fabrications"/>
    <s v="$1.08B"/>
    <n v="1080000000"/>
    <n v="446.17"/>
    <n v="15.74"/>
    <n v="7677231"/>
    <d v="2024-03-14T00:00:00"/>
    <s v="Complete"/>
    <m/>
  </r>
  <r>
    <s v="jdonalsonk3"/>
    <s v="imgur.com"/>
    <s v="Jacobo"/>
    <s v="Donalson"/>
    <s v="Male"/>
    <s v="Male"/>
    <s v="134.129.255.243"/>
    <s v="169.161.202.205"/>
    <n v="724"/>
    <n v="724"/>
    <s v="NYSE"/>
    <s v="TGNA"/>
    <s v="TEGNA Inc."/>
    <x v="6"/>
    <s v="Broadcasting"/>
    <s v="$3.26B"/>
    <n v="3260000000"/>
    <n v="1686.93"/>
    <n v="7.79"/>
    <n v="4071570"/>
    <d v="2020-04-20T00:00:00"/>
    <s v="Complete"/>
    <m/>
  </r>
  <r>
    <s v="abeedk4"/>
    <s v="desdev.cn"/>
    <s v="Ariella"/>
    <s v="Beed"/>
    <s v="Female"/>
    <s v="Female"/>
    <s v="186.150.169.98"/>
    <s v="33.196.4.118"/>
    <n v="725"/>
    <n v="725"/>
    <s v="NASDAQ"/>
    <s v="DEPO"/>
    <s v="Depomed, Inc."/>
    <x v="0"/>
    <s v="Major Pharmaceuticals"/>
    <s v="$592.24M"/>
    <n v="592240000"/>
    <n v="416.92"/>
    <n v="3.55"/>
    <n v="104051982"/>
    <d v="2022-09-15T00:00:00"/>
    <s v="Complete"/>
    <m/>
  </r>
  <r>
    <s v="edurtnelk5"/>
    <s v="nytimes.com"/>
    <s v="Ebenezer"/>
    <s v="Durtnel"/>
    <s v="Male"/>
    <s v="Male"/>
    <s v="109.161.140.9"/>
    <s v="100.255.135.57"/>
    <n v="726"/>
    <n v="726"/>
    <s v="NASDAQ"/>
    <s v="KLAC"/>
    <s v="KLA-Tencor Corporation"/>
    <x v="1"/>
    <s v="Electronic Components"/>
    <s v="$15.32B"/>
    <n v="15320000000"/>
    <n v="1557.44"/>
    <n v="-11.96"/>
    <n v="21034680"/>
    <d v="2022-09-08T00:00:00"/>
    <s v="Complete"/>
    <m/>
  </r>
  <r>
    <s v="bspentonk6"/>
    <s v="acquirethisname.com"/>
    <s v="Bertrando"/>
    <s v="Spenton"/>
    <s v="Male"/>
    <s v="Male"/>
    <s v="89.175.157.188"/>
    <s v="246.189.138.238"/>
    <n v="727"/>
    <n v="727"/>
    <s v="NYSE"/>
    <s v="FMO"/>
    <s v="Fiduciary/Claymore MLP Opportunity Fund"/>
    <x v="2"/>
    <s v="N/A"/>
    <s v="$446.85M"/>
    <n v="446850000"/>
    <n v="1540.14"/>
    <n v="13.9"/>
    <n v="158182158"/>
    <d v="2022-04-09T00:00:00"/>
    <s v="Missing"/>
    <m/>
  </r>
  <r>
    <s v="jhasserk7"/>
    <s v="marketwatch.com"/>
    <s v="John"/>
    <s v="Hasser"/>
    <s v="Bigender"/>
    <s v="Other"/>
    <s v="248.150.118.112"/>
    <s v="186.7.197.2"/>
    <n v="728"/>
    <n v="728"/>
    <s v="NYSE"/>
    <s v="BKFS"/>
    <s v="Black Knight Financial Services, Inc."/>
    <x v="4"/>
    <s v="Computer Software: Prepackaged Software"/>
    <s v="$6.01B"/>
    <n v="6010000000"/>
    <n v="1466.08"/>
    <n v="-13.71"/>
    <n v="149137959"/>
    <d v="2025-06-14T00:00:00"/>
    <s v="Complete"/>
    <m/>
  </r>
  <r>
    <s v="escamadenk8"/>
    <s v="wikispaces.com"/>
    <s v="Emmerich"/>
    <s v="Scamaden"/>
    <s v="Male"/>
    <s v="Male"/>
    <s v="119.149.205.31"/>
    <s v="61.173.80.147"/>
    <n v="729"/>
    <n v="729"/>
    <s v="NASDAQ"/>
    <s v="TLF"/>
    <s v="Tandy Leather Factory, Inc."/>
    <x v="5"/>
    <s v="Apparel"/>
    <s v="$76.52M"/>
    <n v="76520000"/>
    <n v="1309.94"/>
    <n v="-16.059999999999999"/>
    <n v="170570061"/>
    <d v="2026-12-22T00:00:00"/>
    <s v="Complete"/>
    <m/>
  </r>
  <r>
    <s v="rmcglaughnk9"/>
    <s v="vistaprint.com"/>
    <s v="Ruth"/>
    <s v="McGlaughn"/>
    <s v="Female"/>
    <s v="Female"/>
    <s v="127.228.33.178"/>
    <s v="187.18.151.15"/>
    <n v="730"/>
    <n v="730"/>
    <s v="NYSE"/>
    <s v="BMY"/>
    <s v="Bristol-Myers Squibb Company"/>
    <x v="0"/>
    <s v="Major Pharmaceuticals"/>
    <s v="$89.72B"/>
    <n v="89720000000"/>
    <n v="1148.6300000000001"/>
    <n v="17.28"/>
    <n v="13351820"/>
    <d v="2022-04-02T00:00:00"/>
    <s v="Complete"/>
    <m/>
  </r>
  <r>
    <s v="gbalentyneka"/>
    <s v="wisc.edu"/>
    <s v="Griffy"/>
    <s v="Balentyne"/>
    <s v="Male"/>
    <s v="Male"/>
    <s v="241.155.19.148"/>
    <s v="201.169.109.102"/>
    <n v="731"/>
    <n v="731"/>
    <s v="NYSE"/>
    <s v="EXK"/>
    <s v="Endeavour Silver Corporation"/>
    <x v="10"/>
    <s v="Precious Metals"/>
    <s v="$370.33M"/>
    <n v="370330000"/>
    <n v="1243.74"/>
    <n v="-17.63"/>
    <n v="34270661"/>
    <d v="2025-01-31T00:00:00"/>
    <s v="Complete"/>
    <m/>
  </r>
  <r>
    <s v="mlearmountkb"/>
    <s v="nps.gov"/>
    <s v="Meara"/>
    <s v="Learmount"/>
    <s v="Female"/>
    <s v="Female"/>
    <s v="176.104.2.0"/>
    <s v="197.208.205.3"/>
    <n v="732"/>
    <n v="732"/>
    <s v="NASDAQ"/>
    <s v="AEMD"/>
    <s v="Aethlon Medical, Inc."/>
    <x v="1"/>
    <s v="Biotechnology: Laboratory Analytical Instruments"/>
    <s v="$18.56M"/>
    <n v="18560000"/>
    <n v="1325.69"/>
    <n v="1.1100000000000001"/>
    <n v="130192253"/>
    <d v="2023-04-14T00:00:00"/>
    <s v="Complete"/>
    <m/>
  </r>
  <r>
    <s v="wkemberykc"/>
    <s v="salon.com"/>
    <s v="Wallas"/>
    <s v="Kembery"/>
    <s v="Male"/>
    <s v="Male"/>
    <s v="9.240.108.151"/>
    <s v="82.143.49.131"/>
    <n v="733"/>
    <n v="733"/>
    <s v="NASDAQ"/>
    <s v="FISI"/>
    <s v="Financial Institutions, Inc."/>
    <x v="3"/>
    <s v="Major Banks"/>
    <s v="$443.54M"/>
    <n v="443540000"/>
    <n v="167.11"/>
    <n v="-10.7"/>
    <n v="80053215"/>
    <d v="2025-07-11T00:00:00"/>
    <s v="Complete"/>
    <m/>
  </r>
  <r>
    <s v="llanchesterkd"/>
    <s v="lycos.com"/>
    <s v="Licha"/>
    <s v="Lanchester"/>
    <s v="Female"/>
    <s v="Female"/>
    <s v="184.146.3.219"/>
    <s v="52.166.101.86"/>
    <n v="734"/>
    <n v="734"/>
    <s v="NASDAQ"/>
    <s v="SANM"/>
    <s v="Sanmina Corporation"/>
    <x v="4"/>
    <s v="Electrical Products"/>
    <s v="$2.83B"/>
    <n v="2830000000"/>
    <n v="1333.49"/>
    <n v="-2.0099999999999998"/>
    <n v="106888194"/>
    <d v="2026-12-28T00:00:00"/>
    <s v="Complete"/>
    <m/>
  </r>
  <r>
    <s v="vdarrigoneke"/>
    <s v="wordpress.org"/>
    <s v="Valentine"/>
    <s v="Darrigone"/>
    <s v="Male"/>
    <s v="Male"/>
    <s v="25.168.140.79"/>
    <s v="102.100.191.211"/>
    <n v="735"/>
    <n v="735"/>
    <s v="NYSE"/>
    <s v="MTW"/>
    <s v="Manitowoc Company, Inc. (The)"/>
    <x v="1"/>
    <s v="ConstructioN/Ag Equipment/Trucks"/>
    <s v="$836.2M"/>
    <n v="836200000"/>
    <n v="545.99"/>
    <n v="-11.98"/>
    <n v="79632520"/>
    <d v="2023-11-01T00:00:00"/>
    <s v="Complete"/>
    <m/>
  </r>
  <r>
    <s v="bszymonikf"/>
    <s v="privacy.gov.au"/>
    <s v="Bendick"/>
    <s v="Szymoni"/>
    <s v="Male"/>
    <s v="Male"/>
    <s v="223.255.158.233"/>
    <s v="107.38.42.24"/>
    <n v="736"/>
    <n v="736"/>
    <s v="NYSE"/>
    <s v="KNX"/>
    <s v="Knight Transportation, Inc."/>
    <x v="12"/>
    <s v="Trucking Freight/Courier Services"/>
    <s v="$2.86B"/>
    <n v="2860000000"/>
    <n v="580.49"/>
    <n v="3.6"/>
    <n v="116178665"/>
    <d v="2020-04-02T00:00:00"/>
    <s v="Complete"/>
    <m/>
  </r>
  <r>
    <s v="omitchinsonkg"/>
    <s v="google.nl"/>
    <s v="Omar"/>
    <s v="Mitchinson"/>
    <s v="Male"/>
    <s v="Male"/>
    <s v="209.3.206.123"/>
    <s v="87.117.148.97"/>
    <n v="737"/>
    <n v="737"/>
    <s v="NASDAQ"/>
    <s v="PRFT"/>
    <s v="Perficient, Inc."/>
    <x v="4"/>
    <s v="EDP Services"/>
    <s v="$612.6M"/>
    <n v="612600000"/>
    <n v="1826.86"/>
    <n v="6.37"/>
    <n v="33958972"/>
    <d v="2022-05-30T00:00:00"/>
    <s v="Complete"/>
    <m/>
  </r>
  <r>
    <s v="rimasonkh"/>
    <s v="google.ru"/>
    <s v="Reynard"/>
    <s v="Imason"/>
    <s v="Male"/>
    <s v="Male"/>
    <s v="17.26.254.245"/>
    <s v="116.127.250.48"/>
    <n v="738"/>
    <n v="738"/>
    <s v="NASDAQ"/>
    <s v="QGEN"/>
    <s v="Qiagen N.V."/>
    <x v="0"/>
    <s v="Biotechnology: Biological Products (No Diagnostic Substances)"/>
    <s v="$7.72B"/>
    <n v="7720000000"/>
    <n v="294.64999999999998"/>
    <n v="-14.39"/>
    <n v="183567327"/>
    <d v="2024-09-18T00:00:00"/>
    <s v="Complete"/>
    <m/>
  </r>
  <r>
    <s v="vbeynknki"/>
    <s v="si.edu"/>
    <s v="Vergil"/>
    <s v="Beynkn"/>
    <s v="Male"/>
    <s v="Male"/>
    <s v="9.128.109.180"/>
    <s v="144.242.157.55"/>
    <n v="739"/>
    <n v="739"/>
    <s v="NYSE"/>
    <s v="WALA"/>
    <s v="Western Alliance Bancorporation"/>
    <x v="3"/>
    <s v="Major Banks"/>
    <s v="N/A"/>
    <n v="0"/>
    <n v="1254.96"/>
    <n v="3.04"/>
    <n v="179925443"/>
    <d v="2022-04-29T00:00:00"/>
    <s v="Missing"/>
    <m/>
  </r>
  <r>
    <s v="rlogeskj"/>
    <s v="icio.us"/>
    <s v="Rock"/>
    <s v="Loges"/>
    <s v="Male"/>
    <s v="Male"/>
    <s v="141.103.189.18"/>
    <s v="219.63.175.98"/>
    <n v="740"/>
    <n v="740"/>
    <s v="NYSE"/>
    <s v="GEH"/>
    <s v="General Electric Capital Corporation"/>
    <x v="9"/>
    <s v="Consumer Electronics/Appliances"/>
    <s v="N/A"/>
    <n v="0"/>
    <n v="81.739999999999995"/>
    <n v="15.9"/>
    <n v="185639856"/>
    <d v="2024-04-04T00:00:00"/>
    <s v="Missing"/>
    <m/>
  </r>
  <r>
    <s v="mpietrowiczkk"/>
    <s v="globo.com"/>
    <s v="Marrilee"/>
    <s v="Pietrowicz"/>
    <s v="Female"/>
    <s v="Female"/>
    <s v="154.96.116.208"/>
    <s v="159.52.243.116"/>
    <n v="741"/>
    <n v="741"/>
    <s v="NASDAQ"/>
    <s v="KAACW"/>
    <s v="Kayne Anderson Acquisition Corp."/>
    <x v="3"/>
    <s v="Business Services"/>
    <s v="N/A"/>
    <n v="0"/>
    <n v="573.28"/>
    <n v="-11.55"/>
    <n v="19289600"/>
    <d v="2020-08-31T00:00:00"/>
    <s v="Missing"/>
    <m/>
  </r>
  <r>
    <s v="kchattenkl"/>
    <s v="infoseek.co.jp"/>
    <s v="Kale"/>
    <s v="Chatten"/>
    <s v="Male"/>
    <s v="Male"/>
    <s v="2.230.59.87"/>
    <s v="160.182.136.87"/>
    <n v="742"/>
    <n v="742"/>
    <s v="NYSE"/>
    <s v="LII"/>
    <s v="Lennox International, Inc."/>
    <x v="1"/>
    <s v="Industrial Machinery/Components"/>
    <s v="$8.05B"/>
    <n v="8050000000.000001"/>
    <n v="529.67999999999995"/>
    <n v="17.11"/>
    <n v="137277852"/>
    <d v="2023-05-11T00:00:00"/>
    <s v="Complete"/>
    <m/>
  </r>
  <r>
    <s v="dpurselowkm"/>
    <s v="cmu.edu"/>
    <s v="Domeniga"/>
    <s v="Purselow"/>
    <s v="Female"/>
    <s v="Female"/>
    <s v="202.124.216.79"/>
    <s v="240.202.223.24"/>
    <n v="743"/>
    <n v="743"/>
    <s v="NASDAQ"/>
    <s v="RAVN"/>
    <s v="Raven Industries, Inc."/>
    <x v="1"/>
    <s v="Specialty Chemicals"/>
    <s v="$1.26B"/>
    <n v="1260000000"/>
    <n v="113.98"/>
    <n v="-17.86"/>
    <n v="104179380"/>
    <d v="2020-09-23T00:00:00"/>
    <s v="Complete"/>
    <m/>
  </r>
  <r>
    <s v="sneatekn"/>
    <s v="delicious.com"/>
    <s v="Si"/>
    <s v="Neate"/>
    <s v="Male"/>
    <s v="Male"/>
    <s v="53.244.209.185"/>
    <s v="18.152.222.234"/>
    <n v="744"/>
    <n v="744"/>
    <s v="NYSE"/>
    <s v="MNP"/>
    <s v="Western Asset Municipal Partners Fund, Inc."/>
    <x v="2"/>
    <s v="N/A"/>
    <s v="$153.37M"/>
    <n v="153370000"/>
    <n v="257.58999999999997"/>
    <n v="3.17"/>
    <n v="87320977"/>
    <d v="2023-04-12T00:00:00"/>
    <s v="Missing"/>
    <m/>
  </r>
  <r>
    <s v="hwilshireko"/>
    <s v="virginia.edu"/>
    <s v="Hube"/>
    <s v="Wilshire"/>
    <s v="Male"/>
    <s v="Male"/>
    <s v="201.83.164.137"/>
    <s v="164.81.178.101"/>
    <n v="745"/>
    <n v="745"/>
    <s v="NYSE"/>
    <s v="FLC"/>
    <s v="Flaherty &amp; Crumrine Total Return Fund Inc"/>
    <x v="2"/>
    <s v="N/A"/>
    <s v="$220.5M"/>
    <n v="220500000"/>
    <n v="1008.6"/>
    <n v="-17.829999999999998"/>
    <n v="13138316"/>
    <d v="2024-07-25T00:00:00"/>
    <s v="Missing"/>
    <m/>
  </r>
  <r>
    <s v="ehellyarkp"/>
    <s v="comcast.net"/>
    <s v="Eudora"/>
    <s v="Hellyar"/>
    <s v="Female"/>
    <s v="Female"/>
    <s v="158.174.188.133"/>
    <s v="192.172.172.242"/>
    <n v="746"/>
    <n v="746"/>
    <s v="NASDAQ"/>
    <s v="PFM"/>
    <s v="PowerShares Dividend Achievers Portfolio"/>
    <x v="2"/>
    <s v="N/A"/>
    <s v="$317.19M"/>
    <n v="317190000"/>
    <n v="490.1"/>
    <n v="19.170000000000002"/>
    <n v="120644191"/>
    <d v="2022-07-04T00:00:00"/>
    <s v="Missing"/>
    <m/>
  </r>
  <r>
    <s v="dloftskq"/>
    <s v="vkontakte.ru"/>
    <s v="Dalis"/>
    <s v="Lofts"/>
    <s v="Male"/>
    <s v="Male"/>
    <s v="179.140.209.148"/>
    <s v="14.220.38.32"/>
    <n v="747"/>
    <n v="747"/>
    <s v="NASDAQ"/>
    <s v="BDE"/>
    <s v="Black Diamond, Inc."/>
    <x v="5"/>
    <s v="Recreational Products/Toys"/>
    <s v="$195.09M"/>
    <n v="195090000"/>
    <n v="757.14"/>
    <n v="14.18"/>
    <n v="157738332"/>
    <d v="2025-07-10T00:00:00"/>
    <s v="Complete"/>
    <m/>
  </r>
  <r>
    <s v="asallisskr"/>
    <s v="vinaora.com"/>
    <s v="Ame"/>
    <s v="Salliss"/>
    <s v="Female"/>
    <s v="Female"/>
    <s v="222.215.216.6"/>
    <s v="80.183.209.82"/>
    <n v="748"/>
    <n v="748"/>
    <s v="NYSE"/>
    <s v="EAT"/>
    <s v="Brinker International, Inc."/>
    <x v="6"/>
    <s v="Restaurants"/>
    <s v="$1.85B"/>
    <n v="1850000000"/>
    <n v="1952.03"/>
    <n v="4.3899999999999997"/>
    <n v="32413928"/>
    <d v="2026-05-25T00:00:00"/>
    <s v="Complete"/>
    <m/>
  </r>
  <r>
    <s v="cgradyks"/>
    <s v="walmart.com"/>
    <s v="Chrystel"/>
    <s v="Grady"/>
    <s v="Female"/>
    <s v="Female"/>
    <s v="220.209.112.36"/>
    <s v="164.96.0.139"/>
    <n v="749"/>
    <n v="749"/>
    <s v="NYSE"/>
    <s v="SFR"/>
    <s v="Colony Starwood Homes"/>
    <x v="6"/>
    <s v="Real Estate Investment Trusts"/>
    <s v="$4.37B"/>
    <n v="4370000000"/>
    <n v="1414.53"/>
    <n v="-5.92"/>
    <n v="76246959"/>
    <d v="2024-12-19T00:00:00"/>
    <s v="Complete"/>
    <m/>
  </r>
  <r>
    <s v="sbanasiakkt"/>
    <s v="amazon.com"/>
    <s v="Shellie"/>
    <s v="Banasiak"/>
    <s v="Female"/>
    <s v="Female"/>
    <s v="161.99.132.149"/>
    <s v="192.86.51.46"/>
    <n v="750"/>
    <n v="750"/>
    <s v="NYSE"/>
    <s v="PHD"/>
    <s v="Pioneer Floating Rate Trust"/>
    <x v="2"/>
    <s v="N/A"/>
    <s v="$293.39M"/>
    <n v="293390000"/>
    <n v="1025.18"/>
    <n v="-13.34"/>
    <n v="35275036"/>
    <d v="2023-06-17T00:00:00"/>
    <s v="Missing"/>
    <m/>
  </r>
  <r>
    <s v="vhedgesku"/>
    <s v="feedburner.com"/>
    <s v="Vyky"/>
    <s v="Hedges"/>
    <s v="Female"/>
    <s v="Female"/>
    <s v="232.138.127.72"/>
    <s v="180.172.88.126"/>
    <n v="751"/>
    <n v="751"/>
    <s v="NASDAQ"/>
    <s v="AQXP"/>
    <s v="Aquinox Pharmaceuticals, Inc."/>
    <x v="0"/>
    <s v="Major Pharmaceuticals"/>
    <s v="$313.17M"/>
    <n v="313170000"/>
    <n v="1415.53"/>
    <n v="-16.489999999999998"/>
    <n v="135611995"/>
    <d v="2021-11-25T00:00:00"/>
    <s v="Complete"/>
    <m/>
  </r>
  <r>
    <s v="gberkkv"/>
    <s v="tuttocitta.it"/>
    <s v="Gabrila"/>
    <s v="Berk"/>
    <s v="Female"/>
    <s v="Female"/>
    <s v="134.237.41.204"/>
    <s v="204.37.108.94"/>
    <n v="752"/>
    <n v="752"/>
    <s v="NYSE"/>
    <s v="TOWR"/>
    <s v="Tower International, Inc."/>
    <x v="1"/>
    <s v="Auto Parts:O.E.M."/>
    <s v="$446.68M"/>
    <n v="446680000"/>
    <n v="1258.04"/>
    <n v="18.93"/>
    <n v="32802886"/>
    <d v="2022-05-04T00:00:00"/>
    <s v="Complete"/>
    <m/>
  </r>
  <r>
    <s v="ncargokw"/>
    <s v="bandcamp.com"/>
    <s v="Nap"/>
    <s v="Cargo"/>
    <s v="Male"/>
    <s v="Male"/>
    <s v="168.14.91.1"/>
    <s v="6.8.52.187"/>
    <n v="753"/>
    <n v="753"/>
    <s v="NYSE"/>
    <s v="YPF"/>
    <s v="YPF Sociedad Anonima"/>
    <x v="9"/>
    <s v="Integrated oil Companies"/>
    <s v="$8.51B"/>
    <n v="8510000000"/>
    <n v="1031.9000000000001"/>
    <n v="14.51"/>
    <n v="144409272"/>
    <d v="2023-10-11T00:00:00"/>
    <s v="Complete"/>
    <m/>
  </r>
  <r>
    <s v="mchampkx"/>
    <s v="smugmug.com"/>
    <s v="Marius"/>
    <s v="Champ"/>
    <s v="Male"/>
    <s v="Male"/>
    <s v="171.31.48.89"/>
    <s v="41.132.117.177"/>
    <n v="754"/>
    <n v="754"/>
    <s v="NASDAQ"/>
    <s v="SPLK"/>
    <s v="Splunk Inc."/>
    <x v="4"/>
    <s v="Computer Software: Prepackaged Software"/>
    <s v="$7.96B"/>
    <n v="7960000000"/>
    <n v="180.53"/>
    <n v="3.64"/>
    <n v="110425826"/>
    <d v="2022-11-22T00:00:00"/>
    <s v="Complete"/>
    <m/>
  </r>
  <r>
    <s v="lakettky"/>
    <s v="google.com"/>
    <s v="Lusa"/>
    <s v="Akett"/>
    <s v="Female"/>
    <s v="Female"/>
    <s v="76.115.11.31"/>
    <s v="25.182.79.194"/>
    <n v="755"/>
    <n v="755"/>
    <s v="NASDAQ"/>
    <s v="ORLY"/>
    <s v="O'Reilly Automotive, Inc."/>
    <x v="6"/>
    <s v="Other Specialty Stores"/>
    <s v="$21.06B"/>
    <n v="21060000000"/>
    <n v="980.03"/>
    <n v="-6.87"/>
    <n v="180581764"/>
    <d v="2020-01-06T00:00:00"/>
    <s v="Complete"/>
    <m/>
  </r>
  <r>
    <s v="kivykz"/>
    <s v="mail.ru"/>
    <s v="Kaspar"/>
    <s v="Ivy"/>
    <s v="Polygender"/>
    <s v="Other"/>
    <s v="72.234.200.12"/>
    <s v="4.120.3.247"/>
    <n v="756"/>
    <n v="756"/>
    <s v="NYSE"/>
    <s v="SHI"/>
    <s v="SINOPEC Shangai Petrochemical Company, Ltd."/>
    <x v="10"/>
    <s v="Major Chemicals"/>
    <s v="$5.65B"/>
    <n v="5650000000"/>
    <n v="1923.39"/>
    <n v="-14.81"/>
    <n v="168733209"/>
    <d v="2021-09-25T00:00:00"/>
    <s v="Complete"/>
    <m/>
  </r>
  <r>
    <s v="lglandonl0"/>
    <s v="msn.com"/>
    <s v="Lynnett"/>
    <s v="Glandon"/>
    <s v="Non-binary"/>
    <s v="Other"/>
    <s v="62.61.174.14"/>
    <s v="93.49.218.130"/>
    <n v="757"/>
    <n v="757"/>
    <s v="NYSE"/>
    <s v="GPE^A"/>
    <s v="Georgia Power Company"/>
    <x v="8"/>
    <s v="Electric Utilities: Central"/>
    <s v="N/A"/>
    <n v="0"/>
    <n v="1452.73"/>
    <n v="-17.059999999999999"/>
    <n v="65448523"/>
    <d v="2020-02-24T00:00:00"/>
    <s v="Missing"/>
    <m/>
  </r>
  <r>
    <s v="bwintersgilll1"/>
    <s v="zdnet.com"/>
    <s v="Benny"/>
    <s v="Wintersgill"/>
    <s v="Male"/>
    <s v="Male"/>
    <s v="110.61.210.131"/>
    <s v="229.75.189.230"/>
    <n v="758"/>
    <n v="758"/>
    <s v="NASDAQ"/>
    <s v="CATM"/>
    <s v="Cardtronics plc"/>
    <x v="7"/>
    <s v="Business Services"/>
    <s v="$1.52B"/>
    <n v="1520000000"/>
    <n v="1578.31"/>
    <n v="-8.34"/>
    <n v="74518139"/>
    <d v="2026-08-03T00:00:00"/>
    <s v="Complete"/>
    <m/>
  </r>
  <r>
    <s v="rberthl2"/>
    <s v="phpbb.com"/>
    <s v="Ruben"/>
    <s v="Berth"/>
    <s v="Male"/>
    <s v="Male"/>
    <s v="139.59.76.59"/>
    <s v="106.116.204.5"/>
    <n v="759"/>
    <n v="759"/>
    <s v="NASDAQ"/>
    <s v="TIL"/>
    <s v="Till Capital Ltd."/>
    <x v="3"/>
    <s v="Property-Casualty Insurers"/>
    <s v="$13.15M"/>
    <n v="13150000"/>
    <n v="473.7"/>
    <n v="-16.989999999999998"/>
    <n v="91429596"/>
    <d v="2022-08-25T00:00:00"/>
    <s v="Complete"/>
    <m/>
  </r>
  <r>
    <s v="esifletl3"/>
    <s v="blogspot.com"/>
    <s v="Erhard"/>
    <s v="Siflet"/>
    <s v="Male"/>
    <s v="Male"/>
    <s v="204.111.226.82"/>
    <s v="241.158.15.89"/>
    <n v="760"/>
    <n v="760"/>
    <s v="NYSE"/>
    <s v="E"/>
    <s v="ENI S.p.A."/>
    <x v="9"/>
    <s v="Oil &amp; Gas Production"/>
    <s v="$56.64B"/>
    <n v="56640000000"/>
    <n v="1770.92"/>
    <n v="1.59"/>
    <n v="151671688"/>
    <d v="2022-06-09T00:00:00"/>
    <s v="Complete"/>
    <m/>
  </r>
  <r>
    <s v="cchesserl4"/>
    <s v="google.com.au"/>
    <s v="Cathy"/>
    <s v="Chesser"/>
    <s v="Female"/>
    <s v="Female"/>
    <s v="175.149.155.80"/>
    <s v="37.172.107.209"/>
    <n v="761"/>
    <n v="761"/>
    <s v="NYSE"/>
    <s v="PHD"/>
    <s v="Pioneer Floating Rate Trust"/>
    <x v="2"/>
    <s v="N/A"/>
    <s v="$293.39M"/>
    <n v="293390000"/>
    <n v="1028.5899999999999"/>
    <n v="-3.14"/>
    <n v="168412084"/>
    <d v="2021-04-23T00:00:00"/>
    <s v="Missing"/>
    <m/>
  </r>
  <r>
    <s v="cvickerl5"/>
    <s v="google.fr"/>
    <s v="Collete"/>
    <s v="Vicker"/>
    <s v="Female"/>
    <s v="Female"/>
    <s v="150.74.189.133"/>
    <s v="197.209.92.141"/>
    <n v="762"/>
    <n v="762"/>
    <s v="NASDAQ"/>
    <s v="ATRO"/>
    <s v="Astronics Corporation"/>
    <x v="1"/>
    <s v="Military/Government/Technical"/>
    <s v="$883.27M"/>
    <n v="883270000"/>
    <n v="1399.81"/>
    <n v="16.489999999999998"/>
    <n v="71712075"/>
    <d v="2022-03-11T00:00:00"/>
    <s v="Complete"/>
    <m/>
  </r>
  <r>
    <s v="ctejadal6"/>
    <s v="unblog.fr"/>
    <s v="Celestia"/>
    <s v="Tejada"/>
    <s v="Female"/>
    <s v="Female"/>
    <s v="239.150.50.75"/>
    <s v="153.140.124.230"/>
    <n v="763"/>
    <n v="763"/>
    <s v="NYSE"/>
    <s v="ESE"/>
    <s v="ESCO Technologies Inc."/>
    <x v="11"/>
    <s v="Telecommunications Equipment"/>
    <s v="$1.54B"/>
    <n v="1540000000"/>
    <n v="220.2"/>
    <n v="-18.64"/>
    <n v="122050715"/>
    <d v="2025-05-04T00:00:00"/>
    <s v="Complete"/>
    <m/>
  </r>
  <r>
    <s v="rgilliardl7"/>
    <s v="bloomberg.com"/>
    <s v="Renee"/>
    <s v="Gilliard"/>
    <s v="Female"/>
    <s v="Female"/>
    <s v="79.46.39.205"/>
    <s v="237.90.64.128"/>
    <n v="764"/>
    <n v="764"/>
    <s v="NYSE"/>
    <s v="JBT"/>
    <s v="John Bean Technologies Corporation"/>
    <x v="4"/>
    <s v="Industrial Machinery/Components"/>
    <s v="$2.89B"/>
    <n v="2890000000"/>
    <n v="1438.05"/>
    <n v="4.24"/>
    <n v="52770837"/>
    <d v="2022-04-12T00:00:00"/>
    <s v="Complete"/>
    <m/>
  </r>
  <r>
    <s v="akindlesidel8"/>
    <s v="wsj.com"/>
    <s v="Aldridge"/>
    <s v="Kindleside"/>
    <s v="Bigender"/>
    <s v="Other"/>
    <s v="154.170.145.207"/>
    <s v="36.90.122.23"/>
    <n v="765"/>
    <n v="765"/>
    <s v="NASDAQ"/>
    <s v="AQMS"/>
    <s v="Aqua Metals, Inc."/>
    <x v="10"/>
    <s v="Metal Fabrications"/>
    <s v="$251.77M"/>
    <n v="251770000"/>
    <n v="570.65"/>
    <n v="19.64"/>
    <n v="185465121"/>
    <d v="2024-01-22T00:00:00"/>
    <s v="Complete"/>
    <m/>
  </r>
  <r>
    <s v="casherl9"/>
    <s v="java.com"/>
    <s v="Chen"/>
    <s v="Asher"/>
    <s v="Male"/>
    <s v="Male"/>
    <s v="216.248.102.91"/>
    <s v="9.83.169.228"/>
    <n v="766"/>
    <n v="766"/>
    <s v="NYSE"/>
    <s v="LDR"/>
    <s v="Landauer, Inc."/>
    <x v="1"/>
    <s v="Industrial Machinery/Components"/>
    <s v="$513.32M"/>
    <n v="513320000.00000006"/>
    <n v="212.77"/>
    <n v="-3.58"/>
    <n v="128538376"/>
    <d v="2020-11-11T00:00:00"/>
    <s v="Complete"/>
    <m/>
  </r>
  <r>
    <s v="rbenedttila"/>
    <s v="ifeng.com"/>
    <s v="Reg"/>
    <s v="Benedtti"/>
    <s v="Male"/>
    <s v="Male"/>
    <s v="209.125.93.49"/>
    <s v="134.105.11.227"/>
    <n v="767"/>
    <n v="767"/>
    <s v="NYSE"/>
    <s v="PPL"/>
    <s v="PPL Corporation"/>
    <x v="8"/>
    <s v="Electric Utilities: Central"/>
    <s v="$26.98B"/>
    <n v="26980000000"/>
    <n v="964.96"/>
    <n v="-16.62"/>
    <n v="46553778"/>
    <d v="2020-11-23T00:00:00"/>
    <s v="Complete"/>
    <m/>
  </r>
  <r>
    <s v="gtremoliereslb"/>
    <s v="army.mil"/>
    <s v="Germaine"/>
    <s v="Tremolieres"/>
    <s v="Non-binary"/>
    <s v="Other"/>
    <s v="138.209.44.233"/>
    <s v="141.163.171.43"/>
    <n v="768"/>
    <n v="768"/>
    <s v="NYSE"/>
    <s v="CRC"/>
    <s v="California Resources Corporation"/>
    <x v="9"/>
    <s v="Oil &amp; Gas Production"/>
    <s v="$441.26M"/>
    <n v="441260000"/>
    <n v="1200.68"/>
    <n v="-1.68"/>
    <n v="31626281"/>
    <d v="2026-08-17T00:00:00"/>
    <s v="Complete"/>
    <m/>
  </r>
  <r>
    <s v="jbutlandlc"/>
    <s v="slate.com"/>
    <s v="Julieta"/>
    <s v="Butland"/>
    <s v="Female"/>
    <s v="Female"/>
    <s v="53.200.178.39"/>
    <s v="16.168.209.222"/>
    <n v="769"/>
    <n v="769"/>
    <s v="NYSE"/>
    <s v="QSR"/>
    <s v="Restaurant Brands International Inc."/>
    <x v="6"/>
    <s v="Restaurants"/>
    <s v="$14.34B"/>
    <n v="14340000000"/>
    <n v="1377.52"/>
    <n v="-7.9"/>
    <n v="169317660"/>
    <d v="2024-03-08T00:00:00"/>
    <s v="Complete"/>
    <m/>
  </r>
  <r>
    <s v="gdulintyld"/>
    <s v="admin.ch"/>
    <s v="Grange"/>
    <s v="Dulinty"/>
    <s v="Male"/>
    <s v="Male"/>
    <s v="74.246.116.178"/>
    <s v="204.14.52.38"/>
    <n v="770"/>
    <n v="770"/>
    <s v="NYSE"/>
    <s v="ALLY"/>
    <s v="Ally Financial Inc."/>
    <x v="3"/>
    <s v="Finance: Consumer Services"/>
    <s v="$9.35B"/>
    <n v="9350000000"/>
    <n v="1318.27"/>
    <n v="-3.32"/>
    <n v="71812908"/>
    <d v="2024-09-28T00:00:00"/>
    <s v="Complete"/>
    <m/>
  </r>
  <r>
    <s v="jblackiele"/>
    <s v="flavors.me"/>
    <s v="Julian"/>
    <s v="Blackie"/>
    <s v="Male"/>
    <s v="Male"/>
    <s v="13.198.75.240"/>
    <s v="191.214.57.110"/>
    <n v="771"/>
    <n v="771"/>
    <s v="NASDAQ"/>
    <s v="WIX"/>
    <s v="Wix.com Ltd."/>
    <x v="4"/>
    <s v="Computer Software: Programming, Data Processing"/>
    <s v="$3.11B"/>
    <n v="3110000000"/>
    <n v="328.07"/>
    <n v="17.5"/>
    <n v="91009116"/>
    <d v="2020-10-21T00:00:00"/>
    <s v="Complete"/>
    <m/>
  </r>
  <r>
    <s v="cprettyjohnlf"/>
    <s v="naver.com"/>
    <s v="Cayla"/>
    <s v="Prettyjohn"/>
    <s v="Female"/>
    <s v="Female"/>
    <s v="255.235.211.226"/>
    <s v="221.162.27.164"/>
    <n v="772"/>
    <n v="772"/>
    <s v="NASDAQ"/>
    <s v="KALV"/>
    <s v="KalVista Pharmaceuticals, Inc."/>
    <x v="0"/>
    <s v="Major Pharmaceuticals"/>
    <s v="$73.43M"/>
    <n v="73430000"/>
    <n v="448.02"/>
    <n v="-16.149999999999999"/>
    <n v="127706798"/>
    <d v="2020-06-01T00:00:00"/>
    <s v="Complete"/>
    <m/>
  </r>
  <r>
    <s v="pbrownsteinlg"/>
    <s v="netvibes.com"/>
    <s v="Patten"/>
    <s v="Brownstein"/>
    <s v="Polygender"/>
    <s v="Other"/>
    <s v="156.219.80.63"/>
    <s v="47.123.158.113"/>
    <n v="773"/>
    <n v="773"/>
    <s v="NASDAQ"/>
    <s v="IVFGC"/>
    <s v="Ivy NextShares"/>
    <x v="2"/>
    <s v="N/A"/>
    <s v="N/A"/>
    <n v="0"/>
    <n v="903.76"/>
    <n v="0.68"/>
    <n v="193201482"/>
    <d v="2024-05-12T00:00:00"/>
    <s v="Missing"/>
    <m/>
  </r>
  <r>
    <s v="ksplevingslh"/>
    <s v="ucsd.edu"/>
    <s v="Kara"/>
    <s v="Splevings"/>
    <s v="Female"/>
    <s v="Female"/>
    <s v="102.142.187.150"/>
    <s v="73.234.240.0"/>
    <n v="774"/>
    <n v="774"/>
    <s v="NYSE"/>
    <s v="HIE"/>
    <s v="Miller/Howard High Income Equity Fund"/>
    <x v="2"/>
    <s v="N/A"/>
    <s v="$180.61M"/>
    <n v="180610000"/>
    <n v="1656.9"/>
    <n v="0.22"/>
    <n v="126780131"/>
    <d v="2024-01-19T00:00:00"/>
    <s v="Missing"/>
    <m/>
  </r>
  <r>
    <s v="dcasleyli"/>
    <s v="ocn.ne.jp"/>
    <s v="Demetra"/>
    <s v="Casley"/>
    <s v="Polygender"/>
    <s v="Other"/>
    <s v="206.244.57.55"/>
    <s v="233.26.79.102"/>
    <n v="775"/>
    <n v="775"/>
    <s v="NYSE"/>
    <s v="PFH"/>
    <s v="CABCO Series 2004-101 Trust"/>
    <x v="3"/>
    <s v="Finance: Consumer Services"/>
    <s v="N/A"/>
    <n v="0"/>
    <n v="783.31"/>
    <n v="-18.96"/>
    <n v="181083188"/>
    <d v="2026-07-18T00:00:00"/>
    <s v="Missing"/>
    <m/>
  </r>
  <r>
    <s v="tmacinerneylj"/>
    <s v="slideshare.net"/>
    <s v="Terry"/>
    <s v="MacInerney"/>
    <s v="Male"/>
    <s v="Male"/>
    <s v="122.183.90.32"/>
    <s v="115.78.70.169"/>
    <n v="776"/>
    <n v="776"/>
    <s v="NYSE"/>
    <s v="CAF"/>
    <s v="Morgan Stanley China A Share Fund Inc."/>
    <x v="2"/>
    <s v="N/A"/>
    <s v="$474.83M"/>
    <n v="474830000"/>
    <n v="265.20999999999998"/>
    <n v="-7.43"/>
    <n v="69272775"/>
    <d v="2022-07-03T00:00:00"/>
    <s v="Missing"/>
    <m/>
  </r>
  <r>
    <s v="kdommlk"/>
    <s v="people.com.cn"/>
    <s v="Keir"/>
    <s v="Domm"/>
    <s v="Bigender"/>
    <s v="Other"/>
    <s v="204.113.120.88"/>
    <s v="145.144.151.237"/>
    <n v="777"/>
    <n v="777"/>
    <s v="NASDAQ"/>
    <s v="IKNX"/>
    <s v="Ikonics Corporation"/>
    <x v="7"/>
    <s v="Industrial Machinery/Components"/>
    <s v="$16.39M"/>
    <n v="16390000"/>
    <n v="1230.3599999999999"/>
    <n v="6.47"/>
    <n v="137558711"/>
    <d v="2023-04-25T00:00:00"/>
    <s v="Complete"/>
    <m/>
  </r>
  <r>
    <s v="mhamelynll"/>
    <s v="ox.ac.uk"/>
    <s v="Martie"/>
    <s v="Hamelyn"/>
    <s v="Male"/>
    <s v="Male"/>
    <s v="106.103.125.51"/>
    <s v="172.248.53.148"/>
    <n v="778"/>
    <n v="778"/>
    <s v="NYSE"/>
    <s v="RMP"/>
    <s v="Rice Midstream Partners LP"/>
    <x v="8"/>
    <s v="Natural Gas Distribution"/>
    <s v="$2.49B"/>
    <n v="2490000000"/>
    <n v="1085.99"/>
    <n v="-19.3"/>
    <n v="128305303"/>
    <d v="2025-05-19T00:00:00"/>
    <s v="Complete"/>
    <m/>
  </r>
  <r>
    <s v="wkochlinlm"/>
    <s v="posterous.com"/>
    <s v="Winifield"/>
    <s v="Kochlin"/>
    <s v="Male"/>
    <s v="Male"/>
    <s v="90.252.191.233"/>
    <s v="128.134.49.161"/>
    <n v="779"/>
    <n v="779"/>
    <s v="NASDAQ"/>
    <s v="HBAN"/>
    <s v="Huntington Bancshares Incorporated"/>
    <x v="3"/>
    <s v="Major Banks"/>
    <s v="$14.37B"/>
    <n v="14370000000"/>
    <n v="753.77"/>
    <n v="17.11"/>
    <n v="127250873"/>
    <d v="2023-11-01T00:00:00"/>
    <s v="Complete"/>
    <m/>
  </r>
  <r>
    <s v="kiredaleln"/>
    <s v="tinyurl.com"/>
    <s v="Koral"/>
    <s v="Iredale"/>
    <s v="Female"/>
    <s v="Female"/>
    <s v="203.131.102.148"/>
    <s v="190.29.255.244"/>
    <n v="780"/>
    <n v="780"/>
    <s v="NYSE"/>
    <s v="LEN.B"/>
    <s v="Lennar Corporation"/>
    <x v="10"/>
    <s v="Homebuilding"/>
    <s v="N/A"/>
    <n v="0"/>
    <n v="352.75"/>
    <n v="18.079999999999998"/>
    <n v="192443961"/>
    <d v="2022-02-11T00:00:00"/>
    <s v="Missing"/>
    <m/>
  </r>
  <r>
    <s v="bleavoldlo"/>
    <s v="ebay.co.uk"/>
    <s v="Benji"/>
    <s v="Leavold"/>
    <s v="Male"/>
    <s v="Male"/>
    <s v="26.51.111.69"/>
    <s v="239.197.57.83"/>
    <n v="781"/>
    <n v="781"/>
    <s v="NYSE"/>
    <s v="AWI"/>
    <s v="Armstrong World Industries Inc"/>
    <x v="5"/>
    <s v="Plastic Products"/>
    <s v="$2.35B"/>
    <n v="2350000000"/>
    <n v="1293.3499999999999"/>
    <n v="-3.66"/>
    <n v="118409783"/>
    <d v="2020-03-27T00:00:00"/>
    <s v="Complete"/>
    <m/>
  </r>
  <r>
    <s v="rlagadulp"/>
    <s v="phpbb.com"/>
    <s v="Rachele"/>
    <s v="Lagadu"/>
    <s v="Female"/>
    <s v="Female"/>
    <s v="63.225.207.101"/>
    <s v="83.132.35.12"/>
    <n v="782"/>
    <n v="782"/>
    <s v="NASDAQ"/>
    <s v="FANH"/>
    <s v="Fanhua Inc."/>
    <x v="3"/>
    <s v="Specialty Insurers"/>
    <s v="$554.47M"/>
    <n v="554470000"/>
    <n v="221.27"/>
    <n v="-13.31"/>
    <n v="116663972"/>
    <d v="2025-03-22T00:00:00"/>
    <s v="Complete"/>
    <m/>
  </r>
  <r>
    <s v="spythonlq"/>
    <s v="friendfeed.com"/>
    <s v="Scott"/>
    <s v="Python"/>
    <s v="Male"/>
    <s v="Male"/>
    <s v="130.42.142.22"/>
    <s v="122.46.67.172"/>
    <n v="783"/>
    <n v="783"/>
    <s v="NYSE"/>
    <s v="HGV"/>
    <s v="Hilton Grand Vacations Inc."/>
    <x v="6"/>
    <s v="Hotels/Resorts"/>
    <s v="$3.62B"/>
    <n v="3620000000"/>
    <n v="1074.24"/>
    <n v="15.44"/>
    <n v="149088095"/>
    <d v="2025-07-25T00:00:00"/>
    <s v="Complete"/>
    <m/>
  </r>
  <r>
    <s v="byouseflr"/>
    <s v="yelp.com"/>
    <s v="Brandtr"/>
    <s v="Yousef"/>
    <s v="Male"/>
    <s v="Male"/>
    <s v="72.237.100.125"/>
    <s v="38.78.90.150"/>
    <n v="784"/>
    <n v="784"/>
    <s v="NASDAQ"/>
    <s v="NEO"/>
    <s v="NeoGenomics, Inc."/>
    <x v="0"/>
    <s v="Precision Instruments"/>
    <s v="$650.54M"/>
    <n v="650540000"/>
    <n v="1307.52"/>
    <n v="7.29"/>
    <n v="110050616"/>
    <d v="2020-07-31T00:00:00"/>
    <s v="Complete"/>
    <m/>
  </r>
  <r>
    <s v="bchancels"/>
    <s v="homestead.com"/>
    <s v="Benedick"/>
    <s v="Chance"/>
    <s v="Genderfluid"/>
    <s v="Other"/>
    <s v="140.216.189.130"/>
    <s v="157.25.91.76"/>
    <n v="785"/>
    <n v="785"/>
    <s v="NASDAQ"/>
    <s v="ARGX"/>
    <s v="argenx SE"/>
    <x v="0"/>
    <s v="Biotechnology: Biological Products (No Diagnostic Substances)"/>
    <s v="$420.47M"/>
    <n v="420470000"/>
    <n v="497.19"/>
    <n v="3.08"/>
    <n v="159270158"/>
    <d v="2021-10-06T00:00:00"/>
    <s v="Complete"/>
    <m/>
  </r>
  <r>
    <s v="smarlt"/>
    <s v="ftc.gov"/>
    <s v="Saunderson"/>
    <s v="Mar"/>
    <s v="Male"/>
    <s v="Male"/>
    <s v="77.164.215.174"/>
    <s v="220.144.152.102"/>
    <n v="786"/>
    <n v="786"/>
    <s v="NYSE"/>
    <s v="HY"/>
    <s v="Hyster-Yale Materials Handling, Inc."/>
    <x v="1"/>
    <s v="ConstructioN/Ag Equipment/Trucks"/>
    <s v="$1.23B"/>
    <n v="1230000000"/>
    <n v="1822.38"/>
    <n v="16.48"/>
    <n v="61370690"/>
    <d v="2021-06-19T00:00:00"/>
    <s v="Complete"/>
    <m/>
  </r>
  <r>
    <s v="rwillislu"/>
    <s v="freewebs.com"/>
    <s v="Rudolph"/>
    <s v="Willis"/>
    <s v="Male"/>
    <s v="Male"/>
    <s v="166.158.111.103"/>
    <s v="93.144.176.10"/>
    <n v="787"/>
    <n v="787"/>
    <s v="NYSE"/>
    <s v="AWF"/>
    <s v="Alliance World Dollar Government Fund II"/>
    <x v="2"/>
    <s v="N/A"/>
    <s v="$1.11B"/>
    <n v="1110000000"/>
    <n v="603.64"/>
    <n v="-4.57"/>
    <n v="61221156"/>
    <d v="2026-04-29T00:00:00"/>
    <s v="Missing"/>
    <m/>
  </r>
  <r>
    <s v="dcissenlv"/>
    <s v="github.io"/>
    <s v="Delphinia"/>
    <s v="Cissen"/>
    <s v="Female"/>
    <s v="Female"/>
    <s v="132.119.91.132"/>
    <s v="85.36.109.208"/>
    <n v="788"/>
    <n v="788"/>
    <s v="NASDAQ"/>
    <s v="WSTL"/>
    <s v="Westell Technologies, Inc."/>
    <x v="8"/>
    <s v="Telecommunications Equipment"/>
    <s v="$10.72M"/>
    <n v="10720000"/>
    <n v="1435.63"/>
    <n v="-14.41"/>
    <n v="95021260"/>
    <d v="2026-04-21T00:00:00"/>
    <s v="Complete"/>
    <m/>
  </r>
  <r>
    <s v="pkemetzlw"/>
    <s v="taobao.com"/>
    <s v="Pia"/>
    <s v="Kemetz"/>
    <s v="Female"/>
    <s v="Female"/>
    <s v="74.108.150.234"/>
    <s v="59.217.38.255"/>
    <n v="789"/>
    <n v="789"/>
    <s v="NYSE"/>
    <s v="HTH"/>
    <s v="Hilltop Holdings Inc."/>
    <x v="3"/>
    <s v="Major Banks"/>
    <s v="$2.6B"/>
    <n v="2600000000"/>
    <n v="1010.58"/>
    <n v="1.22"/>
    <n v="5916206"/>
    <d v="2024-03-09T00:00:00"/>
    <s v="Complete"/>
    <m/>
  </r>
  <r>
    <s v="brandalstonlx"/>
    <s v="microsoft.com"/>
    <s v="Blondy"/>
    <s v="Randalston"/>
    <s v="Female"/>
    <s v="Female"/>
    <s v="58.183.199.12"/>
    <s v="202.151.73.238"/>
    <n v="790"/>
    <n v="790"/>
    <s v="NASDAQ"/>
    <s v="GNCA"/>
    <s v="Genocea Biosciences, Inc."/>
    <x v="0"/>
    <s v="Biotechnology: Biological Products (No Diagnostic Substances)"/>
    <s v="$155.64M"/>
    <n v="155640000"/>
    <n v="726.7"/>
    <n v="-10.98"/>
    <n v="49327291"/>
    <d v="2020-05-20T00:00:00"/>
    <s v="Complete"/>
    <m/>
  </r>
  <r>
    <s v="vbernlily"/>
    <s v="godaddy.com"/>
    <s v="Valida"/>
    <s v="Bernli"/>
    <s v="Female"/>
    <s v="Female"/>
    <s v="222.243.229.195"/>
    <s v="88.187.124.74"/>
    <n v="791"/>
    <n v="791"/>
    <s v="NYSE"/>
    <s v="BST"/>
    <s v="BlackRock Science and Technology Trust"/>
    <x v="2"/>
    <s v="N/A"/>
    <s v="$503.27M"/>
    <n v="503270000"/>
    <n v="1153.57"/>
    <n v="-13.01"/>
    <n v="132098055"/>
    <d v="2022-08-10T00:00:00"/>
    <s v="Missing"/>
    <m/>
  </r>
  <r>
    <s v="msibleylz"/>
    <s v="skype.com"/>
    <s v="Marc"/>
    <s v="Sibley"/>
    <s v="Male"/>
    <s v="Male"/>
    <s v="25.79.223.38"/>
    <s v="89.232.154.10"/>
    <n v="792"/>
    <n v="792"/>
    <s v="NYSE"/>
    <s v="TTC"/>
    <s v="Toro Company (The)"/>
    <x v="1"/>
    <s v="Tools/Hardware"/>
    <s v="$7.81B"/>
    <n v="7810000000"/>
    <n v="452.49"/>
    <n v="-13.08"/>
    <n v="186777362"/>
    <d v="2026-03-04T00:00:00"/>
    <s v="Complete"/>
    <m/>
  </r>
  <r>
    <s v="apapierzm0"/>
    <s v="purevolume.com"/>
    <s v="Ad"/>
    <s v="Papierz"/>
    <s v="Male"/>
    <s v="Male"/>
    <s v="80.168.213.128"/>
    <s v="42.188.39.125"/>
    <n v="793"/>
    <n v="793"/>
    <s v="NASDAQ"/>
    <s v="CTXS"/>
    <s v="Citrix Systems, Inc."/>
    <x v="4"/>
    <s v="Computer Software: Prepackaged Software"/>
    <s v="$12.08B"/>
    <n v="12080000000"/>
    <n v="742.09"/>
    <n v="-8.59"/>
    <n v="192067608"/>
    <d v="2025-11-13T00:00:00"/>
    <s v="Complete"/>
    <m/>
  </r>
  <r>
    <s v="daronstamm1"/>
    <s v="storify.com"/>
    <s v="Dore"/>
    <s v="Aronstam"/>
    <s v="Female"/>
    <s v="Female"/>
    <s v="74.201.119.170"/>
    <s v="234.85.225.106"/>
    <n v="794"/>
    <n v="794"/>
    <s v="NYSE"/>
    <s v="AVT"/>
    <s v="Avnet, Inc."/>
    <x v="5"/>
    <s v="Electronic Components"/>
    <s v="$4.82B"/>
    <n v="4820000000"/>
    <n v="1930.85"/>
    <n v="9.61"/>
    <n v="144980722"/>
    <d v="2020-03-08T00:00:00"/>
    <s v="Complete"/>
    <m/>
  </r>
  <r>
    <s v="asurcombem2"/>
    <s v="answers.com"/>
    <s v="Ailina"/>
    <s v="Surcombe"/>
    <s v="Genderqueer"/>
    <s v="Other"/>
    <s v="163.87.12.64"/>
    <s v="79.194.134.176"/>
    <n v="795"/>
    <n v="795"/>
    <s v="NASDAQ"/>
    <s v="LMIA"/>
    <s v="LMI Aerospace, Inc."/>
    <x v="1"/>
    <s v="Military/Government/Technical"/>
    <s v="$191.03M"/>
    <n v="191030000"/>
    <n v="628.95000000000005"/>
    <n v="-3.59"/>
    <n v="105000067"/>
    <d v="2020-09-06T00:00:00"/>
    <s v="Complete"/>
    <m/>
  </r>
  <r>
    <s v="rpringleym3"/>
    <s v="nationalgeographic.com"/>
    <s v="Rosemaria"/>
    <s v="Pringley"/>
    <s v="Female"/>
    <s v="Female"/>
    <s v="30.66.227.251"/>
    <s v="193.83.128.6"/>
    <n v="796"/>
    <n v="796"/>
    <s v="NASDAQ"/>
    <s v="FBZ"/>
    <s v="First Trust Brazil AlphaDEX Fund"/>
    <x v="2"/>
    <s v="N/A"/>
    <s v="$25.39M"/>
    <n v="25390000"/>
    <n v="1841.03"/>
    <n v="-15.17"/>
    <n v="29840246"/>
    <d v="2020-02-26T00:00:00"/>
    <s v="Missing"/>
    <m/>
  </r>
  <r>
    <s v="shakeworthm4"/>
    <s v="fda.gov"/>
    <s v="Skye"/>
    <s v="Hakeworth"/>
    <s v="Male"/>
    <s v="Male"/>
    <s v="77.191.209.182"/>
    <s v="160.189.119.11"/>
    <n v="797"/>
    <n v="797"/>
    <s v="NYSE"/>
    <s v="FCE.A"/>
    <s v="Forest City Realty Trust, Inc."/>
    <x v="2"/>
    <s v="N/A"/>
    <s v="N/A"/>
    <n v="0"/>
    <n v="1318.08"/>
    <n v="1.92"/>
    <n v="137272262"/>
    <d v="2024-01-08T00:00:00"/>
    <s v="Missing"/>
    <m/>
  </r>
  <r>
    <s v="mtomlettm5"/>
    <s v="1und1.de"/>
    <s v="Marchall"/>
    <s v="Tomlett"/>
    <s v="Male"/>
    <s v="Male"/>
    <s v="133.114.63.229"/>
    <s v="26.185.180.64"/>
    <n v="798"/>
    <n v="798"/>
    <s v="NYSE"/>
    <s v="LYV"/>
    <s v="Live Nation Entertainment, Inc."/>
    <x v="6"/>
    <s v="Services-Misc. Amusement &amp; Recreation"/>
    <s v="$7.49B"/>
    <n v="7490000000"/>
    <n v="1520.89"/>
    <n v="-19.22"/>
    <n v="189273624"/>
    <d v="2020-04-08T00:00:00"/>
    <s v="Complete"/>
    <m/>
  </r>
  <r>
    <s v="afackneym6"/>
    <s v="dedecms.com"/>
    <s v="Abraham"/>
    <s v="Fackney"/>
    <s v="Non-binary"/>
    <s v="Other"/>
    <s v="28.163.234.9"/>
    <s v="74.75.44.46"/>
    <n v="799"/>
    <n v="799"/>
    <s v="NASDAQ"/>
    <s v="FTW"/>
    <s v="First Trust Taiwan AlphaDEX Fund"/>
    <x v="2"/>
    <s v="N/A"/>
    <s v="$3.5M"/>
    <n v="3500000"/>
    <n v="144.63999999999999"/>
    <n v="-5.82"/>
    <n v="96654690"/>
    <d v="2025-12-19T00:00:00"/>
    <s v="Missing"/>
    <m/>
  </r>
  <r>
    <s v="rsarsonsm7"/>
    <s v="chicagotribune.com"/>
    <s v="Rickie"/>
    <s v="Sarsons"/>
    <s v="Female"/>
    <s v="Female"/>
    <s v="139.14.17.60"/>
    <s v="85.241.20.105"/>
    <n v="800"/>
    <n v="800"/>
    <s v="NYSE"/>
    <s v="TRU"/>
    <s v="TransUnion"/>
    <x v="3"/>
    <s v="Finance: Consumer Services"/>
    <s v="$7.93B"/>
    <n v="7930000000"/>
    <n v="865.54"/>
    <n v="5.7"/>
    <n v="179799430"/>
    <d v="2025-05-14T00:00:00"/>
    <s v="Complete"/>
    <m/>
  </r>
  <r>
    <s v="mhowseleem8"/>
    <s v="epa.gov"/>
    <s v="Mirna"/>
    <s v="Howselee"/>
    <s v="Female"/>
    <s v="Female"/>
    <s v="58.250.6.88"/>
    <s v="198.222.225.78"/>
    <n v="801"/>
    <n v="801"/>
    <s v="NASDAQ"/>
    <s v="IDXX"/>
    <s v="IDEXX Laboratories, Inc."/>
    <x v="0"/>
    <s v="Biotechnology: In Vitro &amp; In Vivo Diagnostic Substances"/>
    <s v="$14.16B"/>
    <n v="14160000000"/>
    <n v="594.46"/>
    <n v="-10.19"/>
    <n v="162778870"/>
    <d v="2020-11-17T00:00:00"/>
    <s v="Complete"/>
    <m/>
  </r>
  <r>
    <s v="cleipoldm9"/>
    <s v="wired.com"/>
    <s v="Cicely"/>
    <s v="Leipold"/>
    <s v="Female"/>
    <s v="Female"/>
    <s v="251.153.93.203"/>
    <s v="219.90.188.132"/>
    <n v="802"/>
    <n v="802"/>
    <s v="NYSE"/>
    <s v="ABR^A"/>
    <s v="Arbor Realty Trust"/>
    <x v="2"/>
    <s v="N/A"/>
    <s v="N/A"/>
    <n v="0"/>
    <n v="1484.57"/>
    <n v="-2.42"/>
    <n v="19573183"/>
    <d v="2022-10-13T00:00:00"/>
    <s v="Missing"/>
    <m/>
  </r>
  <r>
    <s v="mknivettma"/>
    <s v="google.de"/>
    <s v="Maren"/>
    <s v="Knivett"/>
    <s v="Female"/>
    <s v="Female"/>
    <s v="110.141.136.17"/>
    <s v="73.108.160.48"/>
    <n v="803"/>
    <n v="803"/>
    <s v="NASDAQ"/>
    <s v="NDLS"/>
    <s v="Noodles &amp; Company"/>
    <x v="6"/>
    <s v="Restaurants"/>
    <s v="$154.07M"/>
    <n v="154070000"/>
    <n v="1971.44"/>
    <n v="-8.84"/>
    <n v="109048564"/>
    <d v="2024-04-18T00:00:00"/>
    <s v="Complete"/>
    <m/>
  </r>
  <r>
    <s v="cswashmb"/>
    <s v="ning.com"/>
    <s v="Chuck"/>
    <s v="Swash"/>
    <s v="Male"/>
    <s v="Male"/>
    <s v="97.85.174.7"/>
    <s v="112.59.254.11"/>
    <n v="804"/>
    <n v="804"/>
    <s v="NASDAQ"/>
    <s v="COWN"/>
    <s v="Cowen Inc."/>
    <x v="3"/>
    <s v="Investment Bankers/Brokers/Service"/>
    <s v="$475.98M"/>
    <n v="475980000"/>
    <n v="970.98"/>
    <n v="17.239999999999998"/>
    <n v="82703777"/>
    <d v="2026-02-20T00:00:00"/>
    <s v="Complete"/>
    <m/>
  </r>
  <r>
    <s v="mmcgahymc"/>
    <s v="reddit.com"/>
    <s v="Madelon"/>
    <s v="McGahy"/>
    <s v="Female"/>
    <s v="Female"/>
    <s v="45.26.135.131"/>
    <s v="136.91.227.219"/>
    <n v="805"/>
    <n v="805"/>
    <s v="NASDAQ"/>
    <s v="PSTI"/>
    <s v="Pluristem Therapeutics, Inc."/>
    <x v="0"/>
    <s v="Biotechnology: Biological Products (No Diagnostic Substances)"/>
    <s v="$121.38M"/>
    <n v="121380000"/>
    <n v="863.67"/>
    <n v="-1.4"/>
    <n v="99272902"/>
    <d v="2023-12-07T00:00:00"/>
    <s v="Complete"/>
    <m/>
  </r>
  <r>
    <s v="ekiellormd"/>
    <s v="uol.com.br"/>
    <s v="Ede"/>
    <s v="Kiellor"/>
    <s v="Female"/>
    <s v="Female"/>
    <s v="208.245.178.36"/>
    <s v="164.67.195.204"/>
    <n v="806"/>
    <n v="806"/>
    <s v="NASDAQ"/>
    <s v="TSLA"/>
    <s v="Tesla, Inc. "/>
    <x v="1"/>
    <s v="Auto Manufacturing"/>
    <s v="$61.01B"/>
    <n v="61010000000"/>
    <n v="1306.83"/>
    <n v="-4.37"/>
    <n v="104289787"/>
    <d v="2020-08-07T00:00:00"/>
    <s v="Complete"/>
    <m/>
  </r>
  <r>
    <s v="edillintonme"/>
    <s v="ameblo.jp"/>
    <s v="Erick"/>
    <s v="Dillinton"/>
    <s v="Male"/>
    <s v="Male"/>
    <s v="163.128.50.233"/>
    <s v="116.127.203.184"/>
    <n v="807"/>
    <n v="807"/>
    <s v="NYSE"/>
    <s v="TTP"/>
    <s v="Tortoise Pipeline &amp; Energy Fund, Inc."/>
    <x v="2"/>
    <s v="N/A"/>
    <s v="$186.31M"/>
    <n v="186310000"/>
    <n v="799.63"/>
    <n v="4.99"/>
    <n v="107079098"/>
    <d v="2022-07-03T00:00:00"/>
    <s v="Missing"/>
    <m/>
  </r>
  <r>
    <s v="oboyackmf"/>
    <s v="topsy.com"/>
    <s v="Osborn"/>
    <s v="Boyack"/>
    <s v="Male"/>
    <s v="Male"/>
    <s v="194.126.157.13"/>
    <s v="184.58.2.239"/>
    <n v="808"/>
    <n v="808"/>
    <s v="NYSE"/>
    <s v="KAP"/>
    <s v="KCAP Financial, Inc."/>
    <x v="2"/>
    <s v="N/A"/>
    <s v="N/A"/>
    <n v="0"/>
    <n v="217.39"/>
    <n v="13.12"/>
    <n v="58163787"/>
    <d v="2022-10-17T00:00:00"/>
    <s v="Missing"/>
    <m/>
  </r>
  <r>
    <s v="rpaddickmg"/>
    <s v="google.it"/>
    <s v="Reynold"/>
    <s v="Paddick"/>
    <s v="Male"/>
    <s v="Male"/>
    <s v="132.25.72.155"/>
    <s v="126.42.231.15"/>
    <n v="809"/>
    <n v="809"/>
    <s v="NASDAQ"/>
    <s v="RKDA"/>
    <s v="Arcadia Biosciences, Inc."/>
    <x v="10"/>
    <s v="Agricultural Chemicals"/>
    <s v="$26.03M"/>
    <n v="26030000"/>
    <n v="211.97"/>
    <n v="16.05"/>
    <n v="69233070"/>
    <d v="2024-01-14T00:00:00"/>
    <s v="Complete"/>
    <m/>
  </r>
  <r>
    <s v="nsleightmh"/>
    <s v="yellowbook.com"/>
    <s v="Nedda"/>
    <s v="Sleight"/>
    <s v="Female"/>
    <s v="Female"/>
    <s v="12.12.201.125"/>
    <s v="68.134.175.204"/>
    <n v="810"/>
    <n v="810"/>
    <s v="NYSE"/>
    <s v="STAG^B"/>
    <s v="Stag Industrial, Inc."/>
    <x v="2"/>
    <s v="N/A"/>
    <s v="N/A"/>
    <n v="0"/>
    <n v="1868.78"/>
    <n v="-19.690000000000001"/>
    <n v="160319136"/>
    <d v="2020-10-02T00:00:00"/>
    <s v="Missing"/>
    <m/>
  </r>
  <r>
    <s v="ecallerymi"/>
    <s v="imgur.com"/>
    <s v="Ettie"/>
    <s v="Callery"/>
    <s v="Female"/>
    <s v="Female"/>
    <s v="207.244.20.58"/>
    <s v="27.91.112.152"/>
    <n v="811"/>
    <n v="811"/>
    <s v="NYSE"/>
    <s v="STAG^C"/>
    <s v="Stag Industrial, Inc."/>
    <x v="2"/>
    <s v="N/A"/>
    <s v="N/A"/>
    <n v="0"/>
    <n v="122.25"/>
    <n v="10.86"/>
    <n v="78456800"/>
    <d v="2023-07-30T00:00:00"/>
    <s v="Missing"/>
    <m/>
  </r>
  <r>
    <s v="jcortesemj"/>
    <s v="cornell.edu"/>
    <s v="Jemima"/>
    <s v="Cortese"/>
    <s v="Female"/>
    <s v="Female"/>
    <s v="87.18.165.172"/>
    <s v="75.77.219.169"/>
    <n v="812"/>
    <n v="812"/>
    <s v="NASDAQ"/>
    <s v="RBCAA"/>
    <s v="Republic Bancorp, Inc."/>
    <x v="3"/>
    <s v="Major Banks"/>
    <s v="$747.14M"/>
    <n v="747140000"/>
    <n v="1088.17"/>
    <n v="-15.44"/>
    <n v="184202118"/>
    <d v="2022-04-22T00:00:00"/>
    <s v="Complete"/>
    <m/>
  </r>
  <r>
    <s v="clambdenmk"/>
    <s v="sakura.ne.jp"/>
    <s v="Camila"/>
    <s v="Lambden"/>
    <s v="Female"/>
    <s v="Female"/>
    <s v="28.202.175.91"/>
    <s v="220.174.39.113"/>
    <n v="813"/>
    <n v="813"/>
    <s v="NYSE"/>
    <s v="HT^C"/>
    <s v="Hersha Hospitality Trust"/>
    <x v="2"/>
    <s v="N/A"/>
    <s v="N/A"/>
    <n v="0"/>
    <n v="116.57"/>
    <n v="-13.84"/>
    <n v="8058698"/>
    <d v="2026-11-21T00:00:00"/>
    <s v="Missing"/>
    <m/>
  </r>
  <r>
    <s v="ablackwoodml"/>
    <s v="technorati.com"/>
    <s v="Andre"/>
    <s v="Blackwood"/>
    <s v="Polygender"/>
    <s v="Other"/>
    <s v="116.105.217.228"/>
    <s v="94.103.15.163"/>
    <n v="814"/>
    <n v="814"/>
    <s v="NYSE"/>
    <s v="AVX"/>
    <s v="AVX Corporation"/>
    <x v="1"/>
    <s v="Electrical Products"/>
    <s v="$2.71B"/>
    <n v="2710000000"/>
    <n v="1606.01"/>
    <n v="19.36"/>
    <n v="115653952"/>
    <d v="2026-03-14T00:00:00"/>
    <s v="Complete"/>
    <m/>
  </r>
  <r>
    <s v="rstockenmm"/>
    <s v="hostgator.com"/>
    <s v="Regen"/>
    <s v="Stocken"/>
    <s v="Male"/>
    <s v="Male"/>
    <s v="163.181.29.112"/>
    <s v="238.157.121.192"/>
    <n v="815"/>
    <n v="815"/>
    <s v="NASDAQ"/>
    <s v="OASM"/>
    <s v="Oasmia Pharmaceutical AB"/>
    <x v="0"/>
    <s v="Major Pharmaceuticals"/>
    <s v="$38.24M"/>
    <n v="38240000"/>
    <n v="1653.65"/>
    <n v="-19.38"/>
    <n v="145093615"/>
    <d v="2022-01-02T00:00:00"/>
    <s v="Complete"/>
    <m/>
  </r>
  <r>
    <s v="mcannavanmn"/>
    <s v="amazon.de"/>
    <s v="Marris"/>
    <s v="Cannavan"/>
    <s v="Female"/>
    <s v="Female"/>
    <s v="73.82.57.208"/>
    <s v="179.35.171.170"/>
    <n v="816"/>
    <n v="816"/>
    <s v="NASDAQ"/>
    <s v="FLIR"/>
    <s v="FLIR Systems, Inc."/>
    <x v="1"/>
    <s v="Industrial Machinery/Components"/>
    <s v="$4.84B"/>
    <n v="4840000000"/>
    <n v="1041.72"/>
    <n v="-1.61"/>
    <n v="101225766"/>
    <d v="2024-04-19T00:00:00"/>
    <s v="Complete"/>
    <m/>
  </r>
  <r>
    <s v="mwilbermo"/>
    <s v="a8.net"/>
    <s v="Maxy"/>
    <s v="Wilber"/>
    <s v="Male"/>
    <s v="Male"/>
    <s v="201.133.112.155"/>
    <s v="65.242.95.212"/>
    <n v="817"/>
    <n v="817"/>
    <s v="NASDAQ"/>
    <s v="QCLN"/>
    <s v="First Trust NASDAQ Clean Edge Green Energy Index Fund"/>
    <x v="2"/>
    <s v="N/A"/>
    <s v="$61.17M"/>
    <n v="61170000"/>
    <n v="38.47"/>
    <n v="-8.39"/>
    <n v="33953327"/>
    <d v="2024-10-10T00:00:00"/>
    <s v="Missing"/>
    <m/>
  </r>
  <r>
    <s v="graittmp"/>
    <s v="sitemeter.com"/>
    <s v="Gussy"/>
    <s v="Raitt"/>
    <s v="Polygender"/>
    <s v="Other"/>
    <s v="129.113.107.2"/>
    <s v="73.157.121.144"/>
    <n v="818"/>
    <n v="818"/>
    <s v="NASDAQ"/>
    <s v="VRML"/>
    <s v="Vermillion, Inc."/>
    <x v="0"/>
    <s v="Biotechnology: In Vitro &amp; In Vivo Diagnostic Substances"/>
    <s v="$95.91M"/>
    <n v="95910000"/>
    <n v="1086.32"/>
    <n v="-12.6"/>
    <n v="196173132"/>
    <d v="2021-12-29T00:00:00"/>
    <s v="Complete"/>
    <m/>
  </r>
  <r>
    <s v="dbosheremq"/>
    <s v="webs.com"/>
    <s v="Dean"/>
    <s v="Boshere"/>
    <s v="Male"/>
    <s v="Male"/>
    <s v="201.213.145.3"/>
    <s v="104.108.24.237"/>
    <n v="819"/>
    <n v="819"/>
    <s v="NYSE"/>
    <s v="TOWR"/>
    <s v="Tower International, Inc."/>
    <x v="1"/>
    <s v="Auto Parts:O.E.M."/>
    <s v="$446.68M"/>
    <n v="446680000"/>
    <n v="1742.26"/>
    <n v="-16.53"/>
    <n v="141761616"/>
    <d v="2023-08-29T00:00:00"/>
    <s v="Complete"/>
    <m/>
  </r>
  <r>
    <s v="wairdsmr"/>
    <s v="marketwatch.com"/>
    <s v="Winny"/>
    <s v="Airds"/>
    <s v="Male"/>
    <s v="Male"/>
    <s v="34.177.28.219"/>
    <s v="98.201.84.97"/>
    <n v="820"/>
    <n v="820"/>
    <s v="NASDAQ"/>
    <s v="CEVA"/>
    <s v="CEVA, Inc."/>
    <x v="4"/>
    <s v="Semiconductors"/>
    <s v="$979.59M"/>
    <n v="979590000"/>
    <n v="1038.69"/>
    <n v="-19.63"/>
    <n v="69164409"/>
    <d v="2024-05-03T00:00:00"/>
    <s v="Complete"/>
    <m/>
  </r>
  <r>
    <s v="pelionms"/>
    <s v="bravesites.com"/>
    <s v="Phaedra"/>
    <s v="Elion"/>
    <s v="Female"/>
    <s v="Female"/>
    <s v="189.229.34.108"/>
    <s v="239.171.114.31"/>
    <n v="821"/>
    <n v="821"/>
    <s v="NYSE"/>
    <s v="KIM"/>
    <s v="Kimco Realty Corporation"/>
    <x v="6"/>
    <s v="Real Estate Investment Trusts"/>
    <s v="$7.87B"/>
    <n v="7870000000"/>
    <n v="1833.95"/>
    <n v="1.66"/>
    <n v="152474132"/>
    <d v="2024-03-16T00:00:00"/>
    <s v="Complete"/>
    <m/>
  </r>
  <r>
    <s v="byewmanmt"/>
    <s v="theguardian.com"/>
    <s v="Bronnie"/>
    <s v="Yewman"/>
    <s v="Male"/>
    <s v="Male"/>
    <s v="7.96.215.78"/>
    <s v="149.14.159.194"/>
    <n v="822"/>
    <n v="822"/>
    <s v="NASDAQ"/>
    <s v="FTXL"/>
    <s v="First Trust Nasdaq Semiconductor ETF"/>
    <x v="2"/>
    <s v="N/A"/>
    <s v="$21.58M"/>
    <n v="21580000"/>
    <n v="295.05"/>
    <n v="-13.71"/>
    <n v="129680111"/>
    <d v="2020-02-15T00:00:00"/>
    <s v="Missing"/>
    <m/>
  </r>
  <r>
    <s v="bbrimblecombmu"/>
    <s v="nationalgeographic.com"/>
    <s v="Burt"/>
    <s v="Brimblecomb"/>
    <s v="Male"/>
    <s v="Male"/>
    <s v="202.245.142.53"/>
    <s v="29.143.9.101"/>
    <n v="823"/>
    <n v="823"/>
    <s v="NASDAQ"/>
    <s v="CIVB"/>
    <s v="Civista Bancshares, Inc. "/>
    <x v="3"/>
    <s v="Major Banks"/>
    <s v="$204.1M"/>
    <n v="204100000"/>
    <n v="1350.51"/>
    <n v="0.52"/>
    <n v="72202401"/>
    <d v="2024-10-10T00:00:00"/>
    <s v="Complete"/>
    <m/>
  </r>
  <r>
    <s v="aantoschmv"/>
    <s v="123-reg.co.uk"/>
    <s v="Ardeen"/>
    <s v="Antosch"/>
    <s v="Female"/>
    <s v="Female"/>
    <s v="134.19.55.83"/>
    <s v="191.104.169.209"/>
    <n v="824"/>
    <n v="824"/>
    <s v="NYSE"/>
    <s v="GM"/>
    <s v="General Motors Company"/>
    <x v="1"/>
    <s v="Auto Manufacturing"/>
    <s v="$51.8B"/>
    <n v="51800000000"/>
    <n v="1017.45"/>
    <n v="-16.739999999999998"/>
    <n v="195335370"/>
    <d v="2020-12-11T00:00:00"/>
    <s v="Complete"/>
    <m/>
  </r>
  <r>
    <s v="lcottumw"/>
    <s v="zdnet.com"/>
    <s v="Lindi"/>
    <s v="Cottu"/>
    <s v="Female"/>
    <s v="Female"/>
    <s v="84.187.7.127"/>
    <s v="220.64.64.47"/>
    <n v="825"/>
    <n v="825"/>
    <s v="NASDAQ"/>
    <s v="AUDC"/>
    <s v="AudioCodes Ltd."/>
    <x v="8"/>
    <s v="Telecommunications Equipment"/>
    <s v="$203.22M"/>
    <n v="203220000"/>
    <n v="1352.66"/>
    <n v="-1.81"/>
    <n v="138377358"/>
    <d v="2026-09-22T00:00:00"/>
    <s v="Complete"/>
    <m/>
  </r>
  <r>
    <s v="tthompkinsmx"/>
    <s v="paypal.com"/>
    <s v="Tull"/>
    <s v="Thompkins"/>
    <s v="Agender"/>
    <s v="Other"/>
    <s v="191.11.211.234"/>
    <s v="206.74.114.222"/>
    <n v="826"/>
    <n v="826"/>
    <s v="NASDAQ"/>
    <s v="FDUS"/>
    <s v="Fidus Investment Corporation"/>
    <x v="2"/>
    <s v="N/A"/>
    <s v="$383.58M"/>
    <n v="383580000"/>
    <n v="128.63999999999999"/>
    <n v="-6.15"/>
    <n v="195706053"/>
    <d v="2025-11-05T00:00:00"/>
    <s v="Missing"/>
    <m/>
  </r>
  <r>
    <s v="sboykettmy"/>
    <s v="cam.ac.uk"/>
    <s v="Sherri"/>
    <s v="Boykett"/>
    <s v="Agender"/>
    <s v="Other"/>
    <s v="116.34.69.90"/>
    <s v="118.251.180.153"/>
    <n v="827"/>
    <n v="827"/>
    <s v="NASDAQ"/>
    <s v="BNTCW"/>
    <s v="Benitec Biopharma Limited"/>
    <x v="0"/>
    <s v="Major Pharmaceuticals"/>
    <s v="N/A"/>
    <n v="0"/>
    <n v="347.43"/>
    <n v="-1.0900000000000001"/>
    <n v="68181179"/>
    <d v="2025-02-17T00:00:00"/>
    <s v="Missing"/>
    <m/>
  </r>
  <r>
    <s v="jriccimz"/>
    <s v="nifty.com"/>
    <s v="Jacqueline"/>
    <s v="Ricci"/>
    <s v="Female"/>
    <s v="Female"/>
    <s v="55.162.243.51"/>
    <s v="213.195.112.95"/>
    <n v="828"/>
    <n v="828"/>
    <s v="NASDAQ"/>
    <s v="XLNX"/>
    <s v="Xilinx, Inc."/>
    <x v="4"/>
    <s v="Semiconductors"/>
    <s v="$16.06B"/>
    <n v="16059999999.999998"/>
    <n v="91.54"/>
    <n v="-10.029999999999999"/>
    <n v="6474807"/>
    <d v="2026-01-08T00:00:00"/>
    <s v="Complete"/>
    <m/>
  </r>
  <r>
    <s v="maddicottn0"/>
    <s v="nytimes.com"/>
    <s v="Marcellina"/>
    <s v="Addicott"/>
    <s v="Bigender"/>
    <s v="Other"/>
    <s v="52.111.161.150"/>
    <s v="188.245.123.206"/>
    <n v="829"/>
    <n v="829"/>
    <s v="NYSE"/>
    <s v="CHA"/>
    <s v="China Telecom Corp Ltd"/>
    <x v="8"/>
    <s v="Telecommunications Equipment"/>
    <s v="$39.48B"/>
    <n v="39480000000"/>
    <n v="798.77"/>
    <n v="-9.4"/>
    <n v="192746371"/>
    <d v="2026-05-08T00:00:00"/>
    <s v="Complete"/>
    <m/>
  </r>
  <r>
    <s v="csonnenscheinn1"/>
    <s v="archive.org"/>
    <s v="Corly"/>
    <s v="Sonnenschein"/>
    <s v="Female"/>
    <s v="Female"/>
    <s v="223.101.60.194"/>
    <s v="124.180.231.74"/>
    <n v="830"/>
    <n v="830"/>
    <s v="NASDAQ"/>
    <s v="GSOL"/>
    <s v="Global Sources Ltd."/>
    <x v="6"/>
    <s v="Advertising"/>
    <s v="$488.08M"/>
    <n v="488080000"/>
    <n v="1262.03"/>
    <n v="8.44"/>
    <n v="128980645"/>
    <d v="2021-03-17T00:00:00"/>
    <s v="Complete"/>
    <m/>
  </r>
  <r>
    <s v="ncharvillen2"/>
    <s v="arstechnica.com"/>
    <s v="Norbie"/>
    <s v="Charville"/>
    <s v="Polygender"/>
    <s v="Other"/>
    <s v="9.54.97.117"/>
    <s v="46.147.204.54"/>
    <n v="831"/>
    <n v="831"/>
    <s v="NYSE"/>
    <s v="VLY"/>
    <s v="Valley National Bancorp"/>
    <x v="3"/>
    <s v="Major Banks"/>
    <s v="$3.11B"/>
    <n v="3110000000"/>
    <n v="1451.88"/>
    <n v="-0.35"/>
    <n v="64449089"/>
    <d v="2020-06-28T00:00:00"/>
    <s v="Complete"/>
    <m/>
  </r>
  <r>
    <s v="mbonhann3"/>
    <s v="blog.com"/>
    <s v="Missie"/>
    <s v="Bonhan"/>
    <s v="Female"/>
    <s v="Female"/>
    <s v="45.88.160.157"/>
    <s v="77.147.97.151"/>
    <n v="832"/>
    <n v="832"/>
    <s v="NYSE"/>
    <s v="ETW"/>
    <s v="Eaton Vance Corporation"/>
    <x v="2"/>
    <s v="N/A"/>
    <s v="$1.22B"/>
    <n v="1220000000"/>
    <n v="1663.87"/>
    <n v="-13.61"/>
    <n v="166642107"/>
    <d v="2024-12-24T00:00:00"/>
    <s v="Missing"/>
    <m/>
  </r>
  <r>
    <s v="fhoyn4"/>
    <s v="archive.org"/>
    <s v="Francklin"/>
    <s v="Hoy"/>
    <s v="Polygender"/>
    <s v="Other"/>
    <s v="208.42.167.51"/>
    <s v="108.81.141.0"/>
    <n v="833"/>
    <n v="833"/>
    <s v="NYSE"/>
    <s v="SGF"/>
    <s v="Aberdeen Singapore Fund, Inc."/>
    <x v="2"/>
    <s v="N/A"/>
    <s v="$84.33M"/>
    <n v="84330000"/>
    <n v="1177.97"/>
    <n v="2.3199999999999998"/>
    <n v="72730141"/>
    <d v="2023-08-13T00:00:00"/>
    <s v="Missing"/>
    <m/>
  </r>
  <r>
    <s v="akidneyn5"/>
    <s v="time.com"/>
    <s v="Augy"/>
    <s v="Kidney"/>
    <s v="Male"/>
    <s v="Male"/>
    <s v="162.117.96.145"/>
    <s v="34.41.78.255"/>
    <n v="834"/>
    <n v="834"/>
    <s v="NASDAQ"/>
    <s v="CORE"/>
    <s v="Core-Mark Holding Company, Inc."/>
    <x v="5"/>
    <s v="Food Distributors"/>
    <s v="$1.59B"/>
    <n v="1590000000"/>
    <n v="509.79"/>
    <n v="18.440000000000001"/>
    <n v="17418492"/>
    <d v="2024-01-06T00:00:00"/>
    <s v="Complete"/>
    <m/>
  </r>
  <r>
    <s v="dbremingn6"/>
    <s v="cargocollective.com"/>
    <s v="Dasha"/>
    <s v="Breming"/>
    <s v="Female"/>
    <s v="Female"/>
    <s v="209.204.135.249"/>
    <s v="93.38.228.80"/>
    <n v="835"/>
    <n v="835"/>
    <s v="NYSE"/>
    <s v="WLK"/>
    <s v="Westlake Chemical Corporation"/>
    <x v="10"/>
    <s v="Major Chemicals"/>
    <s v="$8.21B"/>
    <n v="8210000000.000001"/>
    <n v="794.76"/>
    <n v="17.170000000000002"/>
    <n v="31024257"/>
    <d v="2020-03-14T00:00:00"/>
    <s v="Complete"/>
    <m/>
  </r>
  <r>
    <s v="mbunstonn7"/>
    <s v="tiny.cc"/>
    <s v="Meaghan"/>
    <s v="Bunston"/>
    <s v="Female"/>
    <s v="Female"/>
    <s v="154.186.232.11"/>
    <s v="99.118.142.238"/>
    <n v="836"/>
    <n v="836"/>
    <s v="NASDAQ"/>
    <s v="MAUI"/>
    <s v="AdvisorShares Market Adaptive Unconstrained Income ETF"/>
    <x v="2"/>
    <s v="N/A"/>
    <s v="$1.23M"/>
    <n v="1230000"/>
    <n v="1732.83"/>
    <n v="18.329999999999998"/>
    <n v="192101900"/>
    <d v="2021-03-21T00:00:00"/>
    <s v="Missing"/>
    <m/>
  </r>
  <r>
    <s v="lphettisn8"/>
    <s v="canalblog.com"/>
    <s v="Lars"/>
    <s v="Phettis"/>
    <s v="Male"/>
    <s v="Male"/>
    <s v="147.112.108.162"/>
    <s v="173.52.108.94"/>
    <n v="837"/>
    <n v="837"/>
    <s v="NYSE"/>
    <s v="CSTM"/>
    <s v="Constellium N.V."/>
    <x v="10"/>
    <s v="Metal Fabrications"/>
    <s v="$702.12M"/>
    <n v="702120000"/>
    <n v="1723.54"/>
    <n v="-14.72"/>
    <n v="826473"/>
    <d v="2020-02-16T00:00:00"/>
    <s v="Complete"/>
    <m/>
  </r>
  <r>
    <s v="abiglyn9"/>
    <s v="flickr.com"/>
    <s v="Augustine"/>
    <s v="Bigly"/>
    <s v="Male"/>
    <s v="Male"/>
    <s v="74.20.39.147"/>
    <s v="111.144.170.230"/>
    <n v="838"/>
    <n v="838"/>
    <s v="NYSE"/>
    <s v="NRT"/>
    <s v="North European Oil Royality Trust"/>
    <x v="9"/>
    <s v="Oil &amp; Gas Production"/>
    <s v="$61.21M"/>
    <n v="61210000"/>
    <n v="815.79"/>
    <n v="-5.19"/>
    <n v="161381844"/>
    <d v="2026-05-15T00:00:00"/>
    <s v="Complete"/>
    <m/>
  </r>
  <r>
    <s v="fgrishakinna"/>
    <s v="bloglovin.com"/>
    <s v="Franny"/>
    <s v="Grishakin"/>
    <s v="Male"/>
    <s v="Male"/>
    <s v="95.144.153.16"/>
    <s v="21.255.134.157"/>
    <n v="839"/>
    <n v="839"/>
    <s v="NASDAQ"/>
    <s v="CPSH"/>
    <s v="CPS Technologies Corp."/>
    <x v="1"/>
    <s v="Building Materials"/>
    <s v="$15.84M"/>
    <n v="15840000"/>
    <n v="1792.09"/>
    <n v="11.5"/>
    <n v="28804976"/>
    <d v="2021-01-01T00:00:00"/>
    <s v="Complete"/>
    <m/>
  </r>
  <r>
    <s v="ddominettinb"/>
    <s v="exblog.jp"/>
    <s v="Denny"/>
    <s v="Dominetti"/>
    <s v="Male"/>
    <s v="Male"/>
    <s v="117.201.173.8"/>
    <s v="158.204.14.68"/>
    <n v="840"/>
    <n v="840"/>
    <s v="NYSE"/>
    <s v="WAIR"/>
    <s v="Wesco Aircraft Holdings, Inc."/>
    <x v="1"/>
    <s v="Wholesale Distributors"/>
    <s v="$1B"/>
    <n v="1000000000"/>
    <n v="217.07"/>
    <n v="16.55"/>
    <n v="134358732"/>
    <d v="2020-07-28T00:00:00"/>
    <s v="Complete"/>
    <m/>
  </r>
  <r>
    <s v="rtribenc"/>
    <s v="nbcnews.com"/>
    <s v="Rawley"/>
    <s v="Tribe"/>
    <s v="Male"/>
    <s v="Male"/>
    <s v="37.26.36.237"/>
    <s v="145.50.87.192"/>
    <n v="841"/>
    <n v="841"/>
    <s v="NASDAQ"/>
    <s v="FSAM"/>
    <s v="Fifth Street Asset Management Inc."/>
    <x v="3"/>
    <s v="Investment Managers"/>
    <s v="$172.02M"/>
    <n v="172020000"/>
    <n v="870.49"/>
    <n v="11.1"/>
    <n v="198344344"/>
    <d v="2023-10-16T00:00:00"/>
    <s v="Complete"/>
    <m/>
  </r>
  <r>
    <s v="kantoszewskind"/>
    <s v="mlb.com"/>
    <s v="Kristian"/>
    <s v="Antoszewski"/>
    <s v="Male"/>
    <s v="Male"/>
    <s v="118.36.167.126"/>
    <s v="162.104.164.247"/>
    <n v="842"/>
    <n v="842"/>
    <s v="NASDAQ"/>
    <s v="CLNE"/>
    <s v="Clean Energy Fuels Corp."/>
    <x v="8"/>
    <s v="Natural Gas Distribution"/>
    <s v="$380.76M"/>
    <n v="380760000"/>
    <n v="1138.17"/>
    <n v="-19.39"/>
    <n v="179353963"/>
    <d v="2026-08-31T00:00:00"/>
    <s v="Complete"/>
    <m/>
  </r>
  <r>
    <s v="pfaugheyne"/>
    <s v="scribd.com"/>
    <s v="Philbert"/>
    <s v="Faughey"/>
    <s v="Male"/>
    <s v="Male"/>
    <s v="196.23.229.59"/>
    <s v="170.97.97.41"/>
    <n v="843"/>
    <n v="843"/>
    <s v="NYSE"/>
    <s v="ZBK"/>
    <s v="Zions Bancorporation"/>
    <x v="3"/>
    <s v="Major Banks"/>
    <s v="N/A"/>
    <n v="0"/>
    <n v="915.81"/>
    <n v="14.51"/>
    <n v="49388220"/>
    <d v="2022-09-28T00:00:00"/>
    <s v="Missing"/>
    <m/>
  </r>
  <r>
    <s v="mkretchmernf"/>
    <s v="g.co"/>
    <s v="Mord"/>
    <s v="Kretchmer"/>
    <s v="Male"/>
    <s v="Male"/>
    <s v="79.1.114.130"/>
    <s v="98.46.71.129"/>
    <n v="844"/>
    <n v="844"/>
    <s v="NYSE"/>
    <s v="BF.A"/>
    <s v="Brown Forman Corporation"/>
    <x v="2"/>
    <s v="N/A"/>
    <s v="N/A"/>
    <n v="0"/>
    <n v="1903.83"/>
    <n v="-5.75"/>
    <n v="27504328"/>
    <d v="2024-12-08T00:00:00"/>
    <s v="Missing"/>
    <m/>
  </r>
  <r>
    <s v="alegisterng"/>
    <s v="vistaprint.com"/>
    <s v="Agnese"/>
    <s v="Legister"/>
    <s v="Female"/>
    <s v="Female"/>
    <s v="91.2.134.200"/>
    <s v="160.106.30.23"/>
    <n v="845"/>
    <n v="845"/>
    <s v="NASDAQ"/>
    <s v="PPSI"/>
    <s v="Pioneer Power Solutions, Inc."/>
    <x v="11"/>
    <s v="Electrical Products"/>
    <s v="$56.68M"/>
    <n v="56680000"/>
    <n v="183.61"/>
    <n v="-12.94"/>
    <n v="11371365"/>
    <d v="2026-05-26T00:00:00"/>
    <s v="Complete"/>
    <m/>
  </r>
  <r>
    <s v="sroomnh"/>
    <s v="answers.com"/>
    <s v="Shanna"/>
    <s v="Room"/>
    <s v="Female"/>
    <s v="Female"/>
    <s v="97.210.252.236"/>
    <s v="91.74.137.67"/>
    <n v="846"/>
    <n v="846"/>
    <s v="NASDAQ"/>
    <s v="NH"/>
    <s v="NantHealth, Inc."/>
    <x v="4"/>
    <s v="EDP Services"/>
    <s v="$434.35M"/>
    <n v="434350000"/>
    <n v="674.23"/>
    <n v="-18.239999999999998"/>
    <n v="40624881"/>
    <d v="2025-08-04T00:00:00"/>
    <s v="Complete"/>
    <m/>
  </r>
  <r>
    <s v="dfiginni"/>
    <s v="surveymonkey.com"/>
    <s v="Darbie"/>
    <s v="Figin"/>
    <s v="Female"/>
    <s v="Female"/>
    <s v="101.255.106.244"/>
    <s v="11.201.17.171"/>
    <n v="847"/>
    <n v="847"/>
    <s v="NYSE"/>
    <s v="TRCO"/>
    <s v="Tribune Media Company"/>
    <x v="6"/>
    <s v="Broadcasting"/>
    <s v="$3.57B"/>
    <n v="3570000000"/>
    <n v="1472.36"/>
    <n v="12.14"/>
    <n v="73795516"/>
    <d v="2023-08-11T00:00:00"/>
    <s v="Complete"/>
    <m/>
  </r>
  <r>
    <s v="kduckersnj"/>
    <s v="sfgate.com"/>
    <s v="Karlens"/>
    <s v="Duckers"/>
    <s v="Male"/>
    <s v="Male"/>
    <s v="145.31.9.24"/>
    <s v="173.240.211.24"/>
    <n v="848"/>
    <n v="848"/>
    <s v="NASDAQ"/>
    <s v="DRAM"/>
    <s v="Dataram Corporation"/>
    <x v="4"/>
    <s v="Electronic Components"/>
    <s v="$23.54M"/>
    <n v="23540000"/>
    <n v="1363.97"/>
    <n v="5.19"/>
    <n v="49150672"/>
    <d v="2021-04-24T00:00:00"/>
    <s v="Complete"/>
    <m/>
  </r>
  <r>
    <s v="eotridgenk"/>
    <s v="simplemachines.org"/>
    <s v="Evey"/>
    <s v="Otridge"/>
    <s v="Female"/>
    <s v="Female"/>
    <s v="167.138.7.112"/>
    <s v="169.13.65.151"/>
    <n v="849"/>
    <n v="849"/>
    <s v="NASDAQ"/>
    <s v="LOPE"/>
    <s v="Grand Canyon Education, Inc."/>
    <x v="6"/>
    <s v="Other Consumer Services"/>
    <s v="$3.9B"/>
    <n v="3900000000"/>
    <n v="875.59"/>
    <n v="-5.12"/>
    <n v="163927118"/>
    <d v="2024-01-27T00:00:00"/>
    <s v="Complete"/>
    <m/>
  </r>
  <r>
    <s v="irumensnl"/>
    <s v="columbia.edu"/>
    <s v="Iosep"/>
    <s v="Rumens"/>
    <s v="Male"/>
    <s v="Male"/>
    <s v="248.60.71.74"/>
    <s v="47.143.230.75"/>
    <n v="850"/>
    <n v="850"/>
    <s v="NYSE"/>
    <s v="GTT"/>
    <s v="GTT Communications, Inc."/>
    <x v="8"/>
    <s v="Telecommunications Equipment"/>
    <s v="$1.35B"/>
    <n v="1350000000"/>
    <n v="1230.55"/>
    <n v="-17.079999999999998"/>
    <n v="44945486"/>
    <d v="2025-01-29T00:00:00"/>
    <s v="Complete"/>
    <m/>
  </r>
  <r>
    <s v="lfiridolfinm"/>
    <s v="google.pl"/>
    <s v="Leslie"/>
    <s v="Firidolfi"/>
    <s v="Female"/>
    <s v="Female"/>
    <s v="183.100.156.26"/>
    <s v="75.237.181.53"/>
    <n v="851"/>
    <n v="851"/>
    <s v="NYSE"/>
    <s v="AJRD"/>
    <s v="Aerojet Rocketdyne Holdings, Inc. "/>
    <x v="1"/>
    <s v="Military/Government/Technical"/>
    <s v="$1.55B"/>
    <n v="1550000000"/>
    <n v="363.38"/>
    <n v="-14.88"/>
    <n v="33577830"/>
    <d v="2024-10-14T00:00:00"/>
    <s v="Complete"/>
    <m/>
  </r>
  <r>
    <s v="hbuxsynn"/>
    <s v="histats.com"/>
    <s v="Hilliard"/>
    <s v="Buxsy"/>
    <s v="Male"/>
    <s v="Male"/>
    <s v="213.203.80.200"/>
    <s v="12.149.93.83"/>
    <n v="852"/>
    <n v="852"/>
    <s v="NASDAQ"/>
    <s v="DGRW"/>
    <s v="WisdomTree U.S. Quality Dividend Growth Fund"/>
    <x v="2"/>
    <s v="N/A"/>
    <s v="$1.45B"/>
    <n v="1450000000"/>
    <n v="374.12"/>
    <n v="8.8699999999999992"/>
    <n v="106416632"/>
    <d v="2021-12-26T00:00:00"/>
    <s v="Missing"/>
    <m/>
  </r>
  <r>
    <s v="lfanthomeno"/>
    <s v="t.co"/>
    <s v="Lyon"/>
    <s v="Fanthome"/>
    <s v="Male"/>
    <s v="Male"/>
    <s v="101.230.163.5"/>
    <s v="73.248.134.165"/>
    <n v="853"/>
    <n v="853"/>
    <s v="NASDAQ"/>
    <s v="PLSE"/>
    <s v="Pulse Biosciences, Inc"/>
    <x v="0"/>
    <s v="Medical/Dental Instruments"/>
    <s v="$494.01M"/>
    <n v="494010000"/>
    <n v="373.3"/>
    <n v="12.64"/>
    <n v="94857848"/>
    <d v="2021-05-11T00:00:00"/>
    <s v="Complete"/>
    <m/>
  </r>
  <r>
    <s v="smellernp"/>
    <s v="1und1.de"/>
    <s v="Sinclare"/>
    <s v="Meller"/>
    <s v="Male"/>
    <s v="Male"/>
    <s v="95.48.39.137"/>
    <s v="74.83.243.130"/>
    <n v="854"/>
    <n v="854"/>
    <s v="NYSE"/>
    <s v="EGN"/>
    <s v="Energen Corporation"/>
    <x v="9"/>
    <s v="Oil &amp; Gas Production"/>
    <s v="$5.04B"/>
    <n v="5040000000"/>
    <n v="1565.39"/>
    <n v="17.28"/>
    <n v="135682758"/>
    <d v="2023-07-20T00:00:00"/>
    <s v="Complete"/>
    <m/>
  </r>
  <r>
    <s v="jzecchinq"/>
    <s v="go.com"/>
    <s v="Johan"/>
    <s v="Zecchi"/>
    <s v="Male"/>
    <s v="Male"/>
    <s v="120.84.176.136"/>
    <s v="109.60.76.104"/>
    <n v="855"/>
    <n v="855"/>
    <s v="NASDAQ"/>
    <s v="LNDC"/>
    <s v="Landec Corporation"/>
    <x v="10"/>
    <s v="Major Chemicals"/>
    <s v="$390.46M"/>
    <n v="390460000"/>
    <n v="1554.04"/>
    <n v="-15.92"/>
    <n v="152045147"/>
    <d v="2022-09-21T00:00:00"/>
    <s v="Complete"/>
    <m/>
  </r>
  <r>
    <s v="lsherebrookenr"/>
    <s v="psu.edu"/>
    <s v="Lockwood"/>
    <s v="Sherebrooke"/>
    <s v="Male"/>
    <s v="Male"/>
    <s v="68.188.49.25"/>
    <s v="170.198.133.88"/>
    <n v="856"/>
    <n v="856"/>
    <s v="NYSE"/>
    <s v="AGM^A"/>
    <s v="Federal Agricultural Mortgage Corporation"/>
    <x v="2"/>
    <s v="N/A"/>
    <s v="N/A"/>
    <n v="0"/>
    <n v="704.81"/>
    <n v="9.14"/>
    <n v="141924326"/>
    <d v="2022-01-26T00:00:00"/>
    <s v="Missing"/>
    <m/>
  </r>
  <r>
    <s v="aembrans"/>
    <s v="slashdot.org"/>
    <s v="Alasteir"/>
    <s v="Embra"/>
    <s v="Bigender"/>
    <s v="Other"/>
    <s v="69.92.114.43"/>
    <s v="12.161.115.213"/>
    <n v="857"/>
    <n v="857"/>
    <s v="NASDAQ"/>
    <s v="AIQ"/>
    <s v="Alliance HealthCare Services, Inc."/>
    <x v="0"/>
    <s v="Medical Specialities"/>
    <s v="$143.51M"/>
    <n v="143510000"/>
    <n v="280.06"/>
    <n v="-6.8"/>
    <n v="20586395"/>
    <d v="2021-02-13T00:00:00"/>
    <s v="Complete"/>
    <m/>
  </r>
  <r>
    <s v="jkipplingnt"/>
    <s v="github.com"/>
    <s v="Jarad"/>
    <s v="Kippling"/>
    <s v="Male"/>
    <s v="Male"/>
    <s v="191.136.126.131"/>
    <s v="190.177.138.202"/>
    <n v="858"/>
    <n v="858"/>
    <s v="NASDAQ"/>
    <s v="HBP"/>
    <s v="Huttig Building Products, Inc."/>
    <x v="6"/>
    <s v="RETAIL: Building Materials"/>
    <s v="$177.28M"/>
    <n v="177280000"/>
    <n v="713.04"/>
    <n v="-17.18"/>
    <n v="193555028"/>
    <d v="2020-01-07T00:00:00"/>
    <s v="Complete"/>
    <m/>
  </r>
  <r>
    <s v="ipountainnu"/>
    <s v="omniture.com"/>
    <s v="Ignazio"/>
    <s v="Pountain"/>
    <s v="Male"/>
    <s v="Male"/>
    <s v="133.154.240.3"/>
    <s v="26.153.145.12"/>
    <n v="859"/>
    <n v="859"/>
    <s v="NYSE"/>
    <s v="COH"/>
    <s v="Coach, Inc."/>
    <x v="5"/>
    <s v="Apparel"/>
    <s v="$13B"/>
    <n v="13000000000"/>
    <n v="431.15"/>
    <n v="-12.22"/>
    <n v="79222164"/>
    <d v="2020-07-17T00:00:00"/>
    <s v="Complete"/>
    <m/>
  </r>
  <r>
    <s v="mjinkinnv"/>
    <s v="house.gov"/>
    <s v="Mellicent"/>
    <s v="Jinkin"/>
    <s v="Female"/>
    <s v="Female"/>
    <s v="94.125.233.31"/>
    <s v="82.223.145.122"/>
    <n v="860"/>
    <n v="860"/>
    <s v="NYSE"/>
    <s v="ROG"/>
    <s v="Rogers Corporation"/>
    <x v="10"/>
    <s v="Major Chemicals"/>
    <s v="$1.92B"/>
    <n v="1920000000"/>
    <n v="1303.8599999999999"/>
    <n v="-2.4500000000000002"/>
    <n v="102200843"/>
    <d v="2025-03-12T00:00:00"/>
    <s v="Complete"/>
    <m/>
  </r>
  <r>
    <s v="cstaintonnw"/>
    <s v="woothemes.com"/>
    <s v="Ced"/>
    <s v="Stainton"/>
    <s v="Male"/>
    <s v="Male"/>
    <s v="141.55.134.232"/>
    <s v="197.150.137.197"/>
    <n v="861"/>
    <n v="861"/>
    <s v="NASDAQ"/>
    <s v="CINF"/>
    <s v="Cincinnati Financial Corporation"/>
    <x v="3"/>
    <s v="Property-Casualty Insurers"/>
    <s v="$12.15B"/>
    <n v="12150000000"/>
    <n v="1960.97"/>
    <n v="13.26"/>
    <n v="9262415"/>
    <d v="2023-03-01T00:00:00"/>
    <s v="Complete"/>
    <m/>
  </r>
  <r>
    <s v="frosellininx"/>
    <s v="qq.com"/>
    <s v="Frank"/>
    <s v="Rosellini"/>
    <s v="Female"/>
    <s v="Female"/>
    <s v="194.253.89.208"/>
    <s v="246.152.141.217"/>
    <n v="862"/>
    <n v="862"/>
    <s v="NYSE"/>
    <s v="MC"/>
    <s v="Moelis &amp; Company"/>
    <x v="3"/>
    <s v="Investment Managers"/>
    <s v="$1.01B"/>
    <n v="1010000000"/>
    <n v="1989.62"/>
    <n v="4.9800000000000004"/>
    <n v="159608070"/>
    <d v="2020-12-29T00:00:00"/>
    <s v="Complete"/>
    <m/>
  </r>
  <r>
    <s v="rkitchinhamny"/>
    <s v="hugedomains.com"/>
    <s v="Renado"/>
    <s v="Kitchinham"/>
    <s v="Male"/>
    <s v="Male"/>
    <s v="193.215.179.21"/>
    <s v="159.126.35.38"/>
    <n v="863"/>
    <n v="863"/>
    <s v="NYSE"/>
    <s v="BANC^E"/>
    <s v="Banc of California, Inc."/>
    <x v="2"/>
    <s v="N/A"/>
    <s v="N/A"/>
    <n v="0"/>
    <n v="1632.92"/>
    <n v="-15.77"/>
    <n v="175711804"/>
    <d v="2023-12-17T00:00:00"/>
    <s v="Missing"/>
    <m/>
  </r>
  <r>
    <s v="rsircombnz"/>
    <s v="hao123.com"/>
    <s v="Ray"/>
    <s v="Sircomb"/>
    <s v="Female"/>
    <s v="Female"/>
    <s v="69.221.249.62"/>
    <s v="79.215.99.247"/>
    <n v="864"/>
    <n v="864"/>
    <s v="NYSE"/>
    <s v="TER"/>
    <s v="Teradyne, Inc."/>
    <x v="1"/>
    <s v="Electrical Products"/>
    <s v="$6.47B"/>
    <n v="6470000000"/>
    <n v="639.78"/>
    <n v="10.029999999999999"/>
    <n v="115077564"/>
    <d v="2021-08-06T00:00:00"/>
    <s v="Complete"/>
    <m/>
  </r>
  <r>
    <s v="amcmonnieso0"/>
    <s v="alexa.com"/>
    <s v="Agace"/>
    <s v="McMonnies"/>
    <s v="Female"/>
    <s v="Female"/>
    <s v="245.176.228.83"/>
    <s v="175.159.182.26"/>
    <n v="865"/>
    <n v="865"/>
    <s v="NYSE"/>
    <s v="STT^G"/>
    <s v="State Street Corporation"/>
    <x v="2"/>
    <s v="N/A"/>
    <s v="N/A"/>
    <n v="0"/>
    <n v="494.06"/>
    <n v="-12.93"/>
    <n v="170563065"/>
    <d v="2020-11-26T00:00:00"/>
    <s v="Missing"/>
    <m/>
  </r>
  <r>
    <s v="niglesiaso1"/>
    <s v="moonfruit.com"/>
    <s v="Netti"/>
    <s v="Iglesias"/>
    <s v="Female"/>
    <s v="Female"/>
    <s v="153.175.174.179"/>
    <s v="122.70.8.193"/>
    <n v="866"/>
    <n v="866"/>
    <s v="NYSE"/>
    <s v="ASA"/>
    <s v="ASA Gold and Precious Metals Limited"/>
    <x v="2"/>
    <s v="N/A"/>
    <s v="$222.22M"/>
    <n v="222220000"/>
    <n v="262.47000000000003"/>
    <n v="11.19"/>
    <n v="21306884"/>
    <d v="2024-12-06T00:00:00"/>
    <s v="Missing"/>
    <m/>
  </r>
  <r>
    <s v="pfloato2"/>
    <s v="wikia.com"/>
    <s v="Pris"/>
    <s v="Float"/>
    <s v="Genderqueer"/>
    <s v="Other"/>
    <s v="53.144.223.30"/>
    <s v="123.183.61.220"/>
    <n v="867"/>
    <n v="867"/>
    <s v="NASDAQ"/>
    <s v="TROV"/>
    <s v="TrovaGene, Inc."/>
    <x v="0"/>
    <s v="Biotechnology: Biological Products (No Diagnostic Substances)"/>
    <s v="$29.24M"/>
    <n v="29240000"/>
    <n v="282.5"/>
    <n v="6.99"/>
    <n v="8262791"/>
    <d v="2024-06-03T00:00:00"/>
    <s v="Complete"/>
    <m/>
  </r>
  <r>
    <s v="nahmedo3"/>
    <s v="wikipedia.org"/>
    <s v="Nicolea"/>
    <s v="Ahmed"/>
    <s v="Female"/>
    <s v="Female"/>
    <s v="216.127.6.217"/>
    <s v="96.163.66.126"/>
    <n v="868"/>
    <n v="868"/>
    <s v="NASDAQ"/>
    <s v="ESGE"/>
    <s v="iShares MSCI EM ESG Optimized ETF"/>
    <x v="2"/>
    <s v="N/A"/>
    <s v="$54.38M"/>
    <n v="54380000"/>
    <n v="675.06"/>
    <n v="-14.86"/>
    <n v="67075423"/>
    <d v="2020-11-15T00:00:00"/>
    <s v="Missing"/>
    <m/>
  </r>
  <r>
    <s v="ichrismaso4"/>
    <s v="ameblo.jp"/>
    <s v="Inness"/>
    <s v="Chrismas"/>
    <s v="Male"/>
    <s v="Male"/>
    <s v="239.107.81.46"/>
    <s v="49.110.79.124"/>
    <n v="869"/>
    <n v="869"/>
    <s v="NASDAQ"/>
    <s v="MSCC"/>
    <s v="Microsemi Corporation"/>
    <x v="4"/>
    <s v="Semiconductors"/>
    <s v="$5.55B"/>
    <n v="5550000000"/>
    <n v="547.35"/>
    <n v="4.1100000000000003"/>
    <n v="185629195"/>
    <d v="2023-03-11T00:00:00"/>
    <s v="Complete"/>
    <m/>
  </r>
  <r>
    <s v="tbeckmanno5"/>
    <s v="ibm.com"/>
    <s v="Tallou"/>
    <s v="Beckmann"/>
    <s v="Female"/>
    <s v="Female"/>
    <s v="10.104.1.96"/>
    <s v="85.69.195.243"/>
    <n v="870"/>
    <n v="870"/>
    <s v="NASDAQ"/>
    <s v="COVS"/>
    <s v="Covisint Corporation"/>
    <x v="4"/>
    <s v="EDP Services"/>
    <s v="$99.1M"/>
    <n v="99100000"/>
    <n v="516.02"/>
    <n v="15.99"/>
    <n v="157735280"/>
    <d v="2025-12-24T00:00:00"/>
    <s v="Complete"/>
    <m/>
  </r>
  <r>
    <s v="piacovoloo6"/>
    <s v="pbs.org"/>
    <s v="Putnam"/>
    <s v="Iacovolo"/>
    <s v="Male"/>
    <s v="Male"/>
    <s v="126.248.134.144"/>
    <s v="119.13.38.225"/>
    <n v="871"/>
    <n v="871"/>
    <s v="NASDAQ"/>
    <s v="AAOI"/>
    <s v="Applied Optoelectronics, Inc."/>
    <x v="4"/>
    <s v="Semiconductors"/>
    <s v="$1.19B"/>
    <n v="1190000000"/>
    <n v="1004.37"/>
    <n v="-15.76"/>
    <n v="152696845"/>
    <d v="2025-03-03T00:00:00"/>
    <s v="Complete"/>
    <m/>
  </r>
  <r>
    <s v="iportchmoutho7"/>
    <s v="devhub.com"/>
    <s v="Ibbie"/>
    <s v="Portchmouth"/>
    <s v="Female"/>
    <s v="Female"/>
    <s v="187.107.132.194"/>
    <s v="36.85.221.79"/>
    <n v="872"/>
    <n v="872"/>
    <s v="NYSE"/>
    <s v="PES"/>
    <s v="Pioneer Energy Services Corp."/>
    <x v="9"/>
    <s v="Oil &amp; Gas Production"/>
    <s v="$158.42M"/>
    <n v="158420000"/>
    <n v="1638.78"/>
    <n v="-8.3800000000000008"/>
    <n v="101081091"/>
    <d v="2026-09-08T00:00:00"/>
    <s v="Complete"/>
    <m/>
  </r>
  <r>
    <s v="ebeverleyo8"/>
    <s v="cnet.com"/>
    <s v="Ewart"/>
    <s v="Beverley"/>
    <s v="Male"/>
    <s v="Male"/>
    <s v="227.59.223.103"/>
    <s v="192.91.25.102"/>
    <n v="873"/>
    <n v="873"/>
    <s v="NYSE"/>
    <s v="KEP"/>
    <s v="Korea Electric Power Corporation"/>
    <x v="8"/>
    <s v="Electric Utilities: Central"/>
    <s v="$24.6B"/>
    <n v="24600000000"/>
    <n v="208.83"/>
    <n v="2.4700000000000002"/>
    <n v="20901070"/>
    <d v="2024-06-02T00:00:00"/>
    <s v="Complete"/>
    <m/>
  </r>
  <r>
    <s v="phenriqueto9"/>
    <s v="last.fm"/>
    <s v="Paddie"/>
    <s v="Henriquet"/>
    <s v="Male"/>
    <s v="Male"/>
    <s v="6.155.101.92"/>
    <s v="253.210.144.46"/>
    <n v="874"/>
    <n v="874"/>
    <s v="NYSE"/>
    <s v="APTS"/>
    <s v="Preferred Apartment Communities, Inc."/>
    <x v="6"/>
    <s v="Real Estate Investment Trusts"/>
    <s v="$497.06M"/>
    <n v="497060000"/>
    <n v="807.54"/>
    <n v="-14.18"/>
    <n v="64625198"/>
    <d v="2021-11-27T00:00:00"/>
    <s v="Complete"/>
    <m/>
  </r>
  <r>
    <s v="pmitchamoa"/>
    <s v="japanpost.jp"/>
    <s v="Piggy"/>
    <s v="Mitcham"/>
    <s v="Male"/>
    <s v="Male"/>
    <s v="190.24.38.0"/>
    <s v="70.172.29.181"/>
    <n v="875"/>
    <n v="875"/>
    <s v="NYSE"/>
    <s v="KGC"/>
    <s v="Kinross Gold Corporation"/>
    <x v="10"/>
    <s v="Precious Metals"/>
    <s v="$5.1B"/>
    <n v="5100000000"/>
    <n v="1041.3900000000001"/>
    <n v="6.73"/>
    <n v="117448272"/>
    <d v="2024-02-07T00:00:00"/>
    <s v="Complete"/>
    <m/>
  </r>
  <r>
    <s v="abridalob"/>
    <s v="shutterfly.com"/>
    <s v="Adelaide"/>
    <s v="Bridal"/>
    <s v="Female"/>
    <s v="Female"/>
    <s v="190.204.120.74"/>
    <s v="161.210.45.81"/>
    <n v="876"/>
    <n v="876"/>
    <s v="NASDAQ"/>
    <s v="WVVI"/>
    <s v="Willamette Valley Vineyards, Inc."/>
    <x v="5"/>
    <s v="Beverages (Production/Distribution)"/>
    <s v="$40.16M"/>
    <n v="40160000"/>
    <n v="861.45"/>
    <n v="-3.41"/>
    <n v="118623540"/>
    <d v="2024-02-22T00:00:00"/>
    <s v="Complete"/>
    <m/>
  </r>
  <r>
    <s v="rbraybrooksoc"/>
    <s v="pinterest.com"/>
    <s v="Rosemaria"/>
    <s v="Braybrooks"/>
    <s v="Female"/>
    <s v="Female"/>
    <s v="165.30.61.17"/>
    <s v="55.171.211.15"/>
    <n v="877"/>
    <n v="877"/>
    <s v="NYSE"/>
    <s v="GOL"/>
    <s v="Gol Linhas Aereas Inteligentes S.A."/>
    <x v="12"/>
    <s v="Air Freight/Delivery Services"/>
    <s v="$6.06B"/>
    <n v="6060000000"/>
    <n v="1180.04"/>
    <n v="11.82"/>
    <n v="113253888"/>
    <d v="2026-06-14T00:00:00"/>
    <s v="Complete"/>
    <m/>
  </r>
  <r>
    <s v="amckeneyod"/>
    <s v="netscape.com"/>
    <s v="Alyosha"/>
    <s v="McKeney"/>
    <s v="Male"/>
    <s v="Male"/>
    <s v="51.158.45.187"/>
    <s v="115.223.249.186"/>
    <n v="878"/>
    <n v="878"/>
    <s v="NASDAQ"/>
    <s v="ZSAN"/>
    <s v="Zosano Pharma Corporation"/>
    <x v="0"/>
    <s v="Major Pharmaceuticals"/>
    <s v="$52.53M"/>
    <n v="52530000"/>
    <n v="1241.6400000000001"/>
    <n v="17.93"/>
    <n v="136368142"/>
    <d v="2026-03-19T00:00:00"/>
    <s v="Complete"/>
    <m/>
  </r>
  <r>
    <s v="dpionteroe"/>
    <s v="si.edu"/>
    <s v="Durand"/>
    <s v="Pionter"/>
    <s v="Male"/>
    <s v="Male"/>
    <s v="124.182.51.103"/>
    <s v="162.219.128.145"/>
    <n v="879"/>
    <n v="879"/>
    <s v="NYSE"/>
    <s v="MRIN"/>
    <s v="Marin Software Incorporated"/>
    <x v="4"/>
    <s v="EDP Services"/>
    <s v="$47.31M"/>
    <n v="47310000"/>
    <n v="900.28"/>
    <n v="14.22"/>
    <n v="108267078"/>
    <d v="2023-10-07T00:00:00"/>
    <s v="Complete"/>
    <m/>
  </r>
  <r>
    <s v="edorseyof"/>
    <s v="usa.gov"/>
    <s v="Eugenio"/>
    <s v="Dorsey"/>
    <s v="Male"/>
    <s v="Male"/>
    <s v="34.248.211.195"/>
    <s v="88.32.33.225"/>
    <n v="880"/>
    <n v="880"/>
    <s v="NYSE"/>
    <s v="TSS"/>
    <s v="Total System Services, Inc."/>
    <x v="7"/>
    <s v="Business Services"/>
    <s v="$10.85B"/>
    <n v="10850000000"/>
    <n v="369.64"/>
    <n v="9.64"/>
    <n v="179504647"/>
    <d v="2026-11-11T00:00:00"/>
    <s v="Complete"/>
    <m/>
  </r>
  <r>
    <s v="cmacrowog"/>
    <s v="360.cn"/>
    <s v="Caldwell"/>
    <s v="Macrow"/>
    <s v="Male"/>
    <s v="Male"/>
    <s v="86.64.99.163"/>
    <s v="84.209.107.231"/>
    <n v="881"/>
    <n v="881"/>
    <s v="NYSE"/>
    <s v="AJG"/>
    <s v="Arthur J. Gallagher &amp; Co."/>
    <x v="3"/>
    <s v="Specialty Insurers"/>
    <s v="$10.59B"/>
    <n v="10590000000"/>
    <n v="1302.28"/>
    <n v="17.37"/>
    <n v="189727041"/>
    <d v="2021-12-12T00:00:00"/>
    <s v="Complete"/>
    <m/>
  </r>
  <r>
    <s v="amerwedeoh"/>
    <s v="thetimes.co.uk"/>
    <s v="Alwyn"/>
    <s v="Merwede"/>
    <s v="Agender"/>
    <s v="Other"/>
    <s v="49.158.175.22"/>
    <s v="9.190.83.132"/>
    <n v="882"/>
    <n v="882"/>
    <s v="NYSE"/>
    <s v="CBS"/>
    <s v="CBS Corporation"/>
    <x v="6"/>
    <s v="Broadcasting"/>
    <s v="$25.26B"/>
    <n v="25260000000"/>
    <n v="700.7"/>
    <n v="16.03"/>
    <n v="66754782"/>
    <d v="2025-03-21T00:00:00"/>
    <s v="Complete"/>
    <m/>
  </r>
  <r>
    <s v="hclemotoi"/>
    <s v="washingtonpost.com"/>
    <s v="Halette"/>
    <s v="Clemot"/>
    <s v="Female"/>
    <s v="Female"/>
    <s v="176.137.238.77"/>
    <s v="88.218.97.80"/>
    <n v="883"/>
    <n v="883"/>
    <s v="NYSE"/>
    <s v="GRX^A"/>
    <s v="The Gabelli Healthcare &amp; Wellness Trust"/>
    <x v="2"/>
    <s v="N/A"/>
    <s v="N/A"/>
    <n v="0"/>
    <n v="1381.25"/>
    <n v="3.3"/>
    <n v="6426845"/>
    <d v="2024-03-07T00:00:00"/>
    <s v="Missing"/>
    <m/>
  </r>
  <r>
    <s v="ajuniferoj"/>
    <s v="linkedin.com"/>
    <s v="Ax"/>
    <s v="Junifer"/>
    <s v="Male"/>
    <s v="Male"/>
    <s v="93.14.221.162"/>
    <s v="36.73.66.236"/>
    <n v="884"/>
    <n v="884"/>
    <s v="NASDAQ"/>
    <s v="BBOX"/>
    <s v="Black Box Corporation"/>
    <x v="4"/>
    <s v="Computer Communications Equipment"/>
    <s v="$117.47M"/>
    <n v="117470000"/>
    <n v="1341.22"/>
    <n v="-0.22"/>
    <n v="31768594"/>
    <d v="2026-01-08T00:00:00"/>
    <s v="Complete"/>
    <m/>
  </r>
  <r>
    <s v="dmacnairok"/>
    <s v="mozilla.com"/>
    <s v="Dacia"/>
    <s v="MacNair"/>
    <s v="Female"/>
    <s v="Female"/>
    <s v="239.226.89.219"/>
    <s v="100.61.143.59"/>
    <n v="885"/>
    <n v="885"/>
    <s v="NYSE"/>
    <s v="WK"/>
    <s v="Workiva Inc."/>
    <x v="4"/>
    <s v="Computer Software: Prepackaged Software"/>
    <s v="$788.23M"/>
    <n v="788230000"/>
    <n v="1612.04"/>
    <n v="-7.24"/>
    <n v="161870393"/>
    <d v="2025-09-12T00:00:00"/>
    <s v="Complete"/>
    <m/>
  </r>
  <r>
    <s v="skippieol"/>
    <s v="4shared.com"/>
    <s v="Shae"/>
    <s v="Kippie"/>
    <s v="Female"/>
    <s v="Female"/>
    <s v="203.243.180.168"/>
    <s v="222.173.30.29"/>
    <n v="886"/>
    <n v="886"/>
    <s v="NASDAQ"/>
    <s v="SNSS"/>
    <s v="Sunesis Pharmaceuticals, Inc."/>
    <x v="0"/>
    <s v="Major Pharmaceuticals"/>
    <s v="$59.23M"/>
    <n v="59230000"/>
    <n v="1385.53"/>
    <n v="-12.94"/>
    <n v="59189495"/>
    <d v="2024-06-07T00:00:00"/>
    <s v="Complete"/>
    <m/>
  </r>
  <r>
    <s v="tturbanom"/>
    <s v="census.gov"/>
    <s v="Tome"/>
    <s v="Turban"/>
    <s v="Male"/>
    <s v="Male"/>
    <s v="141.30.244.161"/>
    <s v="39.166.58.59"/>
    <n v="887"/>
    <n v="887"/>
    <s v="NYSE"/>
    <s v="AWR"/>
    <s v="American States Water Company"/>
    <x v="8"/>
    <s v="Water Supply"/>
    <s v="$1.83B"/>
    <n v="1830000000"/>
    <n v="1327.37"/>
    <n v="13.73"/>
    <n v="158376047"/>
    <d v="2025-07-01T00:00:00"/>
    <s v="Complete"/>
    <m/>
  </r>
  <r>
    <s v="mpetrosellion"/>
    <s v="eepurl.com"/>
    <s v="Madeline"/>
    <s v="Petroselli"/>
    <s v="Female"/>
    <s v="Female"/>
    <s v="142.31.206.50"/>
    <s v="129.214.182.134"/>
    <n v="888"/>
    <n v="888"/>
    <s v="NYSE"/>
    <s v="MUH"/>
    <s v="Blackrock MuniHoldings Fund II, Inc."/>
    <x v="2"/>
    <s v="N/A"/>
    <s v="$180.01M"/>
    <n v="180010000"/>
    <n v="1736.83"/>
    <n v="10.11"/>
    <n v="42752180"/>
    <d v="2020-12-23T00:00:00"/>
    <s v="Missing"/>
    <m/>
  </r>
  <r>
    <s v="cbootymanoo"/>
    <s v="taobao.com"/>
    <s v="Cissy"/>
    <s v="Bootyman"/>
    <s v="Female"/>
    <s v="Female"/>
    <s v="167.48.182.10"/>
    <s v="166.151.60.31"/>
    <n v="889"/>
    <n v="889"/>
    <s v="NASDAQ"/>
    <s v="STRT"/>
    <s v="Strattec Security Corporation"/>
    <x v="1"/>
    <s v="Auto Parts:O.E.M."/>
    <s v="$121.47M"/>
    <n v="121470000"/>
    <n v="225.62"/>
    <n v="10.7"/>
    <n v="164136831"/>
    <d v="2021-03-26T00:00:00"/>
    <s v="Complete"/>
    <m/>
  </r>
  <r>
    <s v="oschuleop"/>
    <s v="aol.com"/>
    <s v="Orrin"/>
    <s v="Schule"/>
    <s v="Male"/>
    <s v="Male"/>
    <s v="182.125.160.103"/>
    <s v="170.233.200.154"/>
    <n v="890"/>
    <n v="890"/>
    <s v="NASDAQ"/>
    <s v="DXYN"/>
    <s v="The Dixie Group, Inc."/>
    <x v="11"/>
    <s v="Home Furnishings"/>
    <s v="$71.76M"/>
    <n v="71760000"/>
    <n v="1736.1"/>
    <n v="19.399999999999999"/>
    <n v="58872444"/>
    <d v="2026-03-19T00:00:00"/>
    <s v="Complete"/>
    <m/>
  </r>
  <r>
    <s v="kchurchleyoq"/>
    <s v="apple.com"/>
    <s v="Kare"/>
    <s v="Churchley"/>
    <s v="Female"/>
    <s v="Female"/>
    <s v="10.223.209.185"/>
    <s v="249.224.210.72"/>
    <n v="891"/>
    <n v="891"/>
    <s v="NYSE"/>
    <s v="GS^A"/>
    <s v="Goldman Sachs Group, Inc. (The)"/>
    <x v="2"/>
    <s v="N/A"/>
    <s v="N/A"/>
    <n v="0"/>
    <n v="507.37"/>
    <n v="12.64"/>
    <n v="32229571"/>
    <d v="2023-01-16T00:00:00"/>
    <s v="Missing"/>
    <m/>
  </r>
  <r>
    <s v="fthowesor"/>
    <s v="blog.com"/>
    <s v="Fina"/>
    <s v="Thowes"/>
    <s v="Female"/>
    <s v="Female"/>
    <s v="2.57.202.147"/>
    <s v="164.204.62.6"/>
    <n v="892"/>
    <n v="892"/>
    <s v="NASDAQ"/>
    <s v="FSBW"/>
    <s v="FS Bancorp, Inc."/>
    <x v="3"/>
    <s v="Banks"/>
    <s v="$139.32M"/>
    <n v="139320000"/>
    <n v="1942.87"/>
    <n v="-13.38"/>
    <n v="67896446"/>
    <d v="2020-12-22T00:00:00"/>
    <s v="Complete"/>
    <m/>
  </r>
  <r>
    <s v="ecokeos"/>
    <s v="zimbio.com"/>
    <s v="Emmalee"/>
    <s v="Coke"/>
    <s v="Polygender"/>
    <s v="Other"/>
    <s v="192.151.160.114"/>
    <s v="210.255.106.120"/>
    <n v="893"/>
    <n v="893"/>
    <s v="NYSE"/>
    <s v="HMN"/>
    <s v="Horace Mann Educators Corporation"/>
    <x v="3"/>
    <s v="Property-Casualty Insurers"/>
    <s v="$1.59B"/>
    <n v="1590000000"/>
    <n v="638.09"/>
    <n v="4.96"/>
    <n v="163084809"/>
    <d v="2025-09-13T00:00:00"/>
    <s v="Complete"/>
    <m/>
  </r>
  <r>
    <s v="caaronsonot"/>
    <s v="tuttocitta.it"/>
    <s v="Clayton"/>
    <s v="Aaronson"/>
    <s v="Male"/>
    <s v="Male"/>
    <s v="162.75.171.122"/>
    <s v="187.83.69.124"/>
    <n v="894"/>
    <n v="894"/>
    <s v="NYSE"/>
    <s v="INSW"/>
    <s v="International Seaways, Inc."/>
    <x v="6"/>
    <s v="Marine Transportation"/>
    <s v="$580.97M"/>
    <n v="580970000"/>
    <n v="1659"/>
    <n v="11.6"/>
    <n v="190821298"/>
    <d v="2023-08-14T00:00:00"/>
    <s v="Complete"/>
    <m/>
  </r>
  <r>
    <s v="torrisou"/>
    <s v="tinypic.com"/>
    <s v="Terri-jo"/>
    <s v="Orris"/>
    <s v="Female"/>
    <s v="Female"/>
    <s v="218.152.170.74"/>
    <s v="189.215.36.229"/>
    <n v="895"/>
    <n v="895"/>
    <s v="NYSE"/>
    <s v="MUA"/>
    <s v="Blackrock MuniAssets Fund, Inc."/>
    <x v="2"/>
    <s v="N/A"/>
    <s v="$529.78M"/>
    <n v="529780000"/>
    <n v="1603.38"/>
    <n v="-19.93"/>
    <n v="69857657"/>
    <d v="2025-03-25T00:00:00"/>
    <s v="Missing"/>
    <m/>
  </r>
  <r>
    <s v="tbodsworthov"/>
    <s v="friendfeed.com"/>
    <s v="Timothee"/>
    <s v="Bodsworth"/>
    <s v="Male"/>
    <s v="Male"/>
    <s v="205.242.26.97"/>
    <s v="114.133.67.177"/>
    <n v="896"/>
    <n v="896"/>
    <s v="NASDAQ"/>
    <s v="FMCIU"/>
    <s v="Forum Merger Corporation"/>
    <x v="3"/>
    <s v="Business Services"/>
    <s v="N/A"/>
    <n v="0"/>
    <n v="1129.22"/>
    <n v="-3.78"/>
    <n v="44597164"/>
    <d v="2021-03-01T00:00:00"/>
    <s v="Missing"/>
    <m/>
  </r>
  <r>
    <s v="uyokelow"/>
    <s v="liveinternet.ru"/>
    <s v="Udell"/>
    <s v="Yokel"/>
    <s v="Male"/>
    <s v="Male"/>
    <s v="165.9.148.113"/>
    <s v="70.67.102.15"/>
    <n v="897"/>
    <n v="897"/>
    <s v="NYSE"/>
    <s v="HLT"/>
    <s v="Hilton Worldwide Holdings Inc."/>
    <x v="6"/>
    <s v="Hotels/Resorts"/>
    <s v="$21.7B"/>
    <n v="21700000000"/>
    <n v="1124.3900000000001"/>
    <n v="-11.15"/>
    <n v="131590359"/>
    <d v="2024-05-09T00:00:00"/>
    <s v="Complete"/>
    <m/>
  </r>
  <r>
    <s v="zgarnallox"/>
    <s v="ning.com"/>
    <s v="Zena"/>
    <s v="Garnall"/>
    <s v="Female"/>
    <s v="Female"/>
    <s v="172.251.221.72"/>
    <s v="169.122.252.229"/>
    <n v="898"/>
    <n v="898"/>
    <s v="NYSE"/>
    <s v="RIG"/>
    <s v="Transocean Ltd."/>
    <x v="9"/>
    <s v="Oil &amp; Gas Production"/>
    <s v="$3.37B"/>
    <n v="3370000000"/>
    <n v="1951.36"/>
    <n v="5.23"/>
    <n v="100821344"/>
    <d v="2020-10-06T00:00:00"/>
    <s v="Complete"/>
    <m/>
  </r>
  <r>
    <s v="elakeroy"/>
    <s v="xrea.com"/>
    <s v="Ezechiel"/>
    <s v="Laker"/>
    <s v="Male"/>
    <s v="Male"/>
    <s v="9.211.120.32"/>
    <s v="27.19.77.119"/>
    <n v="899"/>
    <n v="899"/>
    <s v="NYSE"/>
    <s v="BTU"/>
    <s v="Peabody Energy Corporation"/>
    <x v="9"/>
    <s v="Coal Mining"/>
    <s v="$2.28B"/>
    <n v="2280000000"/>
    <n v="572.04"/>
    <n v="1.67"/>
    <n v="180185781"/>
    <d v="2023-06-26T00:00:00"/>
    <s v="Complete"/>
    <m/>
  </r>
  <r>
    <s v="ldanisoz"/>
    <s v="adobe.com"/>
    <s v="Lesley"/>
    <s v="Danis"/>
    <s v="Female"/>
    <s v="Female"/>
    <s v="152.21.129.26"/>
    <s v="132.36.138.32"/>
    <n v="900"/>
    <n v="900"/>
    <s v="NASDAQ"/>
    <s v="BCOR"/>
    <s v="Blucora, Inc."/>
    <x v="4"/>
    <s v="EDP Services"/>
    <s v="$909.02M"/>
    <n v="909020000"/>
    <n v="509.42"/>
    <n v="4.33"/>
    <n v="96265081"/>
    <d v="2023-09-29T00:00:00"/>
    <s v="Complete"/>
    <m/>
  </r>
  <r>
    <s v="eraddenburyp0"/>
    <s v="people.com.cn"/>
    <s v="Effie"/>
    <s v="Raddenbury"/>
    <s v="Female"/>
    <s v="Female"/>
    <s v="161.114.101.133"/>
    <s v="11.199.45.177"/>
    <n v="901"/>
    <n v="901"/>
    <s v="NASDAQ"/>
    <s v="KALV"/>
    <s v="KalVista Pharmaceuticals, Inc."/>
    <x v="0"/>
    <s v="Major Pharmaceuticals"/>
    <s v="$73.43M"/>
    <n v="73430000"/>
    <n v="212.02"/>
    <n v="-10.45"/>
    <n v="18813225"/>
    <d v="2022-02-22T00:00:00"/>
    <s v="Complete"/>
    <m/>
  </r>
  <r>
    <s v="mjeeksp1"/>
    <s v="home.pl"/>
    <s v="Midge"/>
    <s v="Jeeks"/>
    <s v="Female"/>
    <s v="Female"/>
    <s v="57.176.107.235"/>
    <s v="155.211.150.165"/>
    <n v="902"/>
    <n v="902"/>
    <s v="NYSE"/>
    <s v="CNX"/>
    <s v="CONSOL Energy Inc."/>
    <x v="9"/>
    <s v="Coal Mining"/>
    <s v="$3.33B"/>
    <n v="3330000000"/>
    <n v="1550.03"/>
    <n v="-17.39"/>
    <n v="94481245"/>
    <d v="2024-04-01T00:00:00"/>
    <s v="Complete"/>
    <m/>
  </r>
  <r>
    <s v="rraubenheimp2"/>
    <s v="ed.gov"/>
    <s v="Rhonda"/>
    <s v="Raubenheim"/>
    <s v="Female"/>
    <s v="Female"/>
    <s v="187.234.10.107"/>
    <s v="79.97.15.141"/>
    <n v="903"/>
    <n v="903"/>
    <s v="NYSE"/>
    <s v="VEC"/>
    <s v="Vectrus, Inc."/>
    <x v="6"/>
    <s v="Diversified Commercial Services"/>
    <s v="$340.82M"/>
    <n v="340820000"/>
    <n v="1224.6600000000001"/>
    <n v="-1.89"/>
    <n v="196570599"/>
    <d v="2020-12-25T00:00:00"/>
    <s v="Complete"/>
    <m/>
  </r>
  <r>
    <s v="ncrosswaitep3"/>
    <s v="hp.com"/>
    <s v="Neddy"/>
    <s v="Crosswaite"/>
    <s v="Male"/>
    <s v="Male"/>
    <s v="213.88.69.79"/>
    <s v="15.154.195.177"/>
    <n v="904"/>
    <n v="904"/>
    <s v="NYSE"/>
    <s v="AFSS"/>
    <s v="AmTrust Financial Services, Inc."/>
    <x v="3"/>
    <s v="Property-Casualty Insurers"/>
    <s v="N/A"/>
    <n v="0"/>
    <n v="215.01"/>
    <n v="9.2200000000000006"/>
    <n v="76068405"/>
    <d v="2025-10-19T00:00:00"/>
    <s v="Missing"/>
    <m/>
  </r>
  <r>
    <s v="rfeatherstonep4"/>
    <s v="e-recht24.de"/>
    <s v="Rosella"/>
    <s v="Featherstone"/>
    <s v="Female"/>
    <s v="Female"/>
    <s v="108.242.60.231"/>
    <s v="11.119.244.168"/>
    <n v="905"/>
    <n v="905"/>
    <s v="NYSE"/>
    <s v="RH"/>
    <s v="RH"/>
    <x v="6"/>
    <s v="Other Specialty Stores"/>
    <s v="$1.74B"/>
    <n v="1740000000"/>
    <n v="885.17"/>
    <n v="-15.05"/>
    <n v="89233610"/>
    <d v="2026-05-29T00:00:00"/>
    <s v="Complete"/>
    <m/>
  </r>
  <r>
    <s v="esherringtonp5"/>
    <s v="csmonitor.com"/>
    <s v="Edita"/>
    <s v="Sherrington"/>
    <s v="Female"/>
    <s v="Female"/>
    <s v="88.234.240.61"/>
    <s v="41.109.187.144"/>
    <n v="906"/>
    <n v="906"/>
    <s v="NASDAQ"/>
    <s v="NVGN"/>
    <s v="Novogen Limited"/>
    <x v="0"/>
    <s v="Major Pharmaceuticals"/>
    <s v="$16.59M"/>
    <n v="16590000"/>
    <n v="728.44"/>
    <n v="-13.55"/>
    <n v="158395440"/>
    <d v="2025-08-06T00:00:00"/>
    <s v="Complete"/>
    <m/>
  </r>
  <r>
    <s v="sbezleyp6"/>
    <s v="cisco.com"/>
    <s v="Shandra"/>
    <s v="Bezley"/>
    <s v="Female"/>
    <s v="Female"/>
    <s v="90.103.138.85"/>
    <s v="8.78.36.248"/>
    <n v="907"/>
    <n v="907"/>
    <s v="NYSE"/>
    <s v="PSXP"/>
    <s v="Phillips 66 Partners LP"/>
    <x v="9"/>
    <s v="Natural Gas Distribution"/>
    <s v="$5.04B"/>
    <n v="5040000000"/>
    <n v="526.15"/>
    <n v="15.12"/>
    <n v="47855323"/>
    <d v="2026-09-16T00:00:00"/>
    <s v="Complete"/>
    <m/>
  </r>
  <r>
    <s v="obotlyp7"/>
    <s v="hubpages.com"/>
    <s v="Oran"/>
    <s v="Botly"/>
    <s v="Genderqueer"/>
    <s v="Other"/>
    <s v="15.190.156.54"/>
    <s v="58.90.36.4"/>
    <n v="908"/>
    <n v="908"/>
    <s v="NYSE"/>
    <s v="WHG"/>
    <s v="Westwood Holdings Group Inc"/>
    <x v="3"/>
    <s v="Investment Managers"/>
    <s v="$506.48M"/>
    <n v="506480000"/>
    <n v="324.06"/>
    <n v="-10.18"/>
    <n v="122943557"/>
    <d v="2023-11-10T00:00:00"/>
    <s v="Complete"/>
    <m/>
  </r>
  <r>
    <s v="hbrocktonp8"/>
    <s v="soup.io"/>
    <s v="Hyman"/>
    <s v="Brockton"/>
    <s v="Male"/>
    <s v="Male"/>
    <s v="83.31.56.177"/>
    <s v="176.90.195.74"/>
    <n v="909"/>
    <n v="909"/>
    <s v="NASDAQ"/>
    <s v="AIRR"/>
    <s v="First Trust RBA American Industrial Renaissance ETF"/>
    <x v="2"/>
    <s v="N/A"/>
    <s v="$184.47M"/>
    <n v="184470000"/>
    <n v="658.87"/>
    <n v="-11.35"/>
    <n v="58854810"/>
    <d v="2023-10-01T00:00:00"/>
    <s v="Missing"/>
    <m/>
  </r>
  <r>
    <s v="mhallfordp9"/>
    <s v="over-blog.com"/>
    <s v="Mabel"/>
    <s v="Hallford"/>
    <s v="Female"/>
    <s v="Female"/>
    <s v="174.246.173.174"/>
    <s v="136.220.40.91"/>
    <n v="910"/>
    <n v="910"/>
    <s v="NYSE"/>
    <s v="CLI"/>
    <s v="Mack-Cali Realty Corporation"/>
    <x v="6"/>
    <s v="Real Estate Investment Trusts"/>
    <s v="$2.54B"/>
    <n v="2540000000"/>
    <n v="1332.31"/>
    <n v="7.28"/>
    <n v="48575639"/>
    <d v="2020-06-10T00:00:00"/>
    <s v="Complete"/>
    <m/>
  </r>
  <r>
    <s v="dstilliardpa"/>
    <s v="chronoengine.com"/>
    <s v="Dita"/>
    <s v="Stilliard"/>
    <s v="Female"/>
    <s v="Female"/>
    <s v="46.92.86.70"/>
    <s v="102.48.193.113"/>
    <n v="911"/>
    <n v="911"/>
    <s v="NASDAQ"/>
    <s v="QCLN"/>
    <s v="First Trust NASDAQ Clean Edge Green Energy Index Fund"/>
    <x v="2"/>
    <s v="N/A"/>
    <s v="$61.17M"/>
    <n v="61170000"/>
    <n v="57.87"/>
    <n v="15.79"/>
    <n v="10646311"/>
    <d v="2023-05-24T00:00:00"/>
    <s v="Missing"/>
    <m/>
  </r>
  <r>
    <s v="sbaulkpb"/>
    <s v="blogtalkradio.com"/>
    <s v="Sadye"/>
    <s v="Baulk"/>
    <s v="Female"/>
    <s v="Female"/>
    <s v="208.190.12.177"/>
    <s v="220.42.243.151"/>
    <n v="912"/>
    <n v="912"/>
    <s v="NYSE"/>
    <s v="SFUN"/>
    <s v="Fang Holdings Limited"/>
    <x v="4"/>
    <s v="EDP Services"/>
    <s v="$1.54B"/>
    <n v="1540000000"/>
    <n v="870.69"/>
    <n v="-14.19"/>
    <n v="63939802"/>
    <d v="2020-01-27T00:00:00"/>
    <s v="Complete"/>
    <m/>
  </r>
  <r>
    <s v="pcastropc"/>
    <s v="blog.com"/>
    <s v="Pierce"/>
    <s v="Castro"/>
    <s v="Male"/>
    <s v="Male"/>
    <s v="203.173.8.144"/>
    <s v="4.67.8.40"/>
    <n v="913"/>
    <n v="913"/>
    <s v="NASDAQ"/>
    <s v="PSCH"/>
    <s v="PowerShares S&amp;P SmallCap Health Care Portfolio"/>
    <x v="2"/>
    <s v="N/A"/>
    <s v="$211.28M"/>
    <n v="211280000"/>
    <n v="26.23"/>
    <n v="14.25"/>
    <n v="75956200"/>
    <d v="2020-02-28T00:00:00"/>
    <s v="Missing"/>
    <m/>
  </r>
  <r>
    <s v="smosspd"/>
    <s v="shutterfly.com"/>
    <s v="Salim"/>
    <s v="Moss"/>
    <s v="Male"/>
    <s v="Male"/>
    <s v="155.203.249.188"/>
    <s v="180.61.88.222"/>
    <n v="914"/>
    <n v="914"/>
    <s v="NYSE"/>
    <s v="HOG"/>
    <s v="Harley-Davidson, Inc."/>
    <x v="5"/>
    <s v="Motor Vehicles"/>
    <s v="$9.71B"/>
    <n v="9710000000"/>
    <n v="743.02"/>
    <n v="-11.2"/>
    <n v="21887241"/>
    <d v="2024-02-02T00:00:00"/>
    <s v="Complete"/>
    <m/>
  </r>
  <r>
    <s v="mrivardpe"/>
    <s v="sohu.com"/>
    <s v="Merv"/>
    <s v="Rivard"/>
    <s v="Male"/>
    <s v="Male"/>
    <s v="241.77.155.66"/>
    <s v="164.235.69.37"/>
    <n v="915"/>
    <n v="915"/>
    <s v="NYSE"/>
    <s v="SMHI"/>
    <s v="SEACOR Marine Holdings Inc."/>
    <x v="12"/>
    <s v="Marine Transportation"/>
    <s v="N/A"/>
    <n v="0"/>
    <n v="1615.74"/>
    <n v="-10.89"/>
    <n v="19792369"/>
    <d v="2023-07-07T00:00:00"/>
    <s v="Missing"/>
    <m/>
  </r>
  <r>
    <s v="rbrittinpf"/>
    <s v="hibu.com"/>
    <s v="Roldan"/>
    <s v="Brittin"/>
    <s v="Male"/>
    <s v="Male"/>
    <s v="67.65.46.85"/>
    <s v="38.247.72.67"/>
    <n v="916"/>
    <n v="916"/>
    <s v="NASDAQ"/>
    <s v="THLD"/>
    <s v="Threshold Pharmaceuticals, Inc."/>
    <x v="0"/>
    <s v="Major Pharmaceuticals"/>
    <s v="$27.59M"/>
    <n v="27590000"/>
    <n v="1173.9100000000001"/>
    <n v="7.24"/>
    <n v="53593182"/>
    <d v="2024-04-04T00:00:00"/>
    <s v="Complete"/>
    <m/>
  </r>
  <r>
    <s v="jpearminepg"/>
    <s v="ftc.gov"/>
    <s v="Jessica"/>
    <s v="Pearmine"/>
    <s v="Female"/>
    <s v="Female"/>
    <s v="76.235.41.193"/>
    <s v="139.60.213.157"/>
    <n v="917"/>
    <n v="917"/>
    <s v="NASDAQ"/>
    <s v="WMAR"/>
    <s v="West Marine, Inc."/>
    <x v="11"/>
    <s v="Automotive Aftermarket"/>
    <s v="$245.88M"/>
    <n v="245880000"/>
    <n v="1552.9"/>
    <n v="19.350000000000001"/>
    <n v="152404727"/>
    <d v="2024-02-24T00:00:00"/>
    <s v="Complete"/>
    <m/>
  </r>
  <r>
    <s v="gjoontjesph"/>
    <s v="ft.com"/>
    <s v="Goldarina"/>
    <s v="Joontjes"/>
    <s v="Female"/>
    <s v="Female"/>
    <s v="101.240.247.68"/>
    <s v="96.98.232.42"/>
    <n v="918"/>
    <n v="918"/>
    <s v="NASDAQ"/>
    <s v="CHFC"/>
    <s v="Chemical Financial Corporation"/>
    <x v="3"/>
    <s v="Major Banks"/>
    <s v="$3.46B"/>
    <n v="3460000000"/>
    <n v="1795.76"/>
    <n v="-17.79"/>
    <n v="78652342"/>
    <d v="2026-08-31T00:00:00"/>
    <s v="Complete"/>
    <m/>
  </r>
  <r>
    <s v="bsebertpi"/>
    <s v="sina.com.cn"/>
    <s v="Bertram"/>
    <s v="Sebert"/>
    <s v="Male"/>
    <s v="Male"/>
    <s v="59.222.131.19"/>
    <s v="251.26.111.74"/>
    <n v="919"/>
    <n v="919"/>
    <s v="NASDAQ"/>
    <s v="JYNT"/>
    <s v="The Joint Corp."/>
    <x v="7"/>
    <s v="Multi-Sector Companies"/>
    <s v="$48.27M"/>
    <n v="48270000"/>
    <n v="1729.54"/>
    <n v="1.4"/>
    <n v="136491870"/>
    <d v="2026-01-02T00:00:00"/>
    <s v="Complete"/>
    <m/>
  </r>
  <r>
    <s v="aclairpj"/>
    <s v="constantcontact.com"/>
    <s v="Adolpho"/>
    <s v="Clair"/>
    <s v="Male"/>
    <s v="Male"/>
    <s v="109.242.151.114"/>
    <s v="183.101.218.184"/>
    <n v="920"/>
    <n v="920"/>
    <s v="NYSE"/>
    <s v="TJX"/>
    <s v="TJX Companies, Inc. (The)"/>
    <x v="6"/>
    <s v="Clothing/Shoe/Accessory Stores"/>
    <s v="$46.6B"/>
    <n v="46600000000"/>
    <n v="1821.66"/>
    <n v="-13.28"/>
    <n v="104773835"/>
    <d v="2025-03-08T00:00:00"/>
    <s v="Complete"/>
    <m/>
  </r>
  <r>
    <s v="rsherapk"/>
    <s v="umn.edu"/>
    <s v="Rustin"/>
    <s v="Shera"/>
    <s v="Male"/>
    <s v="Male"/>
    <s v="124.12.61.183"/>
    <s v="92.109.181.208"/>
    <n v="921"/>
    <n v="921"/>
    <s v="NASDAQ"/>
    <s v="IRMD"/>
    <s v="iRadimed Corporation"/>
    <x v="0"/>
    <s v="Medical/Dental Instruments"/>
    <s v="$92.99M"/>
    <n v="92990000"/>
    <n v="1784.29"/>
    <n v="13.02"/>
    <n v="85969155"/>
    <d v="2025-10-31T00:00:00"/>
    <s v="Complete"/>
    <m/>
  </r>
  <r>
    <s v="yfisonpl"/>
    <s v="vimeo.com"/>
    <s v="Yasmeen"/>
    <s v="Fison"/>
    <s v="Genderfluid"/>
    <s v="Other"/>
    <s v="115.19.212.141"/>
    <s v="147.250.113.217"/>
    <n v="922"/>
    <n v="922"/>
    <s v="NASDAQ"/>
    <s v="LSCC"/>
    <s v="Lattice Semiconductor Corporation"/>
    <x v="4"/>
    <s v="Semiconductors"/>
    <s v="$814.95M"/>
    <n v="814950000"/>
    <n v="1539.07"/>
    <n v="-1.66"/>
    <n v="142644832"/>
    <d v="2025-07-30T00:00:00"/>
    <s v="Complete"/>
    <m/>
  </r>
  <r>
    <s v="wmonnipm"/>
    <s v="hhs.gov"/>
    <s v="Wini"/>
    <s v="Monni"/>
    <s v="Female"/>
    <s v="Female"/>
    <s v="241.39.61.214"/>
    <s v="61.199.90.152"/>
    <n v="923"/>
    <n v="923"/>
    <s v="NASDAQ"/>
    <s v="KLIC"/>
    <s v="Kulicke and Soffa Industries, Inc."/>
    <x v="4"/>
    <s v="Semiconductors"/>
    <s v="$1.46B"/>
    <n v="1460000000"/>
    <n v="1131.27"/>
    <n v="14.11"/>
    <n v="73755560"/>
    <d v="2024-06-15T00:00:00"/>
    <s v="Complete"/>
    <m/>
  </r>
  <r>
    <s v="lhanbidgepn"/>
    <s v="naver.com"/>
    <s v="Leanna"/>
    <s v="Hanbidge"/>
    <s v="Female"/>
    <s v="Female"/>
    <s v="163.58.45.5"/>
    <s v="10.240.79.155"/>
    <n v="924"/>
    <n v="924"/>
    <s v="NYSE"/>
    <s v="MITT"/>
    <s v="AG Mortgage Investment Trust, Inc."/>
    <x v="2"/>
    <s v="N/A"/>
    <s v="$518.09M"/>
    <n v="518090000.00000006"/>
    <n v="406.72"/>
    <n v="-8.1999999999999993"/>
    <n v="27401955"/>
    <d v="2024-01-19T00:00:00"/>
    <s v="Missing"/>
    <m/>
  </r>
  <r>
    <s v="uwetwoodpo"/>
    <s v="imdb.com"/>
    <s v="Ulises"/>
    <s v="Wetwood"/>
    <s v="Male"/>
    <s v="Male"/>
    <s v="236.63.147.251"/>
    <s v="107.140.145.205"/>
    <n v="925"/>
    <n v="925"/>
    <s v="NASDAQ"/>
    <s v="FRAN"/>
    <s v="Francesca's Holdings Corporation"/>
    <x v="6"/>
    <s v="Clothing/Shoe/Accessory Stores"/>
    <s v="$415.04M"/>
    <n v="415040000"/>
    <n v="675.26"/>
    <n v="2.02"/>
    <n v="93437421"/>
    <d v="2026-08-07T00:00:00"/>
    <s v="Complete"/>
    <m/>
  </r>
  <r>
    <s v="csiccombepp"/>
    <s v="usgs.gov"/>
    <s v="Caz"/>
    <s v="Siccombe"/>
    <s v="Agender"/>
    <s v="Other"/>
    <s v="55.160.114.199"/>
    <s v="62.17.43.78"/>
    <n v="926"/>
    <n v="926"/>
    <s v="NASDAQ"/>
    <s v="SHOS"/>
    <s v="Sears Hometown and Outlet Stores, Inc."/>
    <x v="6"/>
    <s v="Department/Specialty Retail Stores"/>
    <s v="$64.7M"/>
    <n v="64700000"/>
    <n v="857.02"/>
    <n v="5.5"/>
    <n v="52237003"/>
    <d v="2021-12-07T00:00:00"/>
    <s v="Complete"/>
    <m/>
  </r>
  <r>
    <s v="rszapiropq"/>
    <s v="cbc.ca"/>
    <s v="Rustin"/>
    <s v="Szapiro"/>
    <s v="Male"/>
    <s v="Male"/>
    <s v="220.255.69.86"/>
    <s v="120.94.161.253"/>
    <n v="927"/>
    <n v="927"/>
    <s v="NASDAQ"/>
    <s v="USCR"/>
    <s v="U S Concrete, Inc."/>
    <x v="1"/>
    <s v="Building Materials"/>
    <s v="$1.14B"/>
    <n v="1140000000"/>
    <n v="217.95"/>
    <n v="1.85"/>
    <n v="112844544"/>
    <d v="2021-08-02T00:00:00"/>
    <s v="Complete"/>
    <m/>
  </r>
  <r>
    <s v="gswinepr"/>
    <s v="reference.com"/>
    <s v="Gabriela"/>
    <s v="Swine"/>
    <s v="Female"/>
    <s v="Female"/>
    <s v="52.203.47.184"/>
    <s v="86.158.33.12"/>
    <n v="928"/>
    <n v="928"/>
    <s v="NASDAQ"/>
    <s v="OXLCN"/>
    <s v="Oxford Lane Capital Corp."/>
    <x v="2"/>
    <s v="N/A"/>
    <s v="$28.04M"/>
    <n v="28040000"/>
    <n v="18.7"/>
    <n v="1.24"/>
    <n v="36234766"/>
    <d v="2025-11-04T00:00:00"/>
    <s v="Missing"/>
    <m/>
  </r>
  <r>
    <s v="lladymanps"/>
    <s v="pinterest.com"/>
    <s v="Lindy"/>
    <s v="Ladyman"/>
    <s v="Polygender"/>
    <s v="Other"/>
    <s v="171.168.45.39"/>
    <s v="104.53.244.81"/>
    <n v="929"/>
    <n v="929"/>
    <s v="NYSE"/>
    <s v="SA"/>
    <s v="Seabridge Gold, Inc."/>
    <x v="10"/>
    <s v="Precious Metals"/>
    <s v="$559.33M"/>
    <n v="559330000"/>
    <n v="853.9"/>
    <n v="-19.71"/>
    <n v="94625534"/>
    <d v="2022-10-14T00:00:00"/>
    <s v="Complete"/>
    <m/>
  </r>
  <r>
    <s v="mbryerpt"/>
    <s v="sun.com"/>
    <s v="Meredith"/>
    <s v="Bryer"/>
    <s v="Male"/>
    <s v="Male"/>
    <s v="180.200.166.135"/>
    <s v="3.102.128.26"/>
    <n v="930"/>
    <n v="930"/>
    <s v="NYSE"/>
    <s v="NLY^A"/>
    <s v="Annaly Capital Management Inc"/>
    <x v="2"/>
    <s v="N/A"/>
    <s v="N/A"/>
    <n v="0"/>
    <n v="1929"/>
    <n v="9.58"/>
    <n v="4491478"/>
    <d v="2023-02-18T00:00:00"/>
    <s v="Missing"/>
    <m/>
  </r>
  <r>
    <s v="ijendryspu"/>
    <s v="virginia.edu"/>
    <s v="Ignacio"/>
    <s v="Jendrys"/>
    <s v="Male"/>
    <s v="Male"/>
    <s v="254.184.118.95"/>
    <s v="91.45.156.89"/>
    <n v="931"/>
    <n v="931"/>
    <s v="NASDAQ"/>
    <s v="CASM"/>
    <s v="CAS Medical Systems, Inc."/>
    <x v="0"/>
    <s v="Medical/Dental Instruments"/>
    <s v="$28.79M"/>
    <n v="28790000"/>
    <n v="973.69"/>
    <n v="-9.3800000000000008"/>
    <n v="136146681"/>
    <d v="2024-11-27T00:00:00"/>
    <s v="Complete"/>
    <m/>
  </r>
  <r>
    <s v="mfloyedpv"/>
    <s v="linkedin.com"/>
    <s v="Michaeline"/>
    <s v="Floyed"/>
    <s v="Female"/>
    <s v="Female"/>
    <s v="156.131.28.235"/>
    <s v="71.13.26.184"/>
    <n v="932"/>
    <n v="932"/>
    <s v="NYSE"/>
    <s v="CSTM"/>
    <s v="Constellium N.V."/>
    <x v="10"/>
    <s v="Metal Fabrications"/>
    <s v="$702.12M"/>
    <n v="702120000"/>
    <n v="1279.55"/>
    <n v="3.71"/>
    <n v="169243236"/>
    <d v="2023-01-21T00:00:00"/>
    <s v="Complete"/>
    <m/>
  </r>
  <r>
    <s v="rcurrypw"/>
    <s v="amazonaws.com"/>
    <s v="Ruprecht"/>
    <s v="Curry"/>
    <s v="Male"/>
    <s v="Male"/>
    <s v="159.39.109.101"/>
    <s v="240.234.90.242"/>
    <n v="933"/>
    <n v="933"/>
    <s v="NYSE"/>
    <s v="FI"/>
    <s v="Frank's International N.V."/>
    <x v="9"/>
    <s v="Oilfield Services/Equipment"/>
    <s v="$1.9B"/>
    <n v="1900000000"/>
    <n v="499.46"/>
    <n v="-7.23"/>
    <n v="188483918"/>
    <d v="2026-04-28T00:00:00"/>
    <s v="Complete"/>
    <m/>
  </r>
  <r>
    <s v="aperchepx"/>
    <s v="telegraph.co.uk"/>
    <s v="Amara"/>
    <s v="Perche"/>
    <s v="Female"/>
    <s v="Female"/>
    <s v="244.23.10.157"/>
    <s v="169.121.171.181"/>
    <n v="934"/>
    <n v="934"/>
    <s v="NASDAQ"/>
    <s v="KGJI"/>
    <s v="Kingold Jewelry Inc."/>
    <x v="7"/>
    <s v="Business Services"/>
    <s v="$127.42M"/>
    <n v="127420000"/>
    <n v="171.01"/>
    <n v="12.81"/>
    <n v="4738869"/>
    <d v="2022-03-24T00:00:00"/>
    <s v="Complete"/>
    <m/>
  </r>
  <r>
    <s v="acaveaupy"/>
    <s v="state.tx.us"/>
    <s v="Andrey"/>
    <s v="Caveau"/>
    <s v="Male"/>
    <s v="Male"/>
    <s v="129.78.197.235"/>
    <s v="75.122.243.206"/>
    <n v="935"/>
    <n v="935"/>
    <s v="NASDAQ"/>
    <s v="CTRE"/>
    <s v="CareTrust REIT, Inc."/>
    <x v="6"/>
    <s v="Real Estate Investment Trusts"/>
    <s v="$1.4B"/>
    <n v="1400000000"/>
    <n v="27.22"/>
    <n v="-1.48"/>
    <n v="103690005"/>
    <d v="2024-03-23T00:00:00"/>
    <s v="Complete"/>
    <m/>
  </r>
  <r>
    <s v="bcarrettpz"/>
    <s v="abc.net.au"/>
    <s v="Brandice"/>
    <s v="Carrett"/>
    <s v="Female"/>
    <s v="Female"/>
    <s v="82.190.52.122"/>
    <s v="207.251.107.50"/>
    <n v="936"/>
    <n v="936"/>
    <s v="NYSE"/>
    <s v="BFAM"/>
    <s v="Bright Horizons Family Solutions Inc."/>
    <x v="7"/>
    <s v="Other Consumer Services"/>
    <s v="$4.61B"/>
    <n v="4610000000"/>
    <n v="516.16"/>
    <n v="-1.95"/>
    <n v="87044033"/>
    <d v="2021-09-13T00:00:00"/>
    <s v="Complete"/>
    <m/>
  </r>
  <r>
    <s v="aateridgeq0"/>
    <s v="networksolutions.com"/>
    <s v="Ashlan"/>
    <s v="Ateridge"/>
    <s v="Female"/>
    <s v="Female"/>
    <s v="233.240.209.193"/>
    <s v="152.136.223.187"/>
    <n v="937"/>
    <n v="937"/>
    <s v="NASDAQ"/>
    <s v="SLMBP"/>
    <s v="SLM Corporation"/>
    <x v="3"/>
    <s v="Finance: Consumer Services"/>
    <s v="$289.76M"/>
    <n v="289760000"/>
    <n v="948.62"/>
    <n v="-6.24"/>
    <n v="157427023"/>
    <d v="2020-06-26T00:00:00"/>
    <s v="Complete"/>
    <m/>
  </r>
  <r>
    <s v="cdillamoreq1"/>
    <s v="clickbank.net"/>
    <s v="Constantina"/>
    <s v="Dillamore"/>
    <s v="Female"/>
    <s v="Female"/>
    <s v="128.136.13.128"/>
    <s v="142.101.120.64"/>
    <n v="938"/>
    <n v="938"/>
    <s v="NASDAQ"/>
    <s v="TSRI"/>
    <s v="TSR, Inc."/>
    <x v="4"/>
    <s v="EDP Services"/>
    <s v="$10.69M"/>
    <n v="10690000"/>
    <n v="1068.94"/>
    <n v="-18.190000000000001"/>
    <n v="82395722"/>
    <d v="2026-09-09T00:00:00"/>
    <s v="Complete"/>
    <m/>
  </r>
  <r>
    <s v="dverissimoq2"/>
    <s v="w3.org"/>
    <s v="Deanna"/>
    <s v="Verissimo"/>
    <s v="Female"/>
    <s v="Female"/>
    <s v="36.17.143.103"/>
    <s v="70.24.47.1"/>
    <n v="939"/>
    <n v="939"/>
    <s v="NASDAQ"/>
    <s v="COMT"/>
    <s v="iShares Commodities Select Strategy ETF"/>
    <x v="2"/>
    <s v="N/A"/>
    <s v="$195.63M"/>
    <n v="195630000"/>
    <n v="1534.67"/>
    <n v="15.85"/>
    <n v="164473052"/>
    <d v="2021-04-15T00:00:00"/>
    <s v="Missing"/>
    <m/>
  </r>
  <r>
    <s v="sambrogioniq3"/>
    <s v="cmu.edu"/>
    <s v="Siouxie"/>
    <s v="Ambrogioni"/>
    <s v="Female"/>
    <s v="Female"/>
    <s v="97.51.56.154"/>
    <s v="66.39.69.18"/>
    <n v="940"/>
    <n v="940"/>
    <s v="NYSE"/>
    <s v="WPC"/>
    <s v="W.P. Carey Inc."/>
    <x v="6"/>
    <s v="Real Estate Investment Trusts"/>
    <s v="$7.24B"/>
    <n v="7240000000"/>
    <n v="1434.01"/>
    <n v="5.28"/>
    <n v="71162794"/>
    <d v="2023-01-06T00:00:00"/>
    <s v="Complete"/>
    <m/>
  </r>
  <r>
    <s v="ahaydenq4"/>
    <s v="dailymail.co.uk"/>
    <s v="Agnese"/>
    <s v="Hayden"/>
    <s v="Female"/>
    <s v="Female"/>
    <s v="228.232.143.33"/>
    <s v="133.29.222.235"/>
    <n v="941"/>
    <n v="941"/>
    <s v="NYSE"/>
    <s v="SAN^A"/>
    <s v="Banco Santander, S.A."/>
    <x v="2"/>
    <s v="N/A"/>
    <s v="N/A"/>
    <n v="0"/>
    <n v="1211.3699999999999"/>
    <n v="6.85"/>
    <n v="14165958"/>
    <d v="2020-08-12T00:00:00"/>
    <s v="Missing"/>
    <m/>
  </r>
  <r>
    <s v="sjiracekq5"/>
    <s v="sciencedaily.com"/>
    <s v="Shayne"/>
    <s v="Jiracek"/>
    <s v="Male"/>
    <s v="Male"/>
    <s v="229.206.39.75"/>
    <s v="224.1.123.10"/>
    <n v="942"/>
    <n v="942"/>
    <s v="NYSE"/>
    <s v="TCAP"/>
    <s v="Triangle Capital Corporation"/>
    <x v="2"/>
    <s v="N/A"/>
    <s v="$842.05M"/>
    <n v="842050000"/>
    <n v="1359.01"/>
    <n v="17.2"/>
    <n v="154402178"/>
    <d v="2024-04-03T00:00:00"/>
    <s v="Missing"/>
    <m/>
  </r>
  <r>
    <s v="alongmateq6"/>
    <s v="networkadvertising.org"/>
    <s v="Amandie"/>
    <s v="Longmate"/>
    <s v="Female"/>
    <s v="Female"/>
    <s v="29.40.96.4"/>
    <s v="247.59.172.103"/>
    <n v="943"/>
    <n v="943"/>
    <s v="NYSE"/>
    <s v="EXC"/>
    <s v="Exelon Corporation"/>
    <x v="8"/>
    <s v="Power Generation"/>
    <s v="$34.34B"/>
    <n v="34340000000.000004"/>
    <n v="582.79"/>
    <n v="13.15"/>
    <n v="52183996"/>
    <d v="2021-08-30T00:00:00"/>
    <s v="Complete"/>
    <m/>
  </r>
  <r>
    <s v="wzottoliq7"/>
    <s v="hud.gov"/>
    <s v="William"/>
    <s v="Zottoli"/>
    <s v="Male"/>
    <s v="Male"/>
    <s v="188.138.145.196"/>
    <s v="33.77.224.155"/>
    <n v="944"/>
    <n v="944"/>
    <s v="NASDAQ"/>
    <s v="SBRA"/>
    <s v="Sabra Healthcare REIT, Inc."/>
    <x v="6"/>
    <s v="Real Estate Investment Trusts"/>
    <s v="$1.55B"/>
    <n v="1550000000"/>
    <n v="1680.46"/>
    <n v="-7.9"/>
    <n v="77940686"/>
    <d v="2025-06-27T00:00:00"/>
    <s v="Complete"/>
    <m/>
  </r>
  <r>
    <s v="dletfordq8"/>
    <s v="gizmodo.com"/>
    <s v="Dayle"/>
    <s v="Letford"/>
    <s v="Agender"/>
    <s v="Other"/>
    <s v="47.35.164.216"/>
    <s v="72.121.107.115"/>
    <n v="945"/>
    <n v="945"/>
    <s v="NYSE"/>
    <s v="HIL"/>
    <s v="Hill International, Inc."/>
    <x v="6"/>
    <s v="Military/Government/Technical"/>
    <s v="$251.61M"/>
    <n v="251610000"/>
    <n v="1437.08"/>
    <n v="-15.5"/>
    <n v="98415170"/>
    <d v="2026-06-18T00:00:00"/>
    <s v="Complete"/>
    <m/>
  </r>
  <r>
    <s v="hdarceyq9"/>
    <s v="soup.io"/>
    <s v="Halley"/>
    <s v="Darcey"/>
    <s v="Female"/>
    <s v="Female"/>
    <s v="159.254.239.1"/>
    <s v="194.69.191.131"/>
    <n v="946"/>
    <n v="946"/>
    <s v="NASDAQ"/>
    <s v="CAVM"/>
    <s v="Cavium, Inc."/>
    <x v="4"/>
    <s v="Semiconductors"/>
    <s v="$4.48B"/>
    <n v="4480000000"/>
    <n v="1003.71"/>
    <n v="12.91"/>
    <n v="24060000"/>
    <d v="2024-02-09T00:00:00"/>
    <s v="Complete"/>
    <m/>
  </r>
  <r>
    <s v="dzuanazziqa"/>
    <s v="mediafire.com"/>
    <s v="Drucy"/>
    <s v="Zuanazzi"/>
    <s v="Female"/>
    <s v="Female"/>
    <s v="55.170.40.12"/>
    <s v="225.132.41.215"/>
    <n v="947"/>
    <n v="947"/>
    <s v="NASDAQ"/>
    <s v="OPTT"/>
    <s v="Ocean Power Technologies, Inc."/>
    <x v="8"/>
    <s v="Electric Utilities: Central"/>
    <s v="$16.82M"/>
    <n v="16820000"/>
    <n v="1385.5"/>
    <n v="-12.37"/>
    <n v="12596015"/>
    <d v="2024-06-15T00:00:00"/>
    <s v="Complete"/>
    <m/>
  </r>
  <r>
    <s v="acastanagaqb"/>
    <s v="icio.us"/>
    <s v="Ansel"/>
    <s v="Castanaga"/>
    <s v="Male"/>
    <s v="Male"/>
    <s v="197.114.132.138"/>
    <s v="240.219.49.56"/>
    <n v="948"/>
    <n v="948"/>
    <s v="NASDAQ"/>
    <s v="DWAT"/>
    <s v="Arrow DWA Tactical ETF"/>
    <x v="2"/>
    <s v="N/A"/>
    <s v="$8.67M"/>
    <n v="8670000"/>
    <n v="1123.1600000000001"/>
    <n v="16.23"/>
    <n v="31622491"/>
    <d v="2022-03-19T00:00:00"/>
    <s v="Missing"/>
    <m/>
  </r>
  <r>
    <s v="kjendrysqc"/>
    <s v="facebook.com"/>
    <s v="Kalila"/>
    <s v="Jendrys"/>
    <s v="Female"/>
    <s v="Female"/>
    <s v="204.89.51.253"/>
    <s v="140.111.80.184"/>
    <n v="949"/>
    <n v="949"/>
    <s v="NYSE"/>
    <s v="SSWN"/>
    <s v="Seaspan Corporation"/>
    <x v="12"/>
    <s v="Marine Transportation"/>
    <s v="N/A"/>
    <n v="0"/>
    <n v="1672.04"/>
    <n v="10.210000000000001"/>
    <n v="143622960"/>
    <d v="2022-06-19T00:00:00"/>
    <s v="Missing"/>
    <m/>
  </r>
  <r>
    <s v="rannableqd"/>
    <s v="nasa.gov"/>
    <s v="Ranice"/>
    <s v="Annable"/>
    <s v="Female"/>
    <s v="Female"/>
    <s v="245.190.31.120"/>
    <s v="110.154.28.115"/>
    <n v="950"/>
    <n v="950"/>
    <s v="NASDAQ"/>
    <s v="AFHBL"/>
    <s v="Atlas Financial Holdings, Inc."/>
    <x v="3"/>
    <s v="Property-Casualty Insurers"/>
    <s v="N/A"/>
    <n v="0"/>
    <n v="312.45"/>
    <n v="-8.7899999999999991"/>
    <n v="155346391"/>
    <d v="2025-04-28T00:00:00"/>
    <s v="Missing"/>
    <m/>
  </r>
  <r>
    <s v="dvasyukhnovqe"/>
    <s v="cargocollective.com"/>
    <s v="Darcy"/>
    <s v="Vasyukhnov"/>
    <s v="Female"/>
    <s v="Female"/>
    <s v="70.190.47.142"/>
    <s v="237.191.149.171"/>
    <n v="951"/>
    <n v="951"/>
    <s v="NASDAQ"/>
    <s v="UBNT"/>
    <s v="Ubiquiti Networks, Inc."/>
    <x v="4"/>
    <s v="Radio And Television Broadcasting And Communications Equipment"/>
    <s v="$3.89B"/>
    <n v="3890000000"/>
    <n v="1491.36"/>
    <n v="16.22"/>
    <n v="77993169"/>
    <d v="2021-08-15T00:00:00"/>
    <s v="Complete"/>
    <m/>
  </r>
  <r>
    <s v="scroftqf"/>
    <s v="elegantthemes.com"/>
    <s v="Sawyer"/>
    <s v="Croft"/>
    <s v="Polygender"/>
    <s v="Other"/>
    <s v="178.154.111.185"/>
    <s v="4.83.206.122"/>
    <n v="952"/>
    <n v="952"/>
    <s v="NYSE"/>
    <s v="TARO"/>
    <s v="Taro Pharmaceutical Industries Ltd."/>
    <x v="0"/>
    <s v="Major Pharmaceuticals"/>
    <s v="$4.57B"/>
    <n v="4570000000"/>
    <n v="694.32"/>
    <n v="6.31"/>
    <n v="146839809"/>
    <d v="2026-07-16T00:00:00"/>
    <s v="Complete"/>
    <m/>
  </r>
  <r>
    <s v="hproudlerqg"/>
    <s v="shinystat.com"/>
    <s v="Hillyer"/>
    <s v="Proudler"/>
    <s v="Male"/>
    <s v="Male"/>
    <s v="181.113.133.82"/>
    <s v="219.115.108.176"/>
    <n v="953"/>
    <n v="953"/>
    <s v="NYSE"/>
    <s v="EVN"/>
    <s v="Eaton Vance Municipal Income Trust"/>
    <x v="2"/>
    <s v="N/A"/>
    <s v="$308.22M"/>
    <n v="308220000"/>
    <n v="420.45"/>
    <n v="-1.68"/>
    <n v="12155933"/>
    <d v="2025-01-28T00:00:00"/>
    <s v="Missing"/>
    <m/>
  </r>
  <r>
    <s v="tmontesqh"/>
    <s v="blinklist.com"/>
    <s v="Teri"/>
    <s v="Montes"/>
    <s v="Agender"/>
    <s v="Other"/>
    <s v="216.236.2.67"/>
    <s v="156.103.59.160"/>
    <n v="954"/>
    <n v="954"/>
    <s v="NASDAQ"/>
    <s v="BWINB"/>
    <s v="Baldwin &amp; Lyons, Inc."/>
    <x v="3"/>
    <s v="Property-Casualty Insurers"/>
    <s v="$375.34M"/>
    <n v="375340000"/>
    <n v="1658.56"/>
    <n v="-7.96"/>
    <n v="23038682"/>
    <d v="2022-05-07T00:00:00"/>
    <s v="Complete"/>
    <m/>
  </r>
  <r>
    <s v="fchasneyqi"/>
    <s v="vinaora.com"/>
    <s v="Fidela"/>
    <s v="Chasney"/>
    <s v="Female"/>
    <s v="Female"/>
    <s v="30.174.228.169"/>
    <s v="242.138.50.56"/>
    <n v="955"/>
    <n v="955"/>
    <s v="NASDAQ"/>
    <s v="APPN"/>
    <s v="Appian Corporation"/>
    <x v="4"/>
    <s v="Computer Software: Prepackaged Software"/>
    <s v="$1.07B"/>
    <n v="1070000000.0000001"/>
    <n v="1296.06"/>
    <n v="-10.64"/>
    <n v="115558811"/>
    <d v="2026-11-29T00:00:00"/>
    <s v="Complete"/>
    <m/>
  </r>
  <r>
    <s v="eebbingsqj"/>
    <s v="ox.ac.uk"/>
    <s v="Edwin"/>
    <s v="Ebbings"/>
    <s v="Male"/>
    <s v="Male"/>
    <s v="0.26.39.139"/>
    <s v="56.99.46.110"/>
    <n v="956"/>
    <n v="956"/>
    <s v="NASDAQ"/>
    <s v="ORG"/>
    <s v="The Organics ETF"/>
    <x v="2"/>
    <s v="N/A"/>
    <s v="N/A"/>
    <n v="0"/>
    <n v="50.59"/>
    <n v="19.399999999999999"/>
    <n v="139727870"/>
    <d v="2026-04-15T00:00:00"/>
    <s v="Missing"/>
    <m/>
  </r>
  <r>
    <s v="tboyettqk"/>
    <s v="google.co.jp"/>
    <s v="Timothee"/>
    <s v="Boyett"/>
    <s v="Agender"/>
    <s v="Other"/>
    <s v="177.175.125.127"/>
    <s v="67.70.21.249"/>
    <n v="957"/>
    <n v="957"/>
    <s v="NASDAQ"/>
    <s v="ATSG"/>
    <s v="Air Transport Services Group, Inc"/>
    <x v="12"/>
    <s v="Air Freight/Delivery Services"/>
    <s v="$1.31B"/>
    <n v="1310000000"/>
    <n v="1537.19"/>
    <n v="16.760000000000002"/>
    <n v="123305777"/>
    <d v="2024-03-23T00:00:00"/>
    <s v="Complete"/>
    <m/>
  </r>
  <r>
    <s v="citzcakql"/>
    <s v="skype.com"/>
    <s v="Cal"/>
    <s v="Itzcak"/>
    <s v="Female"/>
    <s v="Female"/>
    <s v="139.44.141.111"/>
    <s v="156.232.127.130"/>
    <n v="958"/>
    <n v="958"/>
    <s v="NASDAQ"/>
    <s v="SGMO"/>
    <s v="Sangamo Therapeutics, Inc."/>
    <x v="0"/>
    <s v="Biotechnology: Biological Products (No Diagnostic Substances)"/>
    <s v="$535.95M"/>
    <n v="535950000.00000006"/>
    <n v="952.59"/>
    <n v="-0.12"/>
    <n v="185078465"/>
    <d v="2024-08-23T00:00:00"/>
    <s v="Complete"/>
    <m/>
  </r>
  <r>
    <s v="mlinnitqm"/>
    <s v="cnbc.com"/>
    <s v="Melanie"/>
    <s v="Linnit"/>
    <s v="Female"/>
    <s v="Female"/>
    <s v="68.187.173.166"/>
    <s v="135.116.40.48"/>
    <n v="959"/>
    <n v="959"/>
    <s v="NASDAQ"/>
    <s v="OVAS"/>
    <s v="OvaScience Inc."/>
    <x v="0"/>
    <s v="Major Pharmaceuticals"/>
    <s v="$48.5M"/>
    <n v="48500000"/>
    <n v="1096.8"/>
    <n v="-4.79"/>
    <n v="53808146"/>
    <d v="2025-03-04T00:00:00"/>
    <s v="Complete"/>
    <m/>
  </r>
  <r>
    <s v="lravenscroftqn"/>
    <s v="hibu.com"/>
    <s v="Lebbie"/>
    <s v="Ravenscroft"/>
    <s v="Non-binary"/>
    <s v="Other"/>
    <s v="28.54.128.120"/>
    <s v="26.8.181.46"/>
    <n v="960"/>
    <n v="960"/>
    <s v="NYSE"/>
    <s v="MPV"/>
    <s v="Barings Participation Investors"/>
    <x v="2"/>
    <s v="N/A"/>
    <s v="$146.29M"/>
    <n v="146290000"/>
    <n v="1152.1300000000001"/>
    <n v="-13.34"/>
    <n v="88079239"/>
    <d v="2021-06-11T00:00:00"/>
    <s v="Missing"/>
    <m/>
  </r>
  <r>
    <s v="bbonhomeqo"/>
    <s v="msu.edu"/>
    <s v="Bing"/>
    <s v="Bonhome"/>
    <s v="Agender"/>
    <s v="Other"/>
    <s v="247.62.89.244"/>
    <s v="15.182.169.158"/>
    <n v="961"/>
    <n v="961"/>
    <s v="NYSE"/>
    <s v="LYB"/>
    <s v="LyondellBasell Industries NV"/>
    <x v="10"/>
    <s v="Major Chemicals"/>
    <s v="$32.58B"/>
    <n v="32580000000"/>
    <n v="1302.83"/>
    <n v="3.18"/>
    <n v="50847314"/>
    <d v="2020-03-03T00:00:00"/>
    <s v="Complete"/>
    <m/>
  </r>
  <r>
    <s v="bschulterqp"/>
    <s v="oakley.com"/>
    <s v="Bron"/>
    <s v="Schulter"/>
    <s v="Male"/>
    <s v="Male"/>
    <s v="223.69.203.87"/>
    <s v="218.53.119.200"/>
    <n v="962"/>
    <n v="962"/>
    <s v="NASDAQ"/>
    <s v="CSB"/>
    <s v="VictoryShares US Small Cap High Div Volatility Wtd ETF"/>
    <x v="2"/>
    <s v="N/A"/>
    <s v="N/A"/>
    <n v="0"/>
    <n v="76.41"/>
    <n v="12.65"/>
    <n v="136919707"/>
    <d v="2024-11-01T00:00:00"/>
    <s v="Missing"/>
    <m/>
  </r>
  <r>
    <s v="mpardeyqq"/>
    <s v="addthis.com"/>
    <s v="Martyn"/>
    <s v="Pardey"/>
    <s v="Male"/>
    <s v="Male"/>
    <s v="228.196.240.104"/>
    <s v="97.206.64.163"/>
    <n v="963"/>
    <n v="963"/>
    <s v="NYSE"/>
    <s v="FBP"/>
    <s v="First BanCorp."/>
    <x v="3"/>
    <s v="Major Banks"/>
    <s v="$1.26B"/>
    <n v="1260000000"/>
    <n v="58.99"/>
    <n v="18.850000000000001"/>
    <n v="20849332"/>
    <d v="2021-02-08T00:00:00"/>
    <s v="Complete"/>
    <m/>
  </r>
  <r>
    <s v="jcoltartqr"/>
    <s v="nsw.gov.au"/>
    <s v="Jule"/>
    <s v="Coltart"/>
    <s v="Male"/>
    <s v="Male"/>
    <s v="78.151.63.70"/>
    <s v="4.110.229.136"/>
    <n v="964"/>
    <n v="964"/>
    <s v="NASDAQ"/>
    <s v="BPFH"/>
    <s v="Boston Private Financial Holdings, Inc."/>
    <x v="3"/>
    <s v="Major Banks"/>
    <s v="$1.32B"/>
    <n v="1320000000"/>
    <n v="641.61"/>
    <n v="-5.12"/>
    <n v="28579241"/>
    <d v="2024-01-26T00:00:00"/>
    <s v="Complete"/>
    <m/>
  </r>
  <r>
    <s v="cgoodludqs"/>
    <s v="hexun.com"/>
    <s v="Cello"/>
    <s v="Goodlud"/>
    <s v="Male"/>
    <s v="Male"/>
    <s v="125.162.214.57"/>
    <s v="151.134.129.14"/>
    <n v="965"/>
    <n v="965"/>
    <s v="NASDAQ"/>
    <s v="VEON"/>
    <s v="VEON Ltd."/>
    <x v="8"/>
    <s v="Telecommunications Equipment"/>
    <s v="$6.59B"/>
    <n v="6590000000"/>
    <n v="872.03"/>
    <n v="-14.8"/>
    <n v="98211331"/>
    <d v="2020-03-11T00:00:00"/>
    <s v="Complete"/>
    <m/>
  </r>
  <r>
    <s v="ngillianqt"/>
    <s v="xrea.com"/>
    <s v="Norah"/>
    <s v="Gillian"/>
    <s v="Female"/>
    <s v="Female"/>
    <s v="119.192.191.148"/>
    <s v="30.242.19.188"/>
    <n v="966"/>
    <n v="966"/>
    <s v="NASDAQ"/>
    <s v="TST"/>
    <s v="TheStreet, Inc."/>
    <x v="6"/>
    <s v="Newspapers/Magazines"/>
    <s v="$30.31M"/>
    <n v="30310000"/>
    <n v="474.96"/>
    <n v="15.51"/>
    <n v="178216689"/>
    <d v="2023-01-27T00:00:00"/>
    <s v="Complete"/>
    <m/>
  </r>
  <r>
    <s v="njellisqu"/>
    <s v="aol.com"/>
    <s v="Nanny"/>
    <s v="Jellis"/>
    <s v="Female"/>
    <s v="Female"/>
    <s v="128.218.162.57"/>
    <s v="176.26.26.24"/>
    <n v="967"/>
    <n v="967"/>
    <s v="NASDAQ"/>
    <s v="MRVC"/>
    <s v="MRV Communications, Inc."/>
    <x v="4"/>
    <s v="Semiconductors"/>
    <s v="$63.58M"/>
    <n v="63580000"/>
    <n v="610.48"/>
    <n v="15.13"/>
    <n v="19001426"/>
    <d v="2022-11-05T00:00:00"/>
    <s v="Complete"/>
    <m/>
  </r>
  <r>
    <s v="sboothmanqv"/>
    <s v="senate.gov"/>
    <s v="Sherry"/>
    <s v="Boothman"/>
    <s v="Female"/>
    <s v="Female"/>
    <s v="193.65.255.190"/>
    <s v="254.121.40.36"/>
    <n v="968"/>
    <n v="968"/>
    <s v="NASDAQ"/>
    <s v="AVHI"/>
    <s v="A V Homes, Inc."/>
    <x v="1"/>
    <s v="Homebuilding"/>
    <s v="$410.69M"/>
    <n v="410690000"/>
    <n v="1422.53"/>
    <n v="19.829999999999998"/>
    <n v="16790027"/>
    <d v="2021-02-07T00:00:00"/>
    <s v="Complete"/>
    <m/>
  </r>
  <r>
    <s v="njumonetqw"/>
    <s v="weibo.com"/>
    <s v="Nickie"/>
    <s v="Jumonet"/>
    <s v="Bigender"/>
    <s v="Other"/>
    <s v="180.164.51.68"/>
    <s v="227.2.225.109"/>
    <n v="969"/>
    <n v="969"/>
    <s v="NYSE"/>
    <s v="MDP"/>
    <s v="Meredith Corporation"/>
    <x v="6"/>
    <s v="Newspapers/Magazines"/>
    <s v="$2.65B"/>
    <n v="2650000000"/>
    <n v="1969.45"/>
    <n v="-8.98"/>
    <n v="84696563"/>
    <d v="2023-04-26T00:00:00"/>
    <s v="Complete"/>
    <m/>
  </r>
  <r>
    <s v="marrighiniqx"/>
    <s v="desdev.cn"/>
    <s v="Marena"/>
    <s v="Arrighini"/>
    <s v="Female"/>
    <s v="Female"/>
    <s v="106.232.166.4"/>
    <s v="124.109.39.75"/>
    <n v="970"/>
    <n v="970"/>
    <s v="NASDAQ"/>
    <s v="AIMT"/>
    <s v="Aimmune Therapeutics, Inc."/>
    <x v="0"/>
    <s v="Major Pharmaceuticals"/>
    <s v="$829.14M"/>
    <n v="829140000"/>
    <n v="40.840000000000003"/>
    <n v="-14.32"/>
    <n v="53553656"/>
    <d v="2020-03-07T00:00:00"/>
    <s v="Complete"/>
    <m/>
  </r>
  <r>
    <s v="irecherqy"/>
    <s v="furl.net"/>
    <s v="Ingrim"/>
    <s v="Recher"/>
    <s v="Bigender"/>
    <s v="Other"/>
    <s v="221.77.245.197"/>
    <s v="178.145.203.54"/>
    <n v="971"/>
    <n v="971"/>
    <s v="NYSE"/>
    <s v="KODK.WS.A"/>
    <s v="Eastman Kodak Company"/>
    <x v="2"/>
    <s v="N/A"/>
    <s v="N/A"/>
    <n v="0"/>
    <n v="226.79"/>
    <n v="18.100000000000001"/>
    <n v="165353105"/>
    <d v="2021-09-13T00:00:00"/>
    <s v="Missing"/>
    <m/>
  </r>
  <r>
    <s v="pleteveqz"/>
    <s v="indiatimes.com"/>
    <s v="Pavia"/>
    <s v="Le Teve"/>
    <s v="Female"/>
    <s v="Female"/>
    <s v="129.120.8.228"/>
    <s v="241.217.175.166"/>
    <n v="972"/>
    <n v="972"/>
    <s v="NASDAQ"/>
    <s v="VDTH"/>
    <s v="Videocon d2h Limited"/>
    <x v="6"/>
    <s v="Television Services"/>
    <s v="$1.05B"/>
    <n v="1050000000"/>
    <n v="600.61"/>
    <n v="-9.58"/>
    <n v="72210351"/>
    <d v="2026-12-29T00:00:00"/>
    <s v="Complete"/>
    <m/>
  </r>
  <r>
    <s v="lbriscor0"/>
    <s v="lulu.com"/>
    <s v="Leilah"/>
    <s v="Brisco"/>
    <s v="Female"/>
    <s v="Female"/>
    <s v="135.183.11.134"/>
    <s v="212.171.192.52"/>
    <n v="973"/>
    <n v="973"/>
    <s v="NYSE"/>
    <s v="TCCA"/>
    <s v="Triangle Capital Corporation"/>
    <x v="2"/>
    <s v="N/A"/>
    <s v="N/A"/>
    <n v="0"/>
    <n v="34"/>
    <n v="1.1599999999999999"/>
    <n v="133594163"/>
    <d v="2023-12-04T00:00:00"/>
    <s v="Missing"/>
    <m/>
  </r>
  <r>
    <s v="gmammattr1"/>
    <s v="moonfruit.com"/>
    <s v="Gordon"/>
    <s v="Mammatt"/>
    <s v="Male"/>
    <s v="Male"/>
    <s v="96.60.57.168"/>
    <s v="235.166.194.4"/>
    <n v="974"/>
    <n v="974"/>
    <s v="NYSE"/>
    <s v="FCE.A"/>
    <s v="Forest City Realty Trust, Inc."/>
    <x v="2"/>
    <s v="N/A"/>
    <s v="N/A"/>
    <n v="0"/>
    <n v="1026.0999999999999"/>
    <n v="5.99"/>
    <n v="24469534"/>
    <d v="2025-05-08T00:00:00"/>
    <s v="Missing"/>
    <m/>
  </r>
  <r>
    <s v="ekopfr2"/>
    <s v="va.gov"/>
    <s v="Elyn"/>
    <s v="Kopf"/>
    <s v="Female"/>
    <s v="Female"/>
    <s v="131.230.155.250"/>
    <s v="86.169.14.48"/>
    <n v="975"/>
    <n v="975"/>
    <s v="NYSE"/>
    <s v="ENJ"/>
    <s v="Entergy New Orleans, Inc."/>
    <x v="8"/>
    <s v="Power Generation"/>
    <s v="N/A"/>
    <n v="0"/>
    <n v="567.22"/>
    <n v="-6.16"/>
    <n v="30624692"/>
    <d v="2020-03-12T00:00:00"/>
    <s v="Missing"/>
    <m/>
  </r>
  <r>
    <s v="bcowserr3"/>
    <s v="fema.gov"/>
    <s v="Bary"/>
    <s v="Cowser"/>
    <s v="Male"/>
    <s v="Male"/>
    <s v="43.112.122.13"/>
    <s v="176.241.149.146"/>
    <n v="976"/>
    <n v="976"/>
    <s v="NASDAQ"/>
    <s v="OTEX"/>
    <s v="Open Text Corporation"/>
    <x v="4"/>
    <s v="EDP Services"/>
    <s v="$8.28B"/>
    <n v="8279999999.999999"/>
    <n v="28.35"/>
    <n v="-4.17"/>
    <n v="70408962"/>
    <d v="2026-07-13T00:00:00"/>
    <s v="Complete"/>
    <m/>
  </r>
  <r>
    <s v="gzannotellir4"/>
    <s v="hc360.com"/>
    <s v="Gayle"/>
    <s v="Zannotelli"/>
    <s v="Male"/>
    <s v="Male"/>
    <s v="135.54.244.94"/>
    <s v="130.35.199.105"/>
    <n v="977"/>
    <n v="977"/>
    <s v="NASDAQ"/>
    <s v="OSBC"/>
    <s v="Old Second Bancorp, Inc."/>
    <x v="3"/>
    <s v="Major Banks"/>
    <s v="$354.97M"/>
    <n v="354970000"/>
    <n v="1304.97"/>
    <n v="6.79"/>
    <n v="60265847"/>
    <d v="2023-09-30T00:00:00"/>
    <s v="Complete"/>
    <m/>
  </r>
  <r>
    <s v="maherner5"/>
    <s v="thetimes.co.uk"/>
    <s v="Maxie"/>
    <s v="Aherne"/>
    <s v="Male"/>
    <s v="Male"/>
    <s v="116.59.181.109"/>
    <s v="143.112.225.50"/>
    <n v="978"/>
    <n v="978"/>
    <s v="NYSE"/>
    <s v="JHG"/>
    <s v="Janus Henderson Group plc"/>
    <x v="3"/>
    <s v="Investment Managers"/>
    <s v="$367.06M"/>
    <n v="367060000"/>
    <n v="799.95"/>
    <n v="1.69"/>
    <n v="130339201"/>
    <d v="2021-07-31T00:00:00"/>
    <s v="Complete"/>
    <m/>
  </r>
  <r>
    <s v="rcarvillar6"/>
    <s v="google.ru"/>
    <s v="Roarke"/>
    <s v="Carvilla"/>
    <s v="Male"/>
    <s v="Male"/>
    <s v="225.49.43.254"/>
    <s v="68.242.240.213"/>
    <n v="979"/>
    <n v="979"/>
    <s v="NASDAQ"/>
    <s v="VNET"/>
    <s v="21Vianet Group, Inc."/>
    <x v="4"/>
    <s v="Computer Software: Programming, Data Processing"/>
    <s v="$617.53M"/>
    <n v="617530000"/>
    <n v="1254.7"/>
    <n v="7.95"/>
    <n v="161257825"/>
    <d v="2020-10-24T00:00:00"/>
    <s v="Complete"/>
    <m/>
  </r>
  <r>
    <s v="pholberryr7"/>
    <s v="bizjournals.com"/>
    <s v="Percy"/>
    <s v="Holberry"/>
    <s v="Male"/>
    <s v="Male"/>
    <s v="190.180.143.15"/>
    <s v="128.161.67.29"/>
    <n v="980"/>
    <n v="980"/>
    <s v="NASDAQ"/>
    <s v="BIOS"/>
    <s v="BioScrip, Inc."/>
    <x v="0"/>
    <s v="Medical/Nursing Services"/>
    <s v="$306.09M"/>
    <n v="306090000"/>
    <n v="597.49"/>
    <n v="-8.86"/>
    <n v="192484268"/>
    <d v="2023-03-27T00:00:00"/>
    <s v="Complete"/>
    <m/>
  </r>
  <r>
    <s v="vhazelgrover8"/>
    <s v="gmpg.org"/>
    <s v="Veronica"/>
    <s v="Hazelgrove"/>
    <s v="Female"/>
    <s v="Female"/>
    <s v="253.23.223.109"/>
    <s v="184.15.152.137"/>
    <n v="981"/>
    <n v="981"/>
    <s v="NASDAQ"/>
    <s v="HOTR"/>
    <s v="Chanticleer Holdings, Inc."/>
    <x v="6"/>
    <s v="Restaurants"/>
    <s v="$6.31M"/>
    <n v="6310000"/>
    <n v="272.45999999999998"/>
    <n v="18.09"/>
    <n v="158772917"/>
    <d v="2025-07-21T00:00:00"/>
    <s v="Complete"/>
    <m/>
  </r>
  <r>
    <s v="rtwiddler9"/>
    <s v="privacy.gov.au"/>
    <s v="Rivalee"/>
    <s v="Twiddle"/>
    <s v="Female"/>
    <s v="Female"/>
    <s v="54.225.143.96"/>
    <s v="109.92.101.0"/>
    <n v="982"/>
    <n v="982"/>
    <s v="NYSE"/>
    <s v="KBH"/>
    <s v="KB Home"/>
    <x v="1"/>
    <s v="Homebuilding"/>
    <s v="$1.84B"/>
    <n v="1840000000"/>
    <n v="1519.54"/>
    <n v="-4.78"/>
    <n v="150827526"/>
    <d v="2020-05-14T00:00:00"/>
    <s v="Complete"/>
    <m/>
  </r>
  <r>
    <s v="mleathwoodra"/>
    <s v="wikimedia.org"/>
    <s v="Marie"/>
    <s v="Leathwood"/>
    <s v="Female"/>
    <s v="Female"/>
    <s v="49.8.102.64"/>
    <s v="169.168.247.193"/>
    <n v="983"/>
    <n v="983"/>
    <s v="NYSE"/>
    <s v="CHT"/>
    <s v="Chunghwa Telecom Co., Ltd."/>
    <x v="8"/>
    <s v="Telecommunications Equipment"/>
    <s v="$27.64B"/>
    <n v="27640000000"/>
    <n v="1360.41"/>
    <n v="15.91"/>
    <n v="5811799"/>
    <d v="2024-12-21T00:00:00"/>
    <s v="Complete"/>
    <m/>
  </r>
  <r>
    <s v="kwalkleyrb"/>
    <s v="hubpages.com"/>
    <s v="Konstantin"/>
    <s v="Walkley"/>
    <s v="Male"/>
    <s v="Male"/>
    <s v="18.147.40.217"/>
    <s v="199.170.129.237"/>
    <n v="984"/>
    <n v="984"/>
    <s v="NYSE"/>
    <s v="PRE^H"/>
    <s v="PartnerRe Ltd."/>
    <x v="2"/>
    <s v="N/A"/>
    <s v="N/A"/>
    <n v="0"/>
    <n v="33.28"/>
    <n v="14.76"/>
    <n v="180402496"/>
    <d v="2025-11-17T00:00:00"/>
    <s v="Missing"/>
    <m/>
  </r>
  <r>
    <s v="mgarthsiderc"/>
    <s v="networksolutions.com"/>
    <s v="Morgan"/>
    <s v="Garthside"/>
    <s v="Male"/>
    <s v="Male"/>
    <s v="236.180.194.154"/>
    <s v="173.38.180.197"/>
    <n v="985"/>
    <n v="985"/>
    <s v="NASDAQ"/>
    <s v="AVGR"/>
    <s v="Avinger, Inc."/>
    <x v="0"/>
    <s v="Medical/Dental Instruments"/>
    <s v="$11.27M"/>
    <n v="11270000"/>
    <n v="1830.92"/>
    <n v="6.1"/>
    <n v="152085097"/>
    <d v="2022-03-05T00:00:00"/>
    <s v="Complete"/>
    <m/>
  </r>
  <r>
    <s v="ihemblingrd"/>
    <s v="desdev.cn"/>
    <s v="Ignace"/>
    <s v="Hembling"/>
    <s v="Male"/>
    <s v="Male"/>
    <s v="35.146.196.151"/>
    <s v="230.226.66.241"/>
    <n v="986"/>
    <n v="986"/>
    <s v="NASDAQ"/>
    <s v="GLADO"/>
    <s v="Gladstone Capital Corporation"/>
    <x v="2"/>
    <s v="N/A"/>
    <s v="$56.32M"/>
    <n v="56320000"/>
    <n v="960.35"/>
    <n v="-6.81"/>
    <n v="52431355"/>
    <d v="2022-06-29T00:00:00"/>
    <s v="Missing"/>
    <m/>
  </r>
  <r>
    <s v="bklessre"/>
    <s v="flickr.com"/>
    <s v="Barnett"/>
    <s v="Kless"/>
    <s v="Male"/>
    <s v="Male"/>
    <s v="144.126.149.185"/>
    <s v="219.232.131.205"/>
    <n v="987"/>
    <n v="987"/>
    <s v="NYSE"/>
    <s v="KMI^A"/>
    <s v="Kinder Morgan, Inc."/>
    <x v="2"/>
    <s v="N/A"/>
    <s v="N/A"/>
    <n v="0"/>
    <n v="1388.5"/>
    <n v="6.98"/>
    <n v="152470077"/>
    <d v="2024-02-29T00:00:00"/>
    <s v="Missing"/>
    <m/>
  </r>
  <r>
    <s v="vhamleyrf"/>
    <s v="baidu.com"/>
    <s v="Veradis"/>
    <s v="Hamley"/>
    <s v="Female"/>
    <s v="Female"/>
    <s v="170.36.254.122"/>
    <s v="62.162.251.253"/>
    <n v="988"/>
    <n v="988"/>
    <s v="NYSE"/>
    <s v="AES^C.CL"/>
    <s v="The AES Corporation"/>
    <x v="2"/>
    <s v="N/A"/>
    <s v="N/A"/>
    <n v="0"/>
    <n v="90.75"/>
    <n v="-14.4"/>
    <n v="58197379"/>
    <d v="2021-08-25T00:00:00"/>
    <s v="Missing"/>
    <m/>
  </r>
  <r>
    <s v="ghowserg"/>
    <s v="ihg.com"/>
    <s v="Glennis"/>
    <s v="Howse"/>
    <s v="Female"/>
    <s v="Female"/>
    <s v="218.158.4.186"/>
    <s v="183.198.183.115"/>
    <n v="989"/>
    <n v="989"/>
    <s v="NASDAQ"/>
    <s v="CVCO"/>
    <s v="Cavco Industries, Inc."/>
    <x v="10"/>
    <s v="Homebuilding"/>
    <s v="$1.18B"/>
    <n v="1180000000"/>
    <n v="639.48"/>
    <n v="10.53"/>
    <n v="153791246"/>
    <d v="2023-10-29T00:00:00"/>
    <s v="Complete"/>
    <m/>
  </r>
  <r>
    <s v="caldersearh"/>
    <s v="ucla.edu"/>
    <s v="Chloe"/>
    <s v="Aldersea"/>
    <s v="Female"/>
    <s v="Female"/>
    <s v="252.229.111.191"/>
    <s v="120.8.239.58"/>
    <n v="990"/>
    <n v="990"/>
    <s v="NYSE"/>
    <s v="PCK"/>
    <s v="Pimco California Municipal Income Fund II"/>
    <x v="2"/>
    <s v="N/A"/>
    <s v="$324.29M"/>
    <n v="324290000"/>
    <n v="429"/>
    <n v="-18.5"/>
    <n v="102724198"/>
    <d v="2024-12-09T00:00:00"/>
    <s v="Missing"/>
    <m/>
  </r>
  <r>
    <s v="hdebankeri"/>
    <s v="illinois.edu"/>
    <s v="Haleigh"/>
    <s v="de Banke"/>
    <s v="Genderfluid"/>
    <s v="Other"/>
    <s v="124.75.231.28"/>
    <s v="116.130.149.27"/>
    <n v="991"/>
    <n v="991"/>
    <s v="NASDAQ"/>
    <s v="PKBK"/>
    <s v="Parke Bancorp, Inc."/>
    <x v="3"/>
    <s v="Major Banks"/>
    <s v="$161.78M"/>
    <n v="161780000"/>
    <n v="849.07"/>
    <n v="5.61"/>
    <n v="169977736"/>
    <d v="2021-01-17T00:00:00"/>
    <s v="Complete"/>
    <m/>
  </r>
  <r>
    <s v="ndanfordrj"/>
    <s v="goodreads.com"/>
    <s v="Nikita"/>
    <s v="Danford"/>
    <s v="Male"/>
    <s v="Male"/>
    <s v="105.218.51.29"/>
    <s v="8.118.240.2"/>
    <n v="992"/>
    <n v="992"/>
    <s v="NASDAQ"/>
    <s v="SPRT"/>
    <s v="support.com, Inc."/>
    <x v="4"/>
    <s v="EDP Services"/>
    <s v="$45.41M"/>
    <n v="45410000"/>
    <n v="1856.08"/>
    <n v="-10.34"/>
    <n v="72808291"/>
    <d v="2025-05-24T00:00:00"/>
    <s v="Complete"/>
    <m/>
  </r>
  <r>
    <s v="gpetzrk"/>
    <s v="tmall.com"/>
    <s v="Grenville"/>
    <s v="Petz"/>
    <s v="Male"/>
    <s v="Male"/>
    <s v="164.26.88.151"/>
    <s v="97.24.213.94"/>
    <n v="993"/>
    <n v="993"/>
    <s v="NYSE"/>
    <s v="ALL^A"/>
    <s v="Allstate Corporation (The)"/>
    <x v="2"/>
    <s v="N/A"/>
    <s v="N/A"/>
    <n v="0"/>
    <n v="1199.95"/>
    <n v="-14.02"/>
    <n v="180983320"/>
    <d v="2026-06-29T00:00:00"/>
    <s v="Missing"/>
    <m/>
  </r>
  <r>
    <s v="lbonellierl"/>
    <s v="bloglines.com"/>
    <s v="Lissy"/>
    <s v="Bonellie"/>
    <s v="Female"/>
    <s v="Female"/>
    <s v="190.163.231.236"/>
    <s v="234.49.30.37"/>
    <n v="994"/>
    <n v="994"/>
    <s v="NASDAQ"/>
    <s v="XRAY"/>
    <s v="DENTSPLY SIRONA Inc."/>
    <x v="0"/>
    <s v="Medical/Dental Instruments"/>
    <s v="$14.6B"/>
    <n v="14600000000"/>
    <n v="149.74"/>
    <n v="1.98"/>
    <n v="45237830"/>
    <d v="2026-06-12T00:00:00"/>
    <s v="Complete"/>
    <m/>
  </r>
  <r>
    <s v="qkarlolakrm"/>
    <s v="vimeo.com"/>
    <s v="Quent"/>
    <s v="Karlolak"/>
    <s v="Male"/>
    <s v="Male"/>
    <s v="51.40.153.158"/>
    <s v="249.236.217.247"/>
    <n v="995"/>
    <n v="995"/>
    <s v="NASDAQ"/>
    <s v="STRL"/>
    <s v="Sterling Construction Company Inc"/>
    <x v="10"/>
    <s v="Military/Government/Technical"/>
    <s v="$286.77M"/>
    <n v="286770000"/>
    <n v="1094.1199999999999"/>
    <n v="-19.86"/>
    <n v="96164656"/>
    <d v="2023-07-24T00:00:00"/>
    <s v="Complete"/>
    <m/>
  </r>
  <r>
    <s v="omarrianrn"/>
    <s v="patch.com"/>
    <s v="Oran"/>
    <s v="Marrian"/>
    <s v="Male"/>
    <s v="Male"/>
    <s v="244.39.230.195"/>
    <s v="155.101.146.173"/>
    <n v="996"/>
    <n v="996"/>
    <s v="NYSE"/>
    <s v="CAJ"/>
    <s v="Canon, Inc."/>
    <x v="7"/>
    <s v="Industrial Machinery/Components"/>
    <s v="$38.48B"/>
    <n v="38480000000"/>
    <n v="1948.08"/>
    <n v="-7.64"/>
    <n v="53673997"/>
    <d v="2021-07-21T00:00:00"/>
    <s v="Complete"/>
    <m/>
  </r>
  <r>
    <s v="pcasieroro"/>
    <s v="unc.edu"/>
    <s v="Phyllys"/>
    <s v="Casiero"/>
    <s v="Female"/>
    <s v="Female"/>
    <s v="159.253.151.165"/>
    <s v="112.251.140.138"/>
    <n v="997"/>
    <n v="997"/>
    <s v="NYSE"/>
    <s v="DLX"/>
    <s v="Deluxe Corporation"/>
    <x v="11"/>
    <s v="Publishing"/>
    <s v="$3.46B"/>
    <n v="3460000000"/>
    <n v="976.04"/>
    <n v="-16.440000000000001"/>
    <n v="16754926"/>
    <d v="2026-09-23T00:00:00"/>
    <s v="Complete"/>
    <m/>
  </r>
  <r>
    <s v="baldridgerp"/>
    <s v="about.me"/>
    <s v="Benjamin"/>
    <s v="Aldridge"/>
    <s v="Male"/>
    <s v="Male"/>
    <s v="104.94.192.178"/>
    <s v="214.166.68.105"/>
    <n v="998"/>
    <n v="998"/>
    <s v="NYSE"/>
    <s v="NXP"/>
    <s v="Nuveen Select Tax Free Income Portfolio"/>
    <x v="2"/>
    <s v="N/A"/>
    <s v="$239.77M"/>
    <n v="239770000"/>
    <n v="112.73"/>
    <n v="9.5"/>
    <n v="37912319"/>
    <d v="2024-05-24T00:00:00"/>
    <s v="Missing"/>
    <m/>
  </r>
  <r>
    <s v="jbrunsdenrq"/>
    <s v="berkeley.edu"/>
    <s v="Jeana"/>
    <s v="Brunsden"/>
    <s v="Female"/>
    <s v="Female"/>
    <s v="133.53.20.82"/>
    <s v="244.199.246.153"/>
    <n v="999"/>
    <n v="999"/>
    <s v="NYSE"/>
    <s v="MUC"/>
    <s v="Blackrock MuniHoldings California Quality Fund,  Inc."/>
    <x v="2"/>
    <s v="N/A"/>
    <s v="$594.95M"/>
    <n v="594950000"/>
    <n v="1270.1099999999999"/>
    <n v="1.06"/>
    <n v="70440874"/>
    <d v="2021-07-26T00:00:00"/>
    <s v="Missing"/>
    <m/>
  </r>
  <r>
    <s v="efullardrr"/>
    <s v="ca.gov"/>
    <s v="Erika"/>
    <s v="Fullard"/>
    <s v="Female"/>
    <s v="Female"/>
    <s v="32.226.223.16"/>
    <s v="62.81.90.7"/>
    <n v="1000"/>
    <n v="1000"/>
    <s v="NASDAQ"/>
    <s v="BJRI"/>
    <s v="BJ's Restaurants, Inc."/>
    <x v="6"/>
    <s v="Restaurants"/>
    <s v="$834.31M"/>
    <n v="834310000"/>
    <n v="774.19"/>
    <n v="-0.09"/>
    <n v="117229741"/>
    <d v="2023-07-12T00:00:00"/>
    <s v="Complete"/>
    <m/>
  </r>
  <r>
    <m/>
    <m/>
    <m/>
    <m/>
    <m/>
    <m/>
    <m/>
    <m/>
    <m/>
    <m/>
    <m/>
    <m/>
    <m/>
    <x v="13"/>
    <m/>
    <m/>
    <m/>
    <m/>
    <m/>
    <m/>
    <m/>
    <s v="Complete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s v="ddurman0"/>
    <s v="vimeo.com"/>
    <s v="Dode"/>
    <s v="Durman"/>
    <s v="Female"/>
    <s v="Female"/>
    <s v="210.173.114.59"/>
    <s v="210.143.162.158"/>
    <n v="1"/>
    <n v="1"/>
    <x v="0"/>
    <s v="EGRX"/>
    <x v="0"/>
    <x v="0"/>
    <s v="Major Pharmaceuticals"/>
    <s v="$1.12B"/>
    <n v="1120000000"/>
    <n v="1572.07"/>
    <n v="16.100000000000001"/>
    <n v="81848616"/>
    <d v="2024-08-03T00:00:00"/>
    <s v="Complete"/>
    <s v="technology"/>
  </r>
  <r>
    <s v="rsutheran1"/>
    <s v="wired.com"/>
    <s v="Riobard"/>
    <s v="Sutheran"/>
    <s v="Male"/>
    <s v="Male"/>
    <s v="209.73.3.19"/>
    <s v="21.198.196.112"/>
    <n v="2"/>
    <n v="2"/>
    <x v="0"/>
    <s v="MDVXW"/>
    <x v="1"/>
    <x v="0"/>
    <s v="Medical/Dental Instruments"/>
    <s v="N/A"/>
    <n v="0"/>
    <n v="12.53"/>
    <n v="-5.53"/>
    <n v="126342391"/>
    <d v="2022-03-23T00:00:00"/>
    <s v="Missing"/>
    <m/>
  </r>
  <r>
    <s v="mmangon2"/>
    <s v="deliciousdays.com"/>
    <s v="Malchy"/>
    <s v="Mangon"/>
    <s v="Male"/>
    <s v="Male"/>
    <s v="40.96.8.198"/>
    <s v="66.110.198.128"/>
    <n v="3"/>
    <n v="3"/>
    <x v="0"/>
    <s v="SHLO"/>
    <x v="2"/>
    <x v="1"/>
    <s v="Industrial Specialties"/>
    <s v="$243.62M"/>
    <n v="243620000"/>
    <n v="537.51"/>
    <n v="5.39"/>
    <n v="152161816"/>
    <d v="2022-08-10T00:00:00"/>
    <s v="Complete"/>
    <m/>
  </r>
  <r>
    <s v="ncouzens3"/>
    <s v="t.co"/>
    <s v="Neely"/>
    <s v="Couzens"/>
    <s v="Female"/>
    <s v="Female"/>
    <s v="40.74.42.144"/>
    <s v="62.92.237.109"/>
    <n v="4"/>
    <n v="4"/>
    <x v="1"/>
    <s v="CYS^A"/>
    <x v="3"/>
    <x v="2"/>
    <s v="N/A"/>
    <s v="N/A"/>
    <n v="0"/>
    <n v="1385.02"/>
    <n v="2.4900000000000002"/>
    <n v="20936922"/>
    <d v="2021-09-19T00:00:00"/>
    <s v="Missing"/>
    <m/>
  </r>
  <r>
    <s v="sslyvester4"/>
    <s v="mapquest.com"/>
    <s v="Shell"/>
    <s v="Slyvester"/>
    <s v="Male"/>
    <s v="Male"/>
    <s v="34.16.92.152"/>
    <s v="232.89.64.25"/>
    <n v="5"/>
    <n v="5"/>
    <x v="1"/>
    <s v="SPE"/>
    <x v="4"/>
    <x v="2"/>
    <s v="N/A"/>
    <s v="$128.56M"/>
    <n v="128560000"/>
    <n v="394.86"/>
    <n v="11.19"/>
    <n v="199860928"/>
    <d v="2022-11-08T00:00:00"/>
    <s v="Missing"/>
    <m/>
  </r>
  <r>
    <s v="nbullent5"/>
    <s v="webeden.co.uk"/>
    <s v="Nerissa"/>
    <s v="Bullent"/>
    <s v="Female"/>
    <s v="Female"/>
    <s v="132.195.230.106"/>
    <s v="97.167.198.83"/>
    <n v="6"/>
    <n v="6"/>
    <x v="0"/>
    <s v="ACGLP"/>
    <x v="5"/>
    <x v="3"/>
    <s v="Property-Casualty Insurers"/>
    <s v="N/A"/>
    <n v="0"/>
    <n v="1985.06"/>
    <n v="11.31"/>
    <n v="140412451"/>
    <d v="2021-08-18T00:00:00"/>
    <s v="Missing"/>
    <m/>
  </r>
  <r>
    <s v="semanuel6"/>
    <s v="merriam-webster.com"/>
    <s v="Si"/>
    <s v="Emanuel"/>
    <s v="Genderfluid"/>
    <s v="Other"/>
    <s v="67.15.21.205"/>
    <s v="145.65.85.16"/>
    <n v="7"/>
    <n v="7"/>
    <x v="1"/>
    <s v="ITCB"/>
    <x v="6"/>
    <x v="3"/>
    <s v="Major Banks"/>
    <s v="$4.74B"/>
    <n v="4740000000"/>
    <n v="1925.97"/>
    <n v="-9.34"/>
    <n v="111983247"/>
    <d v="2020-03-19T00:00:00"/>
    <s v="Complete"/>
    <m/>
  </r>
  <r>
    <s v="npinnocke7"/>
    <s v="google.co.uk"/>
    <s v="Nicky"/>
    <s v="Pinnocke"/>
    <s v="Bigender"/>
    <s v="Other"/>
    <s v="215.169.21.208"/>
    <s v="25.75.213.68"/>
    <n v="8"/>
    <n v="8"/>
    <x v="0"/>
    <s v="PSDO"/>
    <x v="7"/>
    <x v="4"/>
    <s v="Retail: Computer Software &amp; Peripheral Equipment"/>
    <s v="$1.36B"/>
    <n v="1360000000"/>
    <n v="483.93"/>
    <n v="5.86"/>
    <n v="160273478"/>
    <d v="2025-12-16T00:00:00"/>
    <s v="Complete"/>
    <m/>
  </r>
  <r>
    <s v="vwannes8"/>
    <s v="e-recht24.de"/>
    <s v="Vivienne"/>
    <s v="Wannes"/>
    <s v="Female"/>
    <s v="Female"/>
    <s v="145.246.146.239"/>
    <s v="229.124.56.138"/>
    <n v="9"/>
    <n v="9"/>
    <x v="0"/>
    <s v="PMTS"/>
    <x v="8"/>
    <x v="3"/>
    <s v="Finance Companies"/>
    <s v="$127.33M"/>
    <n v="127330000"/>
    <n v="398.34"/>
    <n v="-18.77"/>
    <n v="192380907"/>
    <d v="2024-02-23T00:00:00"/>
    <s v="Complete"/>
    <m/>
  </r>
  <r>
    <s v="glongman9"/>
    <s v="theguardian.com"/>
    <s v="Glennis"/>
    <s v="Longman"/>
    <s v="Female"/>
    <s v="Female"/>
    <s v="106.222.212.88"/>
    <s v="222.206.200.212"/>
    <n v="10"/>
    <n v="10"/>
    <x v="1"/>
    <s v="GDO"/>
    <x v="9"/>
    <x v="2"/>
    <s v="N/A"/>
    <s v="$267.88M"/>
    <n v="267880000"/>
    <n v="1753.78"/>
    <n v="-5.66"/>
    <n v="379405"/>
    <d v="2024-03-16T00:00:00"/>
    <s v="Missing"/>
    <m/>
  </r>
  <r>
    <s v="bmccarrisona"/>
    <s v="cbslocal.com"/>
    <s v="Baily"/>
    <s v="McCarrison"/>
    <s v="Male"/>
    <s v="Male"/>
    <s v="202.221.149.77"/>
    <s v="38.35.206.135"/>
    <n v="11"/>
    <n v="11"/>
    <x v="1"/>
    <s v="GIS"/>
    <x v="10"/>
    <x v="5"/>
    <s v="Packaged Foods"/>
    <s v="$32.9B"/>
    <n v="32900000000"/>
    <n v="944.97"/>
    <n v="18.98"/>
    <n v="151704924"/>
    <d v="2022-12-05T00:00:00"/>
    <s v="Complete"/>
    <m/>
  </r>
  <r>
    <s v="cmoseleyb"/>
    <s v="apple.com"/>
    <s v="Carny"/>
    <s v="Moseley"/>
    <s v="Male"/>
    <s v="Male"/>
    <s v="79.118.24.26"/>
    <s v="211.144.90.61"/>
    <n v="12"/>
    <n v="12"/>
    <x v="1"/>
    <s v="MNR"/>
    <x v="11"/>
    <x v="6"/>
    <s v="Real Estate Investment Trusts"/>
    <s v="$1.1B"/>
    <n v="1100000000"/>
    <n v="486.82"/>
    <n v="6.32"/>
    <n v="173617472"/>
    <d v="2023-02-21T00:00:00"/>
    <s v="Complete"/>
    <m/>
  </r>
  <r>
    <s v="twillmerc"/>
    <s v="gov.uk"/>
    <s v="Tommi"/>
    <s v="Willmer"/>
    <s v="Non-binary"/>
    <s v="Other"/>
    <s v="173.82.144.240"/>
    <s v="226.168.242.14"/>
    <n v="13"/>
    <n v="13"/>
    <x v="1"/>
    <s v="WBAI"/>
    <x v="12"/>
    <x v="6"/>
    <s v="Services-Misc. Amusement &amp; Recreation"/>
    <s v="$384.71M"/>
    <n v="384710000"/>
    <n v="549.07000000000005"/>
    <n v="-10.94"/>
    <n v="54588753"/>
    <d v="2026-03-21T00:00:00"/>
    <s v="Complete"/>
    <m/>
  </r>
  <r>
    <s v="rcoringtond"/>
    <s v="symantec.com"/>
    <s v="Rowney"/>
    <s v="Corington"/>
    <s v="Male"/>
    <s v="Male"/>
    <s v="196.138.204.62"/>
    <s v="200.126.204.163"/>
    <n v="14"/>
    <n v="14"/>
    <x v="0"/>
    <s v="ATHN"/>
    <x v="13"/>
    <x v="7"/>
    <s v="Business Services"/>
    <s v="$5.79B"/>
    <n v="5790000000"/>
    <n v="1646.87"/>
    <n v="14.73"/>
    <n v="27077006"/>
    <d v="2026-05-12T00:00:00"/>
    <s v="Complete"/>
    <m/>
  </r>
  <r>
    <s v="bmccambroise"/>
    <s v="ow.ly"/>
    <s v="Beryl"/>
    <s v="McCambrois"/>
    <s v="Female"/>
    <s v="Female"/>
    <s v="41.180.17.152"/>
    <s v="199.38.70.203"/>
    <n v="15"/>
    <n v="15"/>
    <x v="0"/>
    <s v="CCCL"/>
    <x v="14"/>
    <x v="1"/>
    <s v="Building Materials"/>
    <s v="$4.5M"/>
    <n v="4500000"/>
    <n v="1380.58"/>
    <n v="15.63"/>
    <n v="51474524"/>
    <d v="2021-07-26T00:00:00"/>
    <s v="Complete"/>
    <m/>
  </r>
  <r>
    <s v="ltalmadgef"/>
    <s v="lycos.com"/>
    <s v="Lorrie"/>
    <s v="Talmadge"/>
    <s v="Male"/>
    <s v="Male"/>
    <s v="109.175.19.221"/>
    <s v="54.26.56.207"/>
    <n v="16"/>
    <n v="16"/>
    <x v="1"/>
    <s v="UZB"/>
    <x v="15"/>
    <x v="8"/>
    <s v="Telecommunications Equipment"/>
    <s v="N/A"/>
    <n v="0"/>
    <n v="594.49"/>
    <n v="1.24"/>
    <n v="139738511"/>
    <d v="2026-10-05T00:00:00"/>
    <s v="Missing"/>
    <m/>
  </r>
  <r>
    <s v="ctellenbachg"/>
    <s v="miibeian.gov.cn"/>
    <s v="Correy"/>
    <s v="Tellenbach"/>
    <s v="Male"/>
    <s v="Male"/>
    <s v="55.159.252.253"/>
    <s v="128.9.189.109"/>
    <n v="17"/>
    <n v="17"/>
    <x v="1"/>
    <s v="COG"/>
    <x v="16"/>
    <x v="9"/>
    <s v="Oil &amp; Gas Production"/>
    <s v="$10.76B"/>
    <n v="10760000000"/>
    <n v="1841.2"/>
    <n v="-2.2599999999999998"/>
    <n v="99838632"/>
    <d v="2021-04-27T00:00:00"/>
    <s v="Complete"/>
    <m/>
  </r>
  <r>
    <s v="bnevilleh"/>
    <s v="behance.net"/>
    <s v="Bertina"/>
    <s v="Neville"/>
    <s v="Genderfluid"/>
    <s v="Other"/>
    <s v="17.3.77.165"/>
    <s v="236.15.146.191"/>
    <n v="18"/>
    <n v="18"/>
    <x v="1"/>
    <s v="HMLP"/>
    <x v="17"/>
    <x v="6"/>
    <s v="Marine Transportation"/>
    <s v="$628.6M"/>
    <n v="628600000"/>
    <n v="997.21"/>
    <n v="4.51"/>
    <n v="18856343"/>
    <d v="2020-09-17T00:00:00"/>
    <s v="Complete"/>
    <m/>
  </r>
  <r>
    <s v="ameeusi"/>
    <s v="mozilla.org"/>
    <s v="Allyson"/>
    <s v="Meeus"/>
    <s v="Female"/>
    <s v="Female"/>
    <s v="90.150.220.134"/>
    <s v="85.0.4.56"/>
    <n v="19"/>
    <n v="19"/>
    <x v="1"/>
    <s v="MTB.WS"/>
    <x v="18"/>
    <x v="2"/>
    <s v="N/A"/>
    <s v="N/A"/>
    <n v="0"/>
    <n v="1332.11"/>
    <n v="19.95"/>
    <n v="78140111"/>
    <d v="2023-11-07T00:00:00"/>
    <s v="Missing"/>
    <m/>
  </r>
  <r>
    <s v="kbateupj"/>
    <s v="eventbrite.com"/>
    <s v="Kevon"/>
    <s v="Bateup"/>
    <s v="Genderqueer"/>
    <s v="Other"/>
    <s v="135.154.249.129"/>
    <s v="69.250.2.111"/>
    <n v="20"/>
    <n v="20"/>
    <x v="1"/>
    <s v="BDX"/>
    <x v="19"/>
    <x v="0"/>
    <s v="Medical/Dental Instruments"/>
    <s v="$43.49B"/>
    <n v="43490000000"/>
    <n v="69.09"/>
    <n v="7.63"/>
    <n v="91361040"/>
    <d v="2020-01-13T00:00:00"/>
    <s v="Complete"/>
    <m/>
  </r>
  <r>
    <s v="fcarillok"/>
    <s v="simplemachines.org"/>
    <s v="Falkner"/>
    <s v="Carillo"/>
    <s v="Male"/>
    <s v="Male"/>
    <s v="136.51.38.130"/>
    <s v="184.33.28.109"/>
    <n v="21"/>
    <n v="21"/>
    <x v="1"/>
    <s v="SO"/>
    <x v="20"/>
    <x v="8"/>
    <s v="Electric Utilities: Central"/>
    <s v="$51.25B"/>
    <n v="51250000000"/>
    <n v="95.3"/>
    <n v="-0.51"/>
    <n v="28474693"/>
    <d v="2022-03-04T00:00:00"/>
    <s v="Complete"/>
    <m/>
  </r>
  <r>
    <s v="dblackabyl"/>
    <s v="about.me"/>
    <s v="Davon"/>
    <s v="Blackaby"/>
    <s v="Bigender"/>
    <s v="Other"/>
    <s v="16.86.86.206"/>
    <s v="163.90.221.30"/>
    <n v="22"/>
    <n v="22"/>
    <x v="0"/>
    <s v="ZNGA"/>
    <x v="21"/>
    <x v="4"/>
    <s v="EDP Services"/>
    <s v="$3.17B"/>
    <n v="3170000000"/>
    <n v="160.37"/>
    <n v="14.11"/>
    <n v="149428459"/>
    <d v="2021-11-18T00:00:00"/>
    <s v="Complete"/>
    <m/>
  </r>
  <r>
    <s v="pdockerym"/>
    <s v="themeforest.net"/>
    <s v="Pat"/>
    <s v="Dockery"/>
    <s v="Male"/>
    <s v="Male"/>
    <s v="111.84.168.172"/>
    <s v="217.63.119.27"/>
    <n v="23"/>
    <n v="23"/>
    <x v="1"/>
    <s v="LXU"/>
    <x v="22"/>
    <x v="10"/>
    <s v="Major Chemicals"/>
    <s v="$295.41M"/>
    <n v="295410000"/>
    <n v="1496.68"/>
    <n v="-5.87"/>
    <n v="134000009"/>
    <d v="2026-06-13T00:00:00"/>
    <s v="Complete"/>
    <m/>
  </r>
  <r>
    <s v="ewinhamn"/>
    <s v="irs.gov"/>
    <s v="Emogene"/>
    <s v="Winham"/>
    <s v="Female"/>
    <s v="Female"/>
    <s v="8.163.158.231"/>
    <s v="45.119.88.135"/>
    <n v="24"/>
    <n v="24"/>
    <x v="0"/>
    <s v="ABMD"/>
    <x v="23"/>
    <x v="0"/>
    <s v="Medical/Dental Instruments"/>
    <s v="$6.28B"/>
    <n v="6280000000"/>
    <n v="1367.88"/>
    <n v="16.190000000000001"/>
    <n v="138361710"/>
    <d v="2022-09-19T00:00:00"/>
    <s v="Complete"/>
    <m/>
  </r>
  <r>
    <s v="lburghallo"/>
    <s v="phpbb.com"/>
    <s v="Lorrie"/>
    <s v="Burghall"/>
    <s v="Male"/>
    <s v="Male"/>
    <s v="106.204.167.215"/>
    <s v="63.95.202.97"/>
    <n v="25"/>
    <n v="25"/>
    <x v="0"/>
    <s v="PYDS"/>
    <x v="24"/>
    <x v="3"/>
    <s v="Investment Bankers/Brokers/Service"/>
    <s v="$15.38M"/>
    <n v="15380000"/>
    <n v="1558.44"/>
    <n v="-6.67"/>
    <n v="196729450"/>
    <d v="2025-04-20T00:00:00"/>
    <s v="Complete"/>
    <m/>
  </r>
  <r>
    <s v="hdecrusep"/>
    <s v="4shared.com"/>
    <s v="Hy"/>
    <s v="Decruse"/>
    <s v="Agender"/>
    <s v="Other"/>
    <s v="140.147.219.233"/>
    <s v="128.91.63.41"/>
    <n v="26"/>
    <n v="26"/>
    <x v="0"/>
    <s v="ASUR"/>
    <x v="25"/>
    <x v="4"/>
    <s v="EDP Services"/>
    <s v="$172.9M"/>
    <n v="172900000"/>
    <n v="1296.78"/>
    <n v="-14.9"/>
    <n v="41442258"/>
    <d v="2026-06-28T00:00:00"/>
    <s v="Complete"/>
    <m/>
  </r>
  <r>
    <s v="tpicklessq"/>
    <s v="cocolog-nifty.com"/>
    <s v="Tucky"/>
    <s v="Pickless"/>
    <s v="Non-binary"/>
    <s v="Other"/>
    <s v="239.215.147.130"/>
    <s v="250.221.251.194"/>
    <n v="27"/>
    <n v="27"/>
    <x v="1"/>
    <s v="JMT"/>
    <x v="26"/>
    <x v="2"/>
    <s v="N/A"/>
    <s v="$118.37M"/>
    <n v="118370000"/>
    <n v="1163.92"/>
    <n v="-19.59"/>
    <n v="139981740"/>
    <d v="2026-06-29T00:00:00"/>
    <s v="Missing"/>
    <m/>
  </r>
  <r>
    <s v="pbamblettr"/>
    <s v="wp.com"/>
    <s v="Palmer"/>
    <s v="Bamblett"/>
    <s v="Male"/>
    <s v="Male"/>
    <s v="103.105.98.208"/>
    <s v="135.149.3.175"/>
    <n v="28"/>
    <n v="28"/>
    <x v="1"/>
    <s v="AVK"/>
    <x v="27"/>
    <x v="2"/>
    <s v="N/A"/>
    <s v="$378.24M"/>
    <n v="378240000"/>
    <n v="1467.57"/>
    <n v="-9"/>
    <n v="194795912"/>
    <d v="2025-01-29T00:00:00"/>
    <s v="Missing"/>
    <m/>
  </r>
  <r>
    <s v="wflecknoes"/>
    <s v="sina.com.cn"/>
    <s v="Wandie"/>
    <s v="Flecknoe"/>
    <s v="Female"/>
    <s v="Female"/>
    <s v="83.187.21.149"/>
    <s v="238.0.177.1"/>
    <n v="29"/>
    <n v="29"/>
    <x v="1"/>
    <s v="LFGR"/>
    <x v="28"/>
    <x v="4"/>
    <s v="EDP Services"/>
    <s v="$162.87M"/>
    <n v="162870000"/>
    <n v="805.98"/>
    <n v="6.73"/>
    <n v="1041919"/>
    <d v="2025-03-04T00:00:00"/>
    <s v="Complete"/>
    <m/>
  </r>
  <r>
    <s v="ssoamest"/>
    <s v="php.net"/>
    <s v="Stan"/>
    <s v="Soames"/>
    <s v="Male"/>
    <s v="Male"/>
    <s v="18.46.16.89"/>
    <s v="102.173.226.153"/>
    <n v="30"/>
    <n v="30"/>
    <x v="0"/>
    <s v="ICFI"/>
    <x v="29"/>
    <x v="6"/>
    <s v="Professional Services"/>
    <s v="$882.65M"/>
    <n v="882650000"/>
    <n v="1510.86"/>
    <n v="5.96"/>
    <n v="94730962"/>
    <d v="2026-09-14T00:00:00"/>
    <s v="Complete"/>
    <m/>
  </r>
  <r>
    <s v="ematzu"/>
    <s v="w3.org"/>
    <s v="Elsworth"/>
    <s v="Matz"/>
    <s v="Male"/>
    <s v="Male"/>
    <s v="73.209.240.224"/>
    <s v="178.58.14.171"/>
    <n v="31"/>
    <n v="31"/>
    <x v="0"/>
    <s v="CEMI"/>
    <x v="30"/>
    <x v="0"/>
    <s v="Major Pharmaceuticals"/>
    <s v="$73.79M"/>
    <n v="73790000"/>
    <n v="1915.27"/>
    <n v="13.85"/>
    <n v="54209644"/>
    <d v="2020-01-20T00:00:00"/>
    <s v="Complete"/>
    <m/>
  </r>
  <r>
    <s v="rtenderv"/>
    <s v="ebay.com"/>
    <s v="Raviv"/>
    <s v="Tender"/>
    <s v="Male"/>
    <s v="Male"/>
    <s v="223.71.83.74"/>
    <s v="119.66.199.215"/>
    <n v="32"/>
    <n v="32"/>
    <x v="0"/>
    <s v="WCFB"/>
    <x v="31"/>
    <x v="3"/>
    <s v="Major Banks"/>
    <s v="$26.13M"/>
    <n v="26130000"/>
    <n v="178.74"/>
    <n v="-16.91"/>
    <n v="70251160"/>
    <d v="2026-05-23T00:00:00"/>
    <s v="Complete"/>
    <m/>
  </r>
  <r>
    <s v="boldacrew"/>
    <s v="skype.com"/>
    <s v="Barbabas"/>
    <s v="Oldacre"/>
    <s v="Genderfluid"/>
    <s v="Other"/>
    <s v="122.251.70.24"/>
    <s v="7.180.32.24"/>
    <n v="33"/>
    <n v="33"/>
    <x v="0"/>
    <s v="ETSY"/>
    <x v="32"/>
    <x v="7"/>
    <s v="Business Services"/>
    <s v="$1.59B"/>
    <n v="1590000000"/>
    <n v="922.91"/>
    <n v="14.8"/>
    <n v="181271276"/>
    <d v="2026-11-19T00:00:00"/>
    <s v="Complete"/>
    <m/>
  </r>
  <r>
    <s v="zdefranciscix"/>
    <s v="google.com.hk"/>
    <s v="Zebedee"/>
    <s v="De Francisci"/>
    <s v="Male"/>
    <s v="Male"/>
    <s v="91.1.27.179"/>
    <s v="39.16.70.225"/>
    <n v="34"/>
    <n v="34"/>
    <x v="0"/>
    <s v="IIIN"/>
    <x v="33"/>
    <x v="1"/>
    <s v="Steel/Iron Ore"/>
    <s v="$605.76M"/>
    <n v="605760000"/>
    <n v="1272.42"/>
    <n v="13.97"/>
    <n v="79997222"/>
    <d v="2020-05-26T00:00:00"/>
    <s v="Complete"/>
    <m/>
  </r>
  <r>
    <s v="rmacdowaly"/>
    <s v="yelp.com"/>
    <s v="Rochell"/>
    <s v="MacDowal"/>
    <s v="Female"/>
    <s v="Female"/>
    <s v="153.109.6.43"/>
    <s v="236.18.213.165"/>
    <n v="35"/>
    <n v="35"/>
    <x v="0"/>
    <s v="NHLD"/>
    <x v="34"/>
    <x v="3"/>
    <s v="Investment Bankers/Brokers/Service"/>
    <s v="$34.45M"/>
    <n v="34450000"/>
    <n v="502.61"/>
    <n v="18.84"/>
    <n v="64784873"/>
    <d v="2023-10-25T00:00:00"/>
    <s v="Complete"/>
    <m/>
  </r>
  <r>
    <s v="owarlawez"/>
    <s v="deliciousdays.com"/>
    <s v="Onfroi"/>
    <s v="Warlawe"/>
    <s v="Male"/>
    <s v="Male"/>
    <s v="113.77.100.238"/>
    <s v="156.160.243.167"/>
    <n v="36"/>
    <n v="36"/>
    <x v="1"/>
    <s v="RGC"/>
    <x v="35"/>
    <x v="6"/>
    <s v="Movies/Entertainment"/>
    <s v="$3.36B"/>
    <n v="3360000000"/>
    <n v="648.34"/>
    <n v="-2.06"/>
    <n v="52870009"/>
    <d v="2025-11-06T00:00:00"/>
    <s v="Complete"/>
    <m/>
  </r>
  <r>
    <s v="dsanford10"/>
    <s v="bloomberg.com"/>
    <s v="Darcee"/>
    <s v="Sanford"/>
    <s v="Female"/>
    <s v="Female"/>
    <s v="135.130.206.58"/>
    <s v="93.221.148.232"/>
    <n v="37"/>
    <n v="37"/>
    <x v="0"/>
    <s v="NTWK"/>
    <x v="36"/>
    <x v="4"/>
    <s v="Computer Software: Prepackaged Software"/>
    <s v="$45.09M"/>
    <n v="45090000"/>
    <n v="620.94000000000005"/>
    <n v="-13.96"/>
    <n v="153684697"/>
    <d v="2023-06-11T00:00:00"/>
    <s v="Complete"/>
    <m/>
  </r>
  <r>
    <s v="wfoulkes11"/>
    <s v="businesswire.com"/>
    <s v="Warren"/>
    <s v="Foulkes"/>
    <s v="Male"/>
    <s v="Male"/>
    <s v="26.130.69.54"/>
    <s v="227.24.211.159"/>
    <n v="38"/>
    <n v="38"/>
    <x v="1"/>
    <s v="ORC"/>
    <x v="37"/>
    <x v="6"/>
    <s v="Real Estate Investment Trusts"/>
    <s v="$350.52M"/>
    <n v="350520000"/>
    <n v="1965.59"/>
    <n v="17.96"/>
    <n v="96749130"/>
    <d v="2023-12-30T00:00:00"/>
    <s v="Complete"/>
    <m/>
  </r>
  <r>
    <s v="mkenzie12"/>
    <s v="bloomberg.com"/>
    <s v="Melitta"/>
    <s v="Kenzie"/>
    <s v="Female"/>
    <s v="Female"/>
    <s v="221.115.169.0"/>
    <s v="68.126.128.3"/>
    <n v="39"/>
    <n v="39"/>
    <x v="1"/>
    <s v="OA"/>
    <x v="38"/>
    <x v="1"/>
    <s v="Military/Government/Technical"/>
    <s v="$5.74B"/>
    <n v="5740000000"/>
    <n v="956.14"/>
    <n v="4.3099999999999996"/>
    <n v="44583222"/>
    <d v="2021-06-11T00:00:00"/>
    <s v="Complete"/>
    <m/>
  </r>
  <r>
    <s v="ljiggins13"/>
    <s v="cornell.edu"/>
    <s v="Lucas"/>
    <s v="Jiggins"/>
    <s v="Male"/>
    <s v="Male"/>
    <s v="210.212.164.166"/>
    <s v="90.196.134.29"/>
    <n v="40"/>
    <n v="40"/>
    <x v="0"/>
    <s v="APPN"/>
    <x v="39"/>
    <x v="4"/>
    <s v="Computer Software: Prepackaged Software"/>
    <s v="$1.07B"/>
    <n v="1070000000.0000001"/>
    <n v="904.14"/>
    <n v="-1.86"/>
    <n v="184214630"/>
    <d v="2021-06-06T00:00:00"/>
    <s v="Complete"/>
    <m/>
  </r>
  <r>
    <s v="kstoad14"/>
    <s v="prlog.org"/>
    <s v="Kelcie"/>
    <s v="Stoad"/>
    <s v="Female"/>
    <s v="Female"/>
    <s v="31.209.201.116"/>
    <s v="231.18.224.146"/>
    <n v="41"/>
    <n v="41"/>
    <x v="0"/>
    <s v="TANNZ"/>
    <x v="40"/>
    <x v="11"/>
    <s v="Automotive Aftermarket"/>
    <s v="N/A"/>
    <n v="0"/>
    <n v="1851.58"/>
    <n v="-5.1100000000000003"/>
    <n v="197095068"/>
    <d v="2022-04-18T00:00:00"/>
    <s v="Missing"/>
    <m/>
  </r>
  <r>
    <s v="ccasiroli15"/>
    <s v="miitbeian.gov.cn"/>
    <s v="Chickie"/>
    <s v="Casiroli"/>
    <s v="Female"/>
    <s v="Female"/>
    <s v="96.139.76.66"/>
    <s v="221.157.14.19"/>
    <n v="42"/>
    <n v="42"/>
    <x v="0"/>
    <s v="RARE"/>
    <x v="41"/>
    <x v="0"/>
    <s v="Major Pharmaceuticals"/>
    <s v="$2.64B"/>
    <n v="2640000000"/>
    <n v="720.02"/>
    <n v="-17.46"/>
    <n v="180211723"/>
    <d v="2025-07-21T00:00:00"/>
    <s v="Complete"/>
    <m/>
  </r>
  <r>
    <s v="pgobourn16"/>
    <s v="e-recht24.de"/>
    <s v="Pierrette"/>
    <s v="Gobourn"/>
    <s v="Female"/>
    <s v="Female"/>
    <s v="184.248.76.50"/>
    <s v="229.216.218.215"/>
    <n v="43"/>
    <n v="43"/>
    <x v="1"/>
    <s v="NTEST"/>
    <x v="42"/>
    <x v="2"/>
    <s v="N/A"/>
    <s v="N/A"/>
    <n v="0"/>
    <n v="1316.16"/>
    <n v="-15.58"/>
    <n v="194741029"/>
    <d v="2025-10-24T00:00:00"/>
    <s v="Missing"/>
    <m/>
  </r>
  <r>
    <s v="celam17"/>
    <s v="mozilla.com"/>
    <s v="Cchaddie"/>
    <s v="Elam"/>
    <s v="Male"/>
    <s v="Male"/>
    <s v="106.100.176.178"/>
    <s v="55.210.84.234"/>
    <n v="44"/>
    <n v="44"/>
    <x v="0"/>
    <s v="AETI"/>
    <x v="43"/>
    <x v="9"/>
    <s v="Industrial Machinery/Components"/>
    <s v="$12.31M"/>
    <n v="12310000"/>
    <n v="1628.53"/>
    <n v="5.58"/>
    <n v="92048561"/>
    <d v="2020-10-06T00:00:00"/>
    <s v="Complete"/>
    <m/>
  </r>
  <r>
    <s v="dmatitiaho18"/>
    <s v="imgur.com"/>
    <s v="Dick"/>
    <s v="Matitiaho"/>
    <s v="Male"/>
    <s v="Male"/>
    <s v="44.46.235.48"/>
    <s v="212.22.136.255"/>
    <n v="45"/>
    <n v="45"/>
    <x v="1"/>
    <s v="PL^C"/>
    <x v="44"/>
    <x v="2"/>
    <s v="N/A"/>
    <s v="N/A"/>
    <n v="0"/>
    <n v="633.30999999999995"/>
    <n v="19.12"/>
    <n v="8126008"/>
    <d v="2021-02-27T00:00:00"/>
    <s v="Missing"/>
    <m/>
  </r>
  <r>
    <s v="lneillans19"/>
    <s v="sourceforge.net"/>
    <s v="Lisbeth"/>
    <s v="Neillans"/>
    <s v="Female"/>
    <s v="Female"/>
    <s v="122.15.171.200"/>
    <s v="88.47.117.99"/>
    <n v="46"/>
    <n v="46"/>
    <x v="1"/>
    <s v="BAC^L"/>
    <x v="45"/>
    <x v="2"/>
    <s v="N/A"/>
    <s v="N/A"/>
    <n v="0"/>
    <n v="385.73"/>
    <n v="12.34"/>
    <n v="79648289"/>
    <d v="2025-12-29T00:00:00"/>
    <s v="Missing"/>
    <m/>
  </r>
  <r>
    <s v="alamdin1a"/>
    <s v="photobucket.com"/>
    <s v="Alyse"/>
    <s v="Lamdin"/>
    <s v="Female"/>
    <s v="Female"/>
    <s v="116.44.232.1"/>
    <s v="237.200.136.16"/>
    <n v="47"/>
    <n v="47"/>
    <x v="0"/>
    <s v="CACC"/>
    <x v="46"/>
    <x v="3"/>
    <s v="Finance: Consumer Services"/>
    <s v="$4.64B"/>
    <n v="4640000000"/>
    <n v="1831.05"/>
    <n v="4.87"/>
    <n v="136527708"/>
    <d v="2020-09-24T00:00:00"/>
    <s v="Complete"/>
    <m/>
  </r>
  <r>
    <s v="acruddace1b"/>
    <s v="springer.com"/>
    <s v="Alistair"/>
    <s v="Cruddace"/>
    <s v="Male"/>
    <s v="Male"/>
    <s v="242.5.103.114"/>
    <s v="174.34.12.135"/>
    <n v="48"/>
    <n v="48"/>
    <x v="0"/>
    <s v="TAPR"/>
    <x v="47"/>
    <x v="3"/>
    <s v="Commercial Banks"/>
    <s v="$14.79M"/>
    <n v="14790000"/>
    <n v="1771.36"/>
    <n v="-19.86"/>
    <n v="102121445"/>
    <d v="2025-06-20T00:00:00"/>
    <s v="Complete"/>
    <m/>
  </r>
  <r>
    <s v="fsiddele1c"/>
    <s v="macromedia.com"/>
    <s v="Fidelity"/>
    <s v="Siddele"/>
    <s v="Female"/>
    <s v="Female"/>
    <s v="62.147.43.8"/>
    <s v="75.112.186.158"/>
    <n v="49"/>
    <n v="49"/>
    <x v="1"/>
    <s v="TISI"/>
    <x v="48"/>
    <x v="6"/>
    <s v="Other Consumer Services"/>
    <s v="$751.34M"/>
    <n v="751340000"/>
    <n v="882.05"/>
    <n v="-0.44"/>
    <n v="84604444"/>
    <d v="2022-10-27T00:00:00"/>
    <s v="Complete"/>
    <m/>
  </r>
  <r>
    <s v="hsaleway1d"/>
    <s v="gravatar.com"/>
    <s v="Happy"/>
    <s v="Saleway"/>
    <s v="Female"/>
    <s v="Female"/>
    <s v="22.26.238.238"/>
    <s v="15.137.154.148"/>
    <n v="50"/>
    <n v="50"/>
    <x v="1"/>
    <s v="PZC"/>
    <x v="49"/>
    <x v="2"/>
    <s v="N/A"/>
    <s v="$283.89M"/>
    <n v="283890000"/>
    <n v="750.55"/>
    <n v="-8.9"/>
    <n v="143293854"/>
    <d v="2024-09-25T00:00:00"/>
    <s v="Missing"/>
    <m/>
  </r>
  <r>
    <s v="pgriffithe1e"/>
    <s v="bloglines.com"/>
    <s v="Phelia"/>
    <s v="Griffithe"/>
    <s v="Female"/>
    <s v="Female"/>
    <s v="35.45.204.0"/>
    <s v="171.36.92.103"/>
    <n v="51"/>
    <n v="51"/>
    <x v="1"/>
    <s v="WALA"/>
    <x v="50"/>
    <x v="3"/>
    <s v="Major Banks"/>
    <s v="N/A"/>
    <n v="0"/>
    <n v="1403.81"/>
    <n v="-9.15"/>
    <n v="43382305"/>
    <d v="2026-12-20T00:00:00"/>
    <s v="Missing"/>
    <m/>
  </r>
  <r>
    <s v="bcaldow1f"/>
    <s v="hhs.gov"/>
    <s v="Brigitte"/>
    <s v="Caldow"/>
    <s v="Female"/>
    <s v="Female"/>
    <s v="154.196.35.29"/>
    <s v="140.1.206.7"/>
    <n v="52"/>
    <n v="52"/>
    <x v="1"/>
    <s v="MTR"/>
    <x v="51"/>
    <x v="9"/>
    <s v="Oil &amp; Gas Production"/>
    <s v="$22.46M"/>
    <n v="22460000"/>
    <n v="649.53"/>
    <n v="-8.24"/>
    <n v="152637868"/>
    <d v="2025-01-24T00:00:00"/>
    <s v="Complete"/>
    <m/>
  </r>
  <r>
    <s v="lgosse1g"/>
    <s v="multiply.com"/>
    <s v="Lizzy"/>
    <s v="Gosse"/>
    <s v="Female"/>
    <s v="Female"/>
    <s v="16.161.130.55"/>
    <s v="192.245.205.20"/>
    <n v="53"/>
    <n v="53"/>
    <x v="0"/>
    <s v="GLAD"/>
    <x v="52"/>
    <x v="2"/>
    <s v="N/A"/>
    <s v="$253.65M"/>
    <n v="253650000"/>
    <n v="986.75"/>
    <n v="8.09"/>
    <n v="144932302"/>
    <d v="2023-05-23T00:00:00"/>
    <s v="Missing"/>
    <m/>
  </r>
  <r>
    <s v="kcathery1h"/>
    <s v="alibaba.com"/>
    <s v="Korney"/>
    <s v="Cathery"/>
    <s v="Bigender"/>
    <s v="Other"/>
    <s v="84.70.178.170"/>
    <s v="134.24.150.125"/>
    <n v="54"/>
    <n v="54"/>
    <x v="1"/>
    <s v="AFSD"/>
    <x v="53"/>
    <x v="3"/>
    <s v="Accident &amp;Health Insurance"/>
    <s v="N/A"/>
    <n v="0"/>
    <n v="1056.47"/>
    <n v="11.83"/>
    <n v="6056229"/>
    <d v="2026-02-13T00:00:00"/>
    <s v="Missing"/>
    <m/>
  </r>
  <r>
    <s v="ijancar1i"/>
    <s v="biglobe.ne.jp"/>
    <s v="Iorgos"/>
    <s v="Jancar"/>
    <s v="Male"/>
    <s v="Male"/>
    <s v="141.31.179.142"/>
    <s v="101.125.106.238"/>
    <n v="55"/>
    <n v="55"/>
    <x v="0"/>
    <s v="UCTT"/>
    <x v="54"/>
    <x v="4"/>
    <s v="Semiconductors"/>
    <s v="$690.58M"/>
    <n v="690580000"/>
    <n v="130.68"/>
    <n v="-14.63"/>
    <n v="130248022"/>
    <d v="2023-07-09T00:00:00"/>
    <s v="Complete"/>
    <m/>
  </r>
  <r>
    <s v="fbegent1j"/>
    <s v="usda.gov"/>
    <s v="Frieda"/>
    <s v="Begent"/>
    <s v="Female"/>
    <s v="Female"/>
    <s v="74.111.228.61"/>
    <s v="44.77.11.249"/>
    <n v="56"/>
    <n v="56"/>
    <x v="1"/>
    <s v="JPM^E"/>
    <x v="55"/>
    <x v="2"/>
    <s v="N/A"/>
    <s v="N/A"/>
    <n v="0"/>
    <n v="61.73"/>
    <n v="-4.68"/>
    <n v="98835364"/>
    <d v="2022-08-31T00:00:00"/>
    <s v="Missing"/>
    <m/>
  </r>
  <r>
    <s v="kscoffham1k"/>
    <s v="networkadvertising.org"/>
    <s v="Ker"/>
    <s v="Scoffham"/>
    <s v="Male"/>
    <s v="Male"/>
    <s v="129.97.7.155"/>
    <s v="152.104.222.181"/>
    <n v="57"/>
    <n v="57"/>
    <x v="0"/>
    <s v="IBKR"/>
    <x v="56"/>
    <x v="3"/>
    <s v="Investment Bankers/Brokers/Service"/>
    <s v="$14.98B"/>
    <n v="14980000000"/>
    <n v="197.86"/>
    <n v="14.86"/>
    <n v="2375423"/>
    <d v="2024-03-24T00:00:00"/>
    <s v="Complete"/>
    <m/>
  </r>
  <r>
    <s v="vprince1l"/>
    <s v="msu.edu"/>
    <s v="Velma"/>
    <s v="Prince"/>
    <s v="Female"/>
    <s v="Female"/>
    <s v="169.104.84.10"/>
    <s v="99.176.239.198"/>
    <n v="58"/>
    <n v="58"/>
    <x v="0"/>
    <s v="FFWM"/>
    <x v="57"/>
    <x v="3"/>
    <s v="Major Banks"/>
    <s v="$543.15M"/>
    <n v="543150000"/>
    <n v="1811.05"/>
    <n v="-18.079999999999998"/>
    <n v="188371461"/>
    <d v="2022-11-23T00:00:00"/>
    <s v="Complete"/>
    <m/>
  </r>
  <r>
    <s v="jdavidovics1m"/>
    <s v="paypal.com"/>
    <s v="Jefferson"/>
    <s v="Davidovics"/>
    <s v="Male"/>
    <s v="Male"/>
    <s v="115.17.211.223"/>
    <s v="206.108.202.108"/>
    <n v="59"/>
    <n v="59"/>
    <x v="1"/>
    <s v="DNB"/>
    <x v="58"/>
    <x v="3"/>
    <s v="Finance: Consumer Services"/>
    <s v="$3.91B"/>
    <n v="3910000000"/>
    <n v="1010.92"/>
    <n v="13.8"/>
    <n v="132129358"/>
    <d v="2025-05-04T00:00:00"/>
    <s v="Complete"/>
    <m/>
  </r>
  <r>
    <s v="dupham1n"/>
    <s v="nba.com"/>
    <s v="Dav"/>
    <s v="Upham"/>
    <s v="Male"/>
    <s v="Male"/>
    <s v="238.255.180.85"/>
    <s v="53.206.80.187"/>
    <n v="60"/>
    <n v="60"/>
    <x v="1"/>
    <s v="IIM"/>
    <x v="59"/>
    <x v="2"/>
    <s v="N/A"/>
    <s v="$713.38M"/>
    <n v="713380000"/>
    <n v="1370.52"/>
    <n v="-13.4"/>
    <n v="60185377"/>
    <d v="2025-07-22T00:00:00"/>
    <s v="Missing"/>
    <m/>
  </r>
  <r>
    <s v="athursby1o"/>
    <s v="yahoo.com"/>
    <s v="Anatollo"/>
    <s v="Thursby"/>
    <s v="Male"/>
    <s v="Male"/>
    <s v="73.181.58.197"/>
    <s v="175.24.223.71"/>
    <n v="61"/>
    <n v="61"/>
    <x v="1"/>
    <s v="SHO^F"/>
    <x v="60"/>
    <x v="2"/>
    <s v="N/A"/>
    <s v="N/A"/>
    <n v="0"/>
    <n v="736.92"/>
    <n v="-7.52"/>
    <n v="173261648"/>
    <d v="2024-02-01T00:00:00"/>
    <s v="Missing"/>
    <m/>
  </r>
  <r>
    <s v="bdollman1p"/>
    <s v="a8.net"/>
    <s v="Brockie"/>
    <s v="Dollman"/>
    <s v="Male"/>
    <s v="Male"/>
    <s v="243.189.99.247"/>
    <s v="84.222.239.5"/>
    <n v="62"/>
    <n v="62"/>
    <x v="1"/>
    <s v="MCO"/>
    <x v="61"/>
    <x v="3"/>
    <s v="Finance: Consumer Services"/>
    <s v="$23.39B"/>
    <n v="23390000000"/>
    <n v="785.18"/>
    <n v="9.23"/>
    <n v="142169489"/>
    <d v="2024-04-16T00:00:00"/>
    <s v="Complete"/>
    <m/>
  </r>
  <r>
    <s v="jatwood1q"/>
    <s v="angelfire.com"/>
    <s v="Joellen"/>
    <s v="Atwood"/>
    <s v="Female"/>
    <s v="Female"/>
    <s v="32.252.253.172"/>
    <s v="167.23.3.247"/>
    <n v="63"/>
    <n v="63"/>
    <x v="0"/>
    <s v="GLDI"/>
    <x v="62"/>
    <x v="3"/>
    <s v="Investment Bankers/Brokers/Service"/>
    <s v="$126.29M"/>
    <n v="126290000"/>
    <n v="1676.63"/>
    <n v="-3.6"/>
    <n v="18557893"/>
    <d v="2026-01-02T00:00:00"/>
    <s v="Complete"/>
    <m/>
  </r>
  <r>
    <s v="sbudden1r"/>
    <s v="gmpg.org"/>
    <s v="Sullivan"/>
    <s v="Budden"/>
    <s v="Male"/>
    <s v="Male"/>
    <s v="4.232.40.103"/>
    <s v="185.73.54.11"/>
    <n v="64"/>
    <n v="64"/>
    <x v="0"/>
    <s v="BCBP"/>
    <x v="63"/>
    <x v="3"/>
    <s v="Savings Institutions"/>
    <s v="$174.42M"/>
    <n v="174420000"/>
    <n v="561.39"/>
    <n v="-7.01"/>
    <n v="3288981"/>
    <d v="2024-10-22T00:00:00"/>
    <s v="Complete"/>
    <m/>
  </r>
  <r>
    <s v="gpayze1s"/>
    <s v="imgur.com"/>
    <s v="Gherardo"/>
    <s v="Payze"/>
    <s v="Male"/>
    <s v="Male"/>
    <s v="170.59.50.97"/>
    <s v="11.107.174.150"/>
    <n v="65"/>
    <n v="65"/>
    <x v="0"/>
    <s v="KTCC"/>
    <x v="64"/>
    <x v="4"/>
    <s v="Computer peripheral equipment"/>
    <s v="$73.17M"/>
    <n v="73170000"/>
    <n v="613.75"/>
    <n v="-9.98"/>
    <n v="126755075"/>
    <d v="2023-11-07T00:00:00"/>
    <s v="Complete"/>
    <m/>
  </r>
  <r>
    <s v="gpetel1t"/>
    <s v="java.com"/>
    <s v="Genevieve"/>
    <s v="Petel"/>
    <s v="Female"/>
    <s v="Female"/>
    <s v="96.76.60.24"/>
    <s v="212.2.173.16"/>
    <n v="66"/>
    <n v="66"/>
    <x v="1"/>
    <s v="NTEST.B"/>
    <x v="42"/>
    <x v="2"/>
    <s v="N/A"/>
    <s v="N/A"/>
    <n v="0"/>
    <n v="1023.08"/>
    <n v="18.670000000000002"/>
    <n v="57346495"/>
    <d v="2021-05-07T00:00:00"/>
    <s v="Missing"/>
    <m/>
  </r>
  <r>
    <s v="tlabrow1u"/>
    <s v="squarespace.com"/>
    <s v="Tracey"/>
    <s v="Labrow"/>
    <s v="Female"/>
    <s v="Female"/>
    <s v="158.72.5.180"/>
    <s v="30.61.56.84"/>
    <n v="67"/>
    <n v="67"/>
    <x v="1"/>
    <s v="CRC"/>
    <x v="65"/>
    <x v="9"/>
    <s v="Oil &amp; Gas Production"/>
    <s v="$441.26M"/>
    <n v="441260000"/>
    <n v="953.79"/>
    <n v="-7"/>
    <n v="82271495"/>
    <d v="2021-01-29T00:00:00"/>
    <s v="Complete"/>
    <m/>
  </r>
  <r>
    <s v="cmckirton1v"/>
    <s v="utexas.edu"/>
    <s v="Cris"/>
    <s v="McKirton"/>
    <s v="Male"/>
    <s v="Male"/>
    <s v="33.241.203.151"/>
    <s v="113.153.102.57"/>
    <n v="68"/>
    <n v="68"/>
    <x v="1"/>
    <s v="BDX"/>
    <x v="19"/>
    <x v="0"/>
    <s v="Medical/Dental Instruments"/>
    <s v="$43.49B"/>
    <n v="43490000000"/>
    <n v="75.34"/>
    <n v="18.89"/>
    <n v="157125033"/>
    <d v="2022-11-14T00:00:00"/>
    <s v="Complete"/>
    <m/>
  </r>
  <r>
    <s v="fogeaney1w"/>
    <s v="tripod.com"/>
    <s v="Farlee"/>
    <s v="O'Geaney"/>
    <s v="Male"/>
    <s v="Male"/>
    <s v="198.154.45.203"/>
    <s v="123.123.51.131"/>
    <n v="69"/>
    <n v="69"/>
    <x v="1"/>
    <s v="FHN^A"/>
    <x v="66"/>
    <x v="2"/>
    <s v="N/A"/>
    <s v="N/A"/>
    <n v="0"/>
    <n v="1389.33"/>
    <n v="17.86"/>
    <n v="187657309"/>
    <d v="2021-01-07T00:00:00"/>
    <s v="Missing"/>
    <m/>
  </r>
  <r>
    <s v="hsomerscales1x"/>
    <s v="google.ca"/>
    <s v="Harvey"/>
    <s v="Somerscales"/>
    <s v="Male"/>
    <s v="Male"/>
    <s v="31.52.167.175"/>
    <s v="183.221.9.43"/>
    <n v="70"/>
    <n v="70"/>
    <x v="0"/>
    <s v="NBN"/>
    <x v="67"/>
    <x v="3"/>
    <s v="Major Banks"/>
    <s v="$180.4M"/>
    <n v="180400000"/>
    <n v="957.53"/>
    <n v="-14.32"/>
    <n v="45479048"/>
    <d v="2026-08-01T00:00:00"/>
    <s v="Complete"/>
    <m/>
  </r>
  <r>
    <s v="nvedenisov1y"/>
    <s v="ocn.ne.jp"/>
    <s v="Natale"/>
    <s v="Vedenisov"/>
    <s v="Male"/>
    <s v="Male"/>
    <s v="139.255.207.48"/>
    <s v="201.110.130.172"/>
    <n v="71"/>
    <n v="71"/>
    <x v="0"/>
    <s v="LVHD"/>
    <x v="68"/>
    <x v="2"/>
    <s v="N/A"/>
    <s v="N/A"/>
    <n v="0"/>
    <n v="1463.97"/>
    <n v="6.08"/>
    <n v="171622545"/>
    <d v="2026-09-10T00:00:00"/>
    <s v="Missing"/>
    <m/>
  </r>
  <r>
    <s v="ckinnon1z"/>
    <s v="blinklist.com"/>
    <s v="Chev"/>
    <s v="Kinnon"/>
    <s v="Male"/>
    <s v="Male"/>
    <s v="9.235.50.248"/>
    <s v="206.2.116.18"/>
    <n v="72"/>
    <n v="72"/>
    <x v="1"/>
    <s v="LGI"/>
    <x v="69"/>
    <x v="2"/>
    <s v="N/A"/>
    <s v="$156.37M"/>
    <n v="156370000"/>
    <n v="1301.98"/>
    <n v="5.13"/>
    <n v="99605384"/>
    <d v="2023-04-29T00:00:00"/>
    <s v="Missing"/>
    <m/>
  </r>
  <r>
    <s v="mgeater20"/>
    <s v="sitemeter.com"/>
    <s v="Maurita"/>
    <s v="Geater"/>
    <s v="Female"/>
    <s v="Female"/>
    <s v="253.107.167.137"/>
    <s v="17.147.233.147"/>
    <n v="73"/>
    <n v="73"/>
    <x v="1"/>
    <s v="HT^C"/>
    <x v="70"/>
    <x v="2"/>
    <s v="N/A"/>
    <s v="N/A"/>
    <n v="0"/>
    <n v="1975.3"/>
    <n v="-6.07"/>
    <n v="108921333"/>
    <d v="2024-03-23T00:00:00"/>
    <s v="Missing"/>
    <m/>
  </r>
  <r>
    <s v="kswarbrick21"/>
    <s v="prnewswire.com"/>
    <s v="Kirsten"/>
    <s v="Swarbrick"/>
    <s v="Female"/>
    <s v="Female"/>
    <s v="62.114.139.114"/>
    <s v="218.206.61.2"/>
    <n v="74"/>
    <n v="74"/>
    <x v="0"/>
    <s v="BSTC"/>
    <x v="71"/>
    <x v="0"/>
    <s v="Major Pharmaceuticals"/>
    <s v="$345.31M"/>
    <n v="345310000"/>
    <n v="563.24"/>
    <n v="-0.5"/>
    <n v="122889349"/>
    <d v="2022-03-04T00:00:00"/>
    <s v="Complete"/>
    <m/>
  </r>
  <r>
    <s v="acolombier22"/>
    <s v="berkeley.edu"/>
    <s v="Antonia"/>
    <s v="Colombier"/>
    <s v="Female"/>
    <s v="Female"/>
    <s v="196.132.8.219"/>
    <s v="102.68.77.251"/>
    <n v="75"/>
    <n v="75"/>
    <x v="0"/>
    <s v="RNST"/>
    <x v="72"/>
    <x v="3"/>
    <s v="Major Banks"/>
    <s v="$1.94B"/>
    <n v="1940000000"/>
    <n v="1136.01"/>
    <n v="-1.36"/>
    <n v="126397315"/>
    <d v="2022-12-29T00:00:00"/>
    <s v="Complete"/>
    <m/>
  </r>
  <r>
    <s v="chenrie23"/>
    <s v="seattletimes.com"/>
    <s v="Cort"/>
    <s v="Henrie"/>
    <s v="Male"/>
    <s v="Male"/>
    <s v="100.180.232.9"/>
    <s v="63.115.70.85"/>
    <n v="76"/>
    <n v="76"/>
    <x v="1"/>
    <s v="BORN"/>
    <x v="73"/>
    <x v="5"/>
    <s v="Beverages (Production/Distribution)"/>
    <s v="$34.21M"/>
    <n v="34210000"/>
    <n v="1916.04"/>
    <n v="9.65"/>
    <n v="62335111"/>
    <d v="2020-04-30T00:00:00"/>
    <s v="Complete"/>
    <m/>
  </r>
  <r>
    <s v="mwarsop24"/>
    <s v="salon.com"/>
    <s v="Miquela"/>
    <s v="Warsop"/>
    <s v="Female"/>
    <s v="Female"/>
    <s v="52.104.221.123"/>
    <s v="180.220.177.32"/>
    <n v="77"/>
    <n v="77"/>
    <x v="1"/>
    <s v="PRE^G"/>
    <x v="74"/>
    <x v="2"/>
    <s v="N/A"/>
    <s v="N/A"/>
    <n v="0"/>
    <n v="1968.73"/>
    <n v="19.059999999999999"/>
    <n v="194101242"/>
    <d v="2021-09-22T00:00:00"/>
    <s v="Missing"/>
    <m/>
  </r>
  <r>
    <s v="lmoraleda25"/>
    <s v="uol.com.br"/>
    <s v="Lyon"/>
    <s v="Moraleda"/>
    <s v="Male"/>
    <s v="Male"/>
    <s v="172.210.186.208"/>
    <s v="153.65.84.159"/>
    <n v="78"/>
    <n v="78"/>
    <x v="1"/>
    <s v="PEB^D"/>
    <x v="75"/>
    <x v="2"/>
    <s v="N/A"/>
    <s v="N/A"/>
    <n v="0"/>
    <n v="1430.46"/>
    <n v="-6.23"/>
    <n v="16264152"/>
    <d v="2025-04-14T00:00:00"/>
    <s v="Missing"/>
    <m/>
  </r>
  <r>
    <s v="anickoll26"/>
    <s v="sciencedaily.com"/>
    <s v="Abner"/>
    <s v="Nickoll"/>
    <s v="Male"/>
    <s v="Male"/>
    <s v="230.120.181.252"/>
    <s v="157.176.173.141"/>
    <n v="79"/>
    <n v="79"/>
    <x v="1"/>
    <s v="BML^G"/>
    <x v="45"/>
    <x v="2"/>
    <s v="N/A"/>
    <s v="N/A"/>
    <n v="0"/>
    <n v="1250.4000000000001"/>
    <n v="16.73"/>
    <n v="35591014"/>
    <d v="2026-11-07T00:00:00"/>
    <s v="Missing"/>
    <m/>
  </r>
  <r>
    <s v="mphizacklea27"/>
    <s v="gizmodo.com"/>
    <s v="Mikkel"/>
    <s v="Phizacklea"/>
    <s v="Male"/>
    <s v="Male"/>
    <s v="222.86.98.194"/>
    <s v="195.42.75.196"/>
    <n v="80"/>
    <n v="80"/>
    <x v="1"/>
    <s v="AHL^C"/>
    <x v="76"/>
    <x v="2"/>
    <s v="N/A"/>
    <s v="N/A"/>
    <n v="0"/>
    <n v="1370.69"/>
    <n v="-0.99"/>
    <n v="94442945"/>
    <d v="2025-02-15T00:00:00"/>
    <s v="Missing"/>
    <m/>
  </r>
  <r>
    <s v="hkliemke28"/>
    <s v="unicef.org"/>
    <s v="Had"/>
    <s v="Kliemke"/>
    <s v="Male"/>
    <s v="Male"/>
    <s v="229.115.45.54"/>
    <s v="156.156.135.36"/>
    <n v="81"/>
    <n v="81"/>
    <x v="1"/>
    <s v="WNS"/>
    <x v="77"/>
    <x v="7"/>
    <s v="Business Services"/>
    <s v="$1.63B"/>
    <n v="1630000000"/>
    <n v="1241.76"/>
    <n v="-0.04"/>
    <n v="62090166"/>
    <d v="2022-09-28T00:00:00"/>
    <s v="Complete"/>
    <m/>
  </r>
  <r>
    <s v="byoungman29"/>
    <s v="utexas.edu"/>
    <s v="Brianne"/>
    <s v="Youngman"/>
    <s v="Genderqueer"/>
    <s v="Other"/>
    <s v="147.161.161.161"/>
    <s v="1.12.47.68"/>
    <n v="82"/>
    <n v="82"/>
    <x v="1"/>
    <s v="NVTA"/>
    <x v="78"/>
    <x v="0"/>
    <s v="Medical Specialities"/>
    <s v="$395.64M"/>
    <n v="395640000"/>
    <n v="1778.93"/>
    <n v="-5.26"/>
    <n v="85225275"/>
    <d v="2024-10-08T00:00:00"/>
    <s v="Complete"/>
    <m/>
  </r>
  <r>
    <s v="lkellert2a"/>
    <s v="1688.com"/>
    <s v="Lorant"/>
    <s v="Kellert"/>
    <s v="Male"/>
    <s v="Male"/>
    <s v="201.124.67.19"/>
    <s v="101.134.73.159"/>
    <n v="83"/>
    <n v="83"/>
    <x v="1"/>
    <s v="UZA"/>
    <x v="15"/>
    <x v="8"/>
    <s v="Telecommunications Equipment"/>
    <s v="N/A"/>
    <n v="0"/>
    <n v="1455.13"/>
    <n v="8.1300000000000008"/>
    <n v="198030859"/>
    <d v="2026-12-18T00:00:00"/>
    <s v="Missing"/>
    <m/>
  </r>
  <r>
    <s v="rvalentelli2b"/>
    <s v="arizona.edu"/>
    <s v="Roman"/>
    <s v="Valentelli"/>
    <s v="Male"/>
    <s v="Male"/>
    <s v="57.77.54.55"/>
    <s v="232.181.48.245"/>
    <n v="84"/>
    <n v="84"/>
    <x v="1"/>
    <s v="CR"/>
    <x v="79"/>
    <x v="1"/>
    <s v="Metal Fabrications"/>
    <s v="$4.72B"/>
    <n v="4720000000"/>
    <n v="1536.17"/>
    <n v="7.55"/>
    <n v="21651288"/>
    <d v="2021-04-27T00:00:00"/>
    <s v="Complete"/>
    <m/>
  </r>
  <r>
    <s v="bsunderland2c"/>
    <s v="joomla.org"/>
    <s v="Bayard"/>
    <s v="Sunderland"/>
    <s v="Male"/>
    <s v="Male"/>
    <s v="66.162.98.5"/>
    <s v="189.12.79.23"/>
    <n v="85"/>
    <n v="85"/>
    <x v="0"/>
    <s v="SCACU"/>
    <x v="80"/>
    <x v="2"/>
    <s v="N/A"/>
    <s v="N/A"/>
    <n v="0"/>
    <n v="1128.0899999999999"/>
    <n v="-7.76"/>
    <n v="74481238"/>
    <d v="2022-01-07T00:00:00"/>
    <s v="Missing"/>
    <m/>
  </r>
  <r>
    <s v="crossey2d"/>
    <s v="youtu.be"/>
    <s v="Corbett"/>
    <s v="Rossey"/>
    <s v="Male"/>
    <s v="Male"/>
    <s v="142.249.64.59"/>
    <s v="95.56.30.75"/>
    <n v="86"/>
    <n v="86"/>
    <x v="1"/>
    <s v="QEP"/>
    <x v="81"/>
    <x v="9"/>
    <s v="Oil &amp; Gas Production"/>
    <s v="$2.18B"/>
    <n v="2180000000"/>
    <n v="188.68"/>
    <n v="9.1300000000000008"/>
    <n v="32426784"/>
    <d v="2024-05-24T00:00:00"/>
    <s v="Complete"/>
    <m/>
  </r>
  <r>
    <s v="ytrubshaw2e"/>
    <s v="imageshack.us"/>
    <s v="Yurik"/>
    <s v="Trubshaw"/>
    <s v="Male"/>
    <s v="Male"/>
    <s v="185.122.150.142"/>
    <s v="209.38.140.114"/>
    <n v="87"/>
    <n v="87"/>
    <x v="1"/>
    <s v="FT"/>
    <x v="82"/>
    <x v="2"/>
    <s v="N/A"/>
    <s v="$184.47M"/>
    <n v="184470000"/>
    <n v="540.97"/>
    <n v="-15.14"/>
    <n v="78581562"/>
    <d v="2024-07-15T00:00:00"/>
    <s v="Missing"/>
    <m/>
  </r>
  <r>
    <s v="swright2f"/>
    <s v="nytimes.com"/>
    <s v="Susanetta"/>
    <s v="Wright"/>
    <s v="Female"/>
    <s v="Female"/>
    <s v="36.152.77.240"/>
    <s v="64.209.218.227"/>
    <n v="88"/>
    <n v="88"/>
    <x v="0"/>
    <s v="NVIV"/>
    <x v="83"/>
    <x v="0"/>
    <s v="Medical/Dental Instruments"/>
    <s v="$69.13M"/>
    <n v="69130000"/>
    <n v="1289.3399999999999"/>
    <n v="11.87"/>
    <n v="62169079"/>
    <d v="2022-03-28T00:00:00"/>
    <s v="Complete"/>
    <m/>
  </r>
  <r>
    <s v="rgallyhaock2g"/>
    <s v="tinyurl.com"/>
    <s v="Risa"/>
    <s v="Gallyhaock"/>
    <s v="Female"/>
    <s v="Female"/>
    <s v="240.152.53.255"/>
    <s v="176.129.201.251"/>
    <n v="89"/>
    <n v="89"/>
    <x v="0"/>
    <s v="EKSO"/>
    <x v="84"/>
    <x v="1"/>
    <s v="Industrial Machinery/Components"/>
    <s v="$49.22M"/>
    <n v="49220000"/>
    <n v="1033.4000000000001"/>
    <n v="16.79"/>
    <n v="38465455"/>
    <d v="2023-10-28T00:00:00"/>
    <s v="Complete"/>
    <m/>
  </r>
  <r>
    <s v="kheard2h"/>
    <s v="infoseek.co.jp"/>
    <s v="Katerina"/>
    <s v="Heard"/>
    <s v="Female"/>
    <s v="Female"/>
    <s v="58.121.240.101"/>
    <s v="217.223.139.198"/>
    <n v="90"/>
    <n v="90"/>
    <x v="0"/>
    <s v="ITI"/>
    <x v="85"/>
    <x v="11"/>
    <s v="Telecommunications Equipment"/>
    <s v="$182.94M"/>
    <n v="182940000"/>
    <n v="872.08"/>
    <n v="9.77"/>
    <n v="31234104"/>
    <d v="2023-09-10T00:00:00"/>
    <s v="Complete"/>
    <m/>
  </r>
  <r>
    <s v="jbarnbrook2i"/>
    <s v="businessweek.com"/>
    <s v="Jeanette"/>
    <s v="Barnbrook"/>
    <s v="Female"/>
    <s v="Female"/>
    <s v="73.130.227.135"/>
    <s v="184.184.167.106"/>
    <n v="91"/>
    <n v="91"/>
    <x v="1"/>
    <s v="COT"/>
    <x v="86"/>
    <x v="5"/>
    <s v="Beverages (Production/Distribution)"/>
    <s v="$1.97B"/>
    <n v="1970000000"/>
    <n v="497.37"/>
    <n v="-4.12"/>
    <n v="124374862"/>
    <d v="2023-01-16T00:00:00"/>
    <s v="Complete"/>
    <m/>
  </r>
  <r>
    <s v="mlucey2j"/>
    <s v="cornell.edu"/>
    <s v="Mychal"/>
    <s v="Lucey"/>
    <s v="Male"/>
    <s v="Male"/>
    <s v="35.202.97.120"/>
    <s v="106.206.70.212"/>
    <n v="92"/>
    <n v="92"/>
    <x v="1"/>
    <s v="RLGY"/>
    <x v="87"/>
    <x v="3"/>
    <s v="Real Estate"/>
    <s v="$4.14B"/>
    <n v="4139999999.9999995"/>
    <n v="233.08"/>
    <n v="-11.03"/>
    <n v="4356642"/>
    <d v="2023-05-18T00:00:00"/>
    <s v="Complete"/>
    <m/>
  </r>
  <r>
    <s v="schatfield2k"/>
    <s v="sun.com"/>
    <s v="Shanda"/>
    <s v="Chatfield"/>
    <s v="Female"/>
    <s v="Female"/>
    <s v="156.81.55.249"/>
    <s v="83.237.195.156"/>
    <n v="93"/>
    <n v="93"/>
    <x v="0"/>
    <s v="MSBI"/>
    <x v="88"/>
    <x v="3"/>
    <s v="Major Banks"/>
    <s v="$655.78M"/>
    <n v="655780000"/>
    <n v="573.25"/>
    <n v="12.55"/>
    <n v="121898054"/>
    <d v="2026-01-29T00:00:00"/>
    <s v="Complete"/>
    <m/>
  </r>
  <r>
    <s v="econant2l"/>
    <s v="gov.uk"/>
    <s v="El"/>
    <s v="Conant"/>
    <s v="Male"/>
    <s v="Male"/>
    <s v="6.153.176.217"/>
    <s v="88.19.34.178"/>
    <n v="94"/>
    <n v="94"/>
    <x v="1"/>
    <s v="REVG"/>
    <x v="89"/>
    <x v="1"/>
    <s v="Auto Manufacturing"/>
    <s v="$1.92B"/>
    <n v="1920000000"/>
    <n v="1020.42"/>
    <n v="7.22"/>
    <n v="25429401"/>
    <d v="2025-09-25T00:00:00"/>
    <s v="Complete"/>
    <m/>
  </r>
  <r>
    <s v="spenrose2m"/>
    <s v="tmall.com"/>
    <s v="Shanan"/>
    <s v="Penrose"/>
    <s v="Male"/>
    <s v="Male"/>
    <s v="159.59.99.174"/>
    <s v="167.16.215.229"/>
    <n v="95"/>
    <n v="95"/>
    <x v="0"/>
    <s v="LMOS"/>
    <x v="90"/>
    <x v="8"/>
    <s v="Telecommunications Equipment"/>
    <s v="$427.4M"/>
    <n v="427400000"/>
    <n v="32.270000000000003"/>
    <n v="13.11"/>
    <n v="26218439"/>
    <d v="2021-04-15T00:00:00"/>
    <s v="Complete"/>
    <m/>
  </r>
  <r>
    <s v="mashe2n"/>
    <s v="angelfire.com"/>
    <s v="Monroe"/>
    <s v="Ashe"/>
    <s v="Male"/>
    <s v="Male"/>
    <s v="56.58.85.93"/>
    <s v="175.218.180.36"/>
    <n v="96"/>
    <n v="96"/>
    <x v="1"/>
    <s v="TSLF"/>
    <x v="91"/>
    <x v="2"/>
    <s v="N/A"/>
    <s v="$133.17M"/>
    <n v="133169999.99999999"/>
    <n v="447.9"/>
    <n v="-8.0299999999999994"/>
    <n v="136116150"/>
    <d v="2020-07-22T00:00:00"/>
    <s v="Missing"/>
    <m/>
  </r>
  <r>
    <s v="lmccolm2o"/>
    <s v="last.fm"/>
    <s v="Libbey"/>
    <s v="McColm"/>
    <s v="Female"/>
    <s v="Female"/>
    <s v="198.160.30.62"/>
    <s v="218.225.76.141"/>
    <n v="97"/>
    <n v="97"/>
    <x v="0"/>
    <s v="CHDN"/>
    <x v="92"/>
    <x v="6"/>
    <s v="Services-Misc. Amusement &amp; Recreation"/>
    <s v="$2.83B"/>
    <n v="2830000000"/>
    <n v="599.4"/>
    <n v="16.170000000000002"/>
    <n v="28100951"/>
    <d v="2022-02-15T00:00:00"/>
    <s v="Complete"/>
    <m/>
  </r>
  <r>
    <s v="lnolan2p"/>
    <s v="youtube.com"/>
    <s v="Lanette"/>
    <s v="Nolan"/>
    <s v="Female"/>
    <s v="Female"/>
    <s v="212.51.251.28"/>
    <s v="46.78.254.184"/>
    <n v="98"/>
    <n v="98"/>
    <x v="1"/>
    <s v="LII"/>
    <x v="93"/>
    <x v="1"/>
    <s v="Industrial Machinery/Components"/>
    <s v="$8.05B"/>
    <n v="8050000000.000001"/>
    <n v="794.34"/>
    <n v="16.86"/>
    <n v="149411695"/>
    <d v="2022-02-04T00:00:00"/>
    <s v="Complete"/>
    <m/>
  </r>
  <r>
    <s v="adyshart2q"/>
    <s v="stumbleupon.com"/>
    <s v="Aldrich"/>
    <s v="Dyshart"/>
    <s v="Bigender"/>
    <s v="Other"/>
    <s v="112.183.116.115"/>
    <s v="254.202.111.65"/>
    <n v="99"/>
    <n v="99"/>
    <x v="0"/>
    <s v="CDW"/>
    <x v="94"/>
    <x v="6"/>
    <s v="Catalog/Specialty Distribution"/>
    <s v="$9.73B"/>
    <n v="9730000000"/>
    <n v="1988.92"/>
    <n v="19.670000000000002"/>
    <n v="168609941"/>
    <d v="2021-05-23T00:00:00"/>
    <s v="Complete"/>
    <m/>
  </r>
  <r>
    <s v="afilochov2r"/>
    <s v="cornell.edu"/>
    <s v="Ashien"/>
    <s v="Filochov"/>
    <s v="Female"/>
    <s v="Female"/>
    <s v="7.78.72.171"/>
    <s v="134.33.247.187"/>
    <n v="100"/>
    <n v="100"/>
    <x v="0"/>
    <s v="PCYO"/>
    <x v="95"/>
    <x v="8"/>
    <s v="Water Supply"/>
    <s v="$188.85M"/>
    <n v="188850000"/>
    <n v="157.22"/>
    <n v="-7.62"/>
    <n v="129723433"/>
    <d v="2023-09-27T00:00:00"/>
    <s v="Complete"/>
    <m/>
  </r>
  <r>
    <s v="wfishly2s"/>
    <s v="uiuc.edu"/>
    <s v="Westbrooke"/>
    <s v="Fishly"/>
    <s v="Male"/>
    <s v="Male"/>
    <s v="156.243.177.219"/>
    <s v="208.241.111.222"/>
    <n v="101"/>
    <n v="101"/>
    <x v="0"/>
    <s v="SRUNU"/>
    <x v="96"/>
    <x v="3"/>
    <s v="Business Services"/>
    <s v="N/A"/>
    <n v="0"/>
    <n v="1219.6500000000001"/>
    <n v="9.35"/>
    <n v="109620162"/>
    <d v="2023-11-17T00:00:00"/>
    <s v="Missing"/>
    <m/>
  </r>
  <r>
    <s v="lfain2t"/>
    <s v="cafepress.com"/>
    <s v="Lonna"/>
    <s v="Fain"/>
    <s v="Female"/>
    <s v="Female"/>
    <s v="93.97.121.185"/>
    <s v="185.151.233.216"/>
    <n v="102"/>
    <n v="102"/>
    <x v="1"/>
    <s v="TCF.WS"/>
    <x v="97"/>
    <x v="2"/>
    <s v="N/A"/>
    <s v="N/A"/>
    <n v="0"/>
    <n v="127.01"/>
    <n v="-2.17"/>
    <n v="188106513"/>
    <d v="2022-10-16T00:00:00"/>
    <s v="Missing"/>
    <m/>
  </r>
  <r>
    <s v="ryelyashev2u"/>
    <s v="hc360.com"/>
    <s v="Rosa"/>
    <s v="Yelyashev"/>
    <s v="Genderqueer"/>
    <s v="Other"/>
    <s v="240.106.131.145"/>
    <s v="218.9.224.20"/>
    <n v="103"/>
    <n v="103"/>
    <x v="0"/>
    <s v="AMOV"/>
    <x v="98"/>
    <x v="8"/>
    <s v="Telecommunications Equipment"/>
    <s v="$51.95B"/>
    <n v="51950000000"/>
    <n v="1300.58"/>
    <n v="-12.57"/>
    <n v="1096096"/>
    <d v="2021-04-21T00:00:00"/>
    <s v="Complete"/>
    <m/>
  </r>
  <r>
    <s v="sarnaudon2v"/>
    <s v="wiley.com"/>
    <s v="Sutherlan"/>
    <s v="Arnaudon"/>
    <s v="Male"/>
    <s v="Male"/>
    <s v="0.29.179.173"/>
    <s v="239.245.152.212"/>
    <n v="104"/>
    <n v="104"/>
    <x v="0"/>
    <s v="NTRS"/>
    <x v="99"/>
    <x v="3"/>
    <s v="Major Banks"/>
    <s v="$21.71B"/>
    <n v="21710000000"/>
    <n v="1363.41"/>
    <n v="-1.84"/>
    <n v="155653743"/>
    <d v="2023-11-28T00:00:00"/>
    <s v="Complete"/>
    <m/>
  </r>
  <r>
    <s v="gfarey2w"/>
    <s v="cbc.ca"/>
    <s v="Garner"/>
    <s v="Farey"/>
    <s v="Male"/>
    <s v="Male"/>
    <s v="113.201.203.40"/>
    <s v="200.217.133.242"/>
    <n v="105"/>
    <n v="105"/>
    <x v="0"/>
    <s v="GFN"/>
    <x v="100"/>
    <x v="4"/>
    <s v="Diversified Commercial Services"/>
    <s v="$125.85M"/>
    <n v="125850000"/>
    <n v="1756.48"/>
    <n v="6.85"/>
    <n v="49961408"/>
    <d v="2020-04-21T00:00:00"/>
    <s v="Complete"/>
    <m/>
  </r>
  <r>
    <s v="lfilipiak2x"/>
    <s v="issuu.com"/>
    <s v="Lani"/>
    <s v="Filipiak"/>
    <s v="Female"/>
    <s v="Female"/>
    <s v="129.129.234.91"/>
    <s v="87.135.122.129"/>
    <n v="106"/>
    <n v="106"/>
    <x v="1"/>
    <s v="WFC^Q"/>
    <x v="101"/>
    <x v="2"/>
    <s v="N/A"/>
    <s v="N/A"/>
    <n v="0"/>
    <n v="828.02"/>
    <n v="-5.55"/>
    <n v="34730067"/>
    <d v="2026-02-07T00:00:00"/>
    <s v="Missing"/>
    <m/>
  </r>
  <r>
    <s v="htrett2y"/>
    <s v="gmpg.org"/>
    <s v="Hube"/>
    <s v="Trett"/>
    <s v="Genderfluid"/>
    <s v="Other"/>
    <s v="47.210.235.155"/>
    <s v="160.35.213.107"/>
    <n v="107"/>
    <n v="107"/>
    <x v="1"/>
    <s v="AGU"/>
    <x v="102"/>
    <x v="10"/>
    <s v="Agricultural Chemicals"/>
    <s v="$12.97B"/>
    <n v="12970000000"/>
    <n v="1496.85"/>
    <n v="-14.41"/>
    <n v="15627245"/>
    <d v="2021-03-20T00:00:00"/>
    <s v="Complete"/>
    <m/>
  </r>
  <r>
    <s v="sgyngyll2z"/>
    <s v="google.it"/>
    <s v="Sisely"/>
    <s v="Gyngyll"/>
    <s v="Female"/>
    <s v="Female"/>
    <s v="92.0.97.207"/>
    <s v="120.206.47.203"/>
    <n v="108"/>
    <n v="108"/>
    <x v="0"/>
    <s v="CHEKW"/>
    <x v="103"/>
    <x v="0"/>
    <s v="Medical Electronics"/>
    <s v="N/A"/>
    <n v="0"/>
    <n v="236.92"/>
    <n v="12.69"/>
    <n v="89130586"/>
    <d v="2026-04-06T00:00:00"/>
    <s v="Missing"/>
    <m/>
  </r>
  <r>
    <s v="dantoniades30"/>
    <s v="dagondesign.com"/>
    <s v="Darby"/>
    <s v="Antoniades"/>
    <s v="Male"/>
    <s v="Male"/>
    <s v="53.41.86.111"/>
    <s v="196.183.94.65"/>
    <n v="109"/>
    <n v="109"/>
    <x v="1"/>
    <s v="EMF"/>
    <x v="104"/>
    <x v="2"/>
    <s v="N/A"/>
    <s v="$266.9M"/>
    <n v="266899999.99999997"/>
    <n v="698.93"/>
    <n v="-0.68"/>
    <n v="126127031"/>
    <d v="2023-09-09T00:00:00"/>
    <s v="Missing"/>
    <m/>
  </r>
  <r>
    <s v="akuhnel31"/>
    <s v="surveymonkey.com"/>
    <s v="Avictor"/>
    <s v="Kuhnel"/>
    <s v="Male"/>
    <s v="Male"/>
    <s v="173.203.199.57"/>
    <s v="78.187.82.11"/>
    <n v="110"/>
    <n v="110"/>
    <x v="1"/>
    <s v="BTE"/>
    <x v="105"/>
    <x v="9"/>
    <s v="Oil &amp; Gas Production"/>
    <s v="$592.54M"/>
    <n v="592540000"/>
    <n v="589.23"/>
    <n v="-0.2"/>
    <n v="149528143"/>
    <d v="2022-04-06T00:00:00"/>
    <s v="Complete"/>
    <m/>
  </r>
  <r>
    <s v="ldivall32"/>
    <s v="loc.gov"/>
    <s v="Lorry"/>
    <s v="Divall"/>
    <s v="Male"/>
    <s v="Male"/>
    <s v="67.177.72.88"/>
    <s v="232.163.210.77"/>
    <n v="111"/>
    <n v="111"/>
    <x v="0"/>
    <s v="NXEOW"/>
    <x v="106"/>
    <x v="11"/>
    <s v="Specialty Chemicals"/>
    <s v="N/A"/>
    <n v="0"/>
    <n v="1416.79"/>
    <n v="-17"/>
    <n v="183913102"/>
    <d v="2022-11-07T00:00:00"/>
    <s v="Missing"/>
    <m/>
  </r>
  <r>
    <s v="ifronzek33"/>
    <s v="pcworld.com"/>
    <s v="Ignazio"/>
    <s v="Fronzek"/>
    <s v="Male"/>
    <s v="Male"/>
    <s v="73.240.218.80"/>
    <s v="95.56.93.226"/>
    <n v="112"/>
    <n v="112"/>
    <x v="1"/>
    <s v="EGF"/>
    <x v="107"/>
    <x v="2"/>
    <s v="N/A"/>
    <s v="$86.58M"/>
    <n v="86580000"/>
    <n v="1727.54"/>
    <n v="-12.45"/>
    <n v="149095583"/>
    <d v="2026-02-23T00:00:00"/>
    <s v="Missing"/>
    <m/>
  </r>
  <r>
    <s v="ieskrick34"/>
    <s v="booking.com"/>
    <s v="Inness"/>
    <s v="Eskrick"/>
    <s v="Male"/>
    <s v="Male"/>
    <s v="106.100.66.182"/>
    <s v="234.168.81.172"/>
    <n v="113"/>
    <n v="113"/>
    <x v="1"/>
    <s v="ARNC"/>
    <x v="108"/>
    <x v="1"/>
    <s v="Metal Fabrications"/>
    <s v="$11.65B"/>
    <n v="11650000000"/>
    <n v="1034.51"/>
    <n v="-4.7"/>
    <n v="143392427"/>
    <d v="2020-07-28T00:00:00"/>
    <s v="Complete"/>
    <m/>
  </r>
  <r>
    <s v="dtroop35"/>
    <s v="buzzfeed.com"/>
    <s v="Danie"/>
    <s v="Troop"/>
    <s v="Male"/>
    <s v="Male"/>
    <s v="234.173.41.0"/>
    <s v="161.5.145.139"/>
    <n v="114"/>
    <n v="114"/>
    <x v="1"/>
    <s v="CNK"/>
    <x v="109"/>
    <x v="6"/>
    <s v="Movies/Entertainment"/>
    <s v="$4.82B"/>
    <n v="4820000000"/>
    <n v="102.89"/>
    <n v="-9.7100000000000009"/>
    <n v="48554099"/>
    <d v="2023-11-01T00:00:00"/>
    <s v="Complete"/>
    <m/>
  </r>
  <r>
    <s v="rgenicke36"/>
    <s v="harvard.edu"/>
    <s v="Rosalind"/>
    <s v="Genicke"/>
    <s v="Female"/>
    <s v="Female"/>
    <s v="53.152.51.39"/>
    <s v="185.147.140.139"/>
    <n v="115"/>
    <n v="115"/>
    <x v="1"/>
    <s v="VTA"/>
    <x v="110"/>
    <x v="2"/>
    <s v="N/A"/>
    <s v="$888.39M"/>
    <n v="888390000"/>
    <n v="746.37"/>
    <n v="-11.33"/>
    <n v="2828427"/>
    <d v="2020-10-14T00:00:00"/>
    <s v="Missing"/>
    <m/>
  </r>
  <r>
    <s v="glozano37"/>
    <s v="yale.edu"/>
    <s v="Gaby"/>
    <s v="Lozano"/>
    <s v="Male"/>
    <s v="Male"/>
    <s v="232.203.22.125"/>
    <s v="74.23.142.37"/>
    <n v="116"/>
    <n v="116"/>
    <x v="0"/>
    <s v="CASI"/>
    <x v="111"/>
    <x v="0"/>
    <s v="Biotechnology: Biological Products (No Diagnostic Substances)"/>
    <s v="$55.38M"/>
    <n v="55380000"/>
    <n v="557.53"/>
    <n v="19.899999999999999"/>
    <n v="37183396"/>
    <d v="2024-08-11T00:00:00"/>
    <s v="Complete"/>
    <m/>
  </r>
  <r>
    <s v="jclaxson38"/>
    <s v="ted.com"/>
    <s v="Jaime"/>
    <s v="Claxson"/>
    <s v="Male"/>
    <s v="Male"/>
    <s v="212.69.63.227"/>
    <s v="230.207.100.49"/>
    <n v="117"/>
    <n v="117"/>
    <x v="0"/>
    <s v="QPAC"/>
    <x v="112"/>
    <x v="7"/>
    <s v="Business Services"/>
    <s v="$288.2M"/>
    <n v="288200000"/>
    <n v="47.28"/>
    <n v="18.649999999999999"/>
    <n v="80058295"/>
    <d v="2021-10-24T00:00:00"/>
    <s v="Complete"/>
    <m/>
  </r>
  <r>
    <s v="fguyonneau39"/>
    <s v="imgur.com"/>
    <s v="Florian"/>
    <s v="Guyonneau"/>
    <s v="Male"/>
    <s v="Male"/>
    <s v="187.71.133.169"/>
    <s v="247.171.168.150"/>
    <n v="118"/>
    <n v="118"/>
    <x v="0"/>
    <s v="HQY"/>
    <x v="113"/>
    <x v="7"/>
    <s v="Business Services"/>
    <s v="$3.07B"/>
    <n v="3070000000"/>
    <n v="850.36"/>
    <n v="-3.83"/>
    <n v="48593368"/>
    <d v="2025-05-01T00:00:00"/>
    <s v="Complete"/>
    <m/>
  </r>
  <r>
    <s v="naharoni3a"/>
    <s v="last.fm"/>
    <s v="Noland"/>
    <s v="Aharoni"/>
    <s v="Male"/>
    <s v="Male"/>
    <s v="102.104.87.227"/>
    <s v="58.243.237.162"/>
    <n v="119"/>
    <n v="119"/>
    <x v="0"/>
    <s v="AMAG"/>
    <x v="114"/>
    <x v="0"/>
    <s v="Major Pharmaceuticals"/>
    <s v="$574.74M"/>
    <n v="574740000"/>
    <n v="629.96"/>
    <n v="-2.3199999999999998"/>
    <n v="188531613"/>
    <d v="2023-02-08T00:00:00"/>
    <s v="Complete"/>
    <m/>
  </r>
  <r>
    <s v="sdinley3b"/>
    <s v="soup.io"/>
    <s v="Si"/>
    <s v="Dinley"/>
    <s v="Male"/>
    <s v="Male"/>
    <s v="158.182.16.69"/>
    <s v="13.105.94.232"/>
    <n v="120"/>
    <n v="120"/>
    <x v="0"/>
    <s v="FNBG"/>
    <x v="115"/>
    <x v="3"/>
    <s v="Major Banks"/>
    <s v="$200.83M"/>
    <n v="200830000"/>
    <n v="78.489999999999995"/>
    <n v="-18.829999999999998"/>
    <n v="170086056"/>
    <d v="2022-10-09T00:00:00"/>
    <s v="Complete"/>
    <m/>
  </r>
  <r>
    <s v="rleasor3c"/>
    <s v="admin.ch"/>
    <s v="Rebecka"/>
    <s v="Leasor"/>
    <s v="Female"/>
    <s v="Female"/>
    <s v="137.80.0.97"/>
    <s v="72.253.11.127"/>
    <n v="121"/>
    <n v="121"/>
    <x v="1"/>
    <s v="GJP"/>
    <x v="116"/>
    <x v="2"/>
    <s v="N/A"/>
    <s v="N/A"/>
    <n v="0"/>
    <n v="753.6"/>
    <n v="-2.2599999999999998"/>
    <n v="179370937"/>
    <d v="2024-05-04T00:00:00"/>
    <s v="Missing"/>
    <m/>
  </r>
  <r>
    <s v="apenrith3d"/>
    <s v="mac.com"/>
    <s v="Albina"/>
    <s v="Penrith"/>
    <s v="Female"/>
    <s v="Female"/>
    <s v="158.112.26.101"/>
    <s v="128.135.35.11"/>
    <n v="122"/>
    <n v="122"/>
    <x v="0"/>
    <s v="FIBK"/>
    <x v="117"/>
    <x v="3"/>
    <s v="Major Banks"/>
    <s v="$2.13B"/>
    <n v="2130000000"/>
    <n v="402.82"/>
    <n v="-10.74"/>
    <n v="188336918"/>
    <d v="2021-05-24T00:00:00"/>
    <s v="Complete"/>
    <m/>
  </r>
  <r>
    <s v="amilksop3e"/>
    <s v="reference.com"/>
    <s v="Ado"/>
    <s v="Milksop"/>
    <s v="Male"/>
    <s v="Male"/>
    <s v="231.189.126.1"/>
    <s v="102.213.17.69"/>
    <n v="123"/>
    <n v="123"/>
    <x v="1"/>
    <s v="AWR"/>
    <x v="118"/>
    <x v="8"/>
    <s v="Water Supply"/>
    <s v="$1.83B"/>
    <n v="1830000000"/>
    <n v="1989.1"/>
    <n v="-19.2"/>
    <n v="120909502"/>
    <d v="2022-08-14T00:00:00"/>
    <s v="Complete"/>
    <m/>
  </r>
  <r>
    <s v="sgreaser3f"/>
    <s v="cyberchimps.com"/>
    <s v="Saw"/>
    <s v="Greaser"/>
    <s v="Male"/>
    <s v="Male"/>
    <s v="247.116.173.112"/>
    <s v="164.159.126.162"/>
    <n v="124"/>
    <n v="124"/>
    <x v="1"/>
    <s v="HP"/>
    <x v="119"/>
    <x v="9"/>
    <s v="Oil &amp; Gas Production"/>
    <s v="$5.97B"/>
    <n v="5970000000"/>
    <n v="1816.25"/>
    <n v="-13.9"/>
    <n v="140544936"/>
    <d v="2025-10-03T00:00:00"/>
    <s v="Complete"/>
    <m/>
  </r>
  <r>
    <s v="eheddy3g"/>
    <s v="dagondesign.com"/>
    <s v="Ede"/>
    <s v="Heddy"/>
    <s v="Female"/>
    <s v="Female"/>
    <s v="95.14.98.7"/>
    <s v="180.226.216.216"/>
    <n v="125"/>
    <n v="125"/>
    <x v="1"/>
    <s v="WMK"/>
    <x v="120"/>
    <x v="6"/>
    <s v="Food Chains"/>
    <s v="$1.3B"/>
    <n v="1300000000"/>
    <n v="971.6"/>
    <n v="12.28"/>
    <n v="38486599"/>
    <d v="2026-11-28T00:00:00"/>
    <s v="Complete"/>
    <m/>
  </r>
  <r>
    <s v="blongland3h"/>
    <s v="imgur.com"/>
    <s v="Brandtr"/>
    <s v="Longland"/>
    <s v="Male"/>
    <s v="Male"/>
    <s v="131.166.119.117"/>
    <s v="100.30.52.63"/>
    <n v="126"/>
    <n v="126"/>
    <x v="0"/>
    <s v="LECO"/>
    <x v="121"/>
    <x v="4"/>
    <s v="Industrial Machinery/Components"/>
    <s v="$6.35B"/>
    <n v="6350000000"/>
    <n v="673.9"/>
    <n v="-2.31"/>
    <n v="123531873"/>
    <d v="2026-11-07T00:00:00"/>
    <s v="Complete"/>
    <m/>
  </r>
  <r>
    <s v="spylkynyton3i"/>
    <s v="wordpress.org"/>
    <s v="Silvana"/>
    <s v="Pylkynyton"/>
    <s v="Female"/>
    <s v="Female"/>
    <s v="88.60.63.137"/>
    <s v="168.72.164.52"/>
    <n v="127"/>
    <n v="127"/>
    <x v="0"/>
    <s v="VYMI"/>
    <x v="122"/>
    <x v="2"/>
    <s v="N/A"/>
    <s v="$371.88M"/>
    <n v="371880000"/>
    <n v="387.69"/>
    <n v="7.87"/>
    <n v="42785377"/>
    <d v="2021-07-08T00:00:00"/>
    <s v="Missing"/>
    <m/>
  </r>
  <r>
    <s v="kscroxton3j"/>
    <s v="wordpress.org"/>
    <s v="King"/>
    <s v="Scroxton"/>
    <s v="Male"/>
    <s v="Male"/>
    <s v="207.4.0.208"/>
    <s v="231.188.128.210"/>
    <n v="128"/>
    <n v="128"/>
    <x v="0"/>
    <s v="TICC"/>
    <x v="123"/>
    <x v="2"/>
    <s v="N/A"/>
    <s v="$361.9M"/>
    <n v="361900000"/>
    <n v="1817.74"/>
    <n v="-15.99"/>
    <n v="122360752"/>
    <d v="2026-06-29T00:00:00"/>
    <s v="Missing"/>
    <m/>
  </r>
  <r>
    <s v="kbanton3k"/>
    <s v="paginegialle.it"/>
    <s v="Kit"/>
    <s v="Banton"/>
    <s v="Female"/>
    <s v="Female"/>
    <s v="56.28.144.1"/>
    <s v="84.100.139.58"/>
    <n v="129"/>
    <n v="129"/>
    <x v="1"/>
    <s v="AVT"/>
    <x v="124"/>
    <x v="5"/>
    <s v="Electronic Components"/>
    <s v="$4.82B"/>
    <n v="4820000000"/>
    <n v="38.130000000000003"/>
    <n v="7.42"/>
    <n v="121985755"/>
    <d v="2021-04-25T00:00:00"/>
    <s v="Complete"/>
    <m/>
  </r>
  <r>
    <s v="fstruss3l"/>
    <s v="flickr.com"/>
    <s v="Flin"/>
    <s v="Struss"/>
    <s v="Male"/>
    <s v="Male"/>
    <s v="190.125.111.83"/>
    <s v="242.114.20.11"/>
    <n v="130"/>
    <n v="130"/>
    <x v="1"/>
    <s v="CFR^A"/>
    <x v="125"/>
    <x v="2"/>
    <s v="N/A"/>
    <s v="N/A"/>
    <n v="0"/>
    <n v="1803.55"/>
    <n v="-8.9700000000000006"/>
    <n v="196225609"/>
    <d v="2025-10-11T00:00:00"/>
    <s v="Missing"/>
    <m/>
  </r>
  <r>
    <s v="mspurgeon3m"/>
    <s v="tmall.com"/>
    <s v="Margalo"/>
    <s v="Spurgeon"/>
    <s v="Female"/>
    <s v="Female"/>
    <s v="240.15.196.87"/>
    <s v="226.27.104.39"/>
    <n v="131"/>
    <n v="131"/>
    <x v="0"/>
    <s v="DXYN"/>
    <x v="126"/>
    <x v="11"/>
    <s v="Home Furnishings"/>
    <s v="$71.76M"/>
    <n v="71760000"/>
    <n v="1061.3699999999999"/>
    <n v="-8.76"/>
    <n v="152594374"/>
    <d v="2026-10-30T00:00:00"/>
    <s v="Complete"/>
    <m/>
  </r>
  <r>
    <s v="llondors3n"/>
    <s v="g.co"/>
    <s v="Lindy"/>
    <s v="Londors"/>
    <s v="Female"/>
    <s v="Female"/>
    <s v="224.244.244.178"/>
    <s v="240.136.179.19"/>
    <n v="132"/>
    <n v="132"/>
    <x v="0"/>
    <s v="DWLD"/>
    <x v="127"/>
    <x v="2"/>
    <s v="N/A"/>
    <s v="N/A"/>
    <n v="0"/>
    <n v="1036.01"/>
    <n v="-11.41"/>
    <n v="3309772"/>
    <d v="2025-12-02T00:00:00"/>
    <s v="Missing"/>
    <m/>
  </r>
  <r>
    <s v="aedmonson3o"/>
    <s v="hc360.com"/>
    <s v="Abby"/>
    <s v="Edmonson"/>
    <s v="Female"/>
    <s v="Female"/>
    <s v="226.121.85.250"/>
    <s v="215.51.51.201"/>
    <n v="133"/>
    <n v="133"/>
    <x v="0"/>
    <s v="HCOM"/>
    <x v="128"/>
    <x v="6"/>
    <s v="Telecommunications Equipment"/>
    <s v="$301.17M"/>
    <n v="301170000"/>
    <n v="1856.42"/>
    <n v="0.18"/>
    <n v="163734551"/>
    <d v="2022-01-19T00:00:00"/>
    <s v="Complete"/>
    <m/>
  </r>
  <r>
    <s v="dgoodlad3p"/>
    <s v="cdbaby.com"/>
    <s v="Dionis"/>
    <s v="Goodlad"/>
    <s v="Female"/>
    <s v="Female"/>
    <s v="108.255.228.118"/>
    <s v="63.119.171.91"/>
    <n v="134"/>
    <n v="134"/>
    <x v="1"/>
    <s v="RRC"/>
    <x v="129"/>
    <x v="9"/>
    <s v="Oil &amp; Gas Production"/>
    <s v="$5.79B"/>
    <n v="5790000000"/>
    <n v="770.98"/>
    <n v="-4.1900000000000004"/>
    <n v="112856062"/>
    <d v="2022-08-11T00:00:00"/>
    <s v="Complete"/>
    <m/>
  </r>
  <r>
    <s v="chedon3q"/>
    <s v="admin.ch"/>
    <s v="Christina"/>
    <s v="Hedon"/>
    <s v="Female"/>
    <s v="Female"/>
    <s v="137.169.211.57"/>
    <s v="79.154.152.122"/>
    <n v="135"/>
    <n v="135"/>
    <x v="1"/>
    <s v="CBPX"/>
    <x v="130"/>
    <x v="1"/>
    <s v="Building Materials"/>
    <s v="$927.58M"/>
    <n v="927580000"/>
    <n v="321.08"/>
    <n v="-7.53"/>
    <n v="182058723"/>
    <d v="2023-10-12T00:00:00"/>
    <s v="Complete"/>
    <m/>
  </r>
  <r>
    <s v="dbroggini3r"/>
    <s v="google.pl"/>
    <s v="Denis"/>
    <s v="Broggini"/>
    <s v="Male"/>
    <s v="Male"/>
    <s v="148.53.52.226"/>
    <s v="17.154.254.149"/>
    <n v="136"/>
    <n v="136"/>
    <x v="0"/>
    <s v="CASS"/>
    <x v="131"/>
    <x v="7"/>
    <s v="Business Services"/>
    <s v="$738.7M"/>
    <n v="738700000"/>
    <n v="583.66999999999996"/>
    <n v="4.78"/>
    <n v="147098482"/>
    <d v="2023-01-16T00:00:00"/>
    <s v="Complete"/>
    <m/>
  </r>
  <r>
    <s v="velphey3s"/>
    <s v="facebook.com"/>
    <s v="Vivianne"/>
    <s v="Elphey"/>
    <s v="Female"/>
    <s v="Female"/>
    <s v="149.181.96.104"/>
    <s v="199.208.149.15"/>
    <n v="137"/>
    <n v="137"/>
    <x v="1"/>
    <s v="PSA^X"/>
    <x v="132"/>
    <x v="2"/>
    <s v="N/A"/>
    <s v="N/A"/>
    <n v="0"/>
    <n v="1833.1"/>
    <n v="1.77"/>
    <n v="126724626"/>
    <d v="2024-06-21T00:00:00"/>
    <s v="Missing"/>
    <m/>
  </r>
  <r>
    <s v="tcavil3t"/>
    <s v="microsoft.com"/>
    <s v="Timmy"/>
    <s v="Cavil"/>
    <s v="Female"/>
    <s v="Female"/>
    <s v="134.84.119.216"/>
    <s v="66.226.109.141"/>
    <n v="138"/>
    <n v="138"/>
    <x v="0"/>
    <s v="AGZD"/>
    <x v="133"/>
    <x v="2"/>
    <s v="N/A"/>
    <s v="$23.97M"/>
    <n v="23970000"/>
    <n v="818.89"/>
    <n v="8.07"/>
    <n v="84686987"/>
    <d v="2022-02-21T00:00:00"/>
    <s v="Missing"/>
    <m/>
  </r>
  <r>
    <s v="tkarlmann3u"/>
    <s v="pagesperso-orange.fr"/>
    <s v="Thorndike"/>
    <s v="Karlmann"/>
    <s v="Male"/>
    <s v="Male"/>
    <s v="58.154.176.189"/>
    <s v="178.87.213.234"/>
    <n v="139"/>
    <n v="139"/>
    <x v="1"/>
    <s v="PCF"/>
    <x v="134"/>
    <x v="2"/>
    <s v="N/A"/>
    <s v="$114.59M"/>
    <n v="114590000"/>
    <n v="1862.42"/>
    <n v="-10.35"/>
    <n v="32932841"/>
    <d v="2023-05-20T00:00:00"/>
    <s v="Missing"/>
    <m/>
  </r>
  <r>
    <s v="bdehooch3v"/>
    <s v="nsw.gov.au"/>
    <s v="Borden"/>
    <s v="De Hooch"/>
    <s v="Male"/>
    <s v="Male"/>
    <s v="253.59.251.208"/>
    <s v="162.238.248.39"/>
    <n v="140"/>
    <n v="140"/>
    <x v="0"/>
    <s v="GAINO"/>
    <x v="135"/>
    <x v="2"/>
    <s v="N/A"/>
    <s v="N/A"/>
    <n v="0"/>
    <n v="573.91"/>
    <n v="11.34"/>
    <n v="55744992"/>
    <d v="2022-03-08T00:00:00"/>
    <s v="Missing"/>
    <m/>
  </r>
  <r>
    <s v="fpennigar3w"/>
    <s v="pen.io"/>
    <s v="Florina"/>
    <s v="Pennigar"/>
    <s v="Female"/>
    <s v="Female"/>
    <s v="215.117.111.193"/>
    <s v="255.249.191.11"/>
    <n v="141"/>
    <n v="141"/>
    <x v="0"/>
    <s v="OTIV"/>
    <x v="136"/>
    <x v="4"/>
    <s v="Semiconductors"/>
    <s v="$51.37M"/>
    <n v="51370000"/>
    <n v="40.74"/>
    <n v="-7.38"/>
    <n v="184965939"/>
    <d v="2023-10-03T00:00:00"/>
    <s v="Complete"/>
    <m/>
  </r>
  <r>
    <s v="ghowe3x"/>
    <s v="java.com"/>
    <s v="Gilligan"/>
    <s v="Howe"/>
    <s v="Female"/>
    <s v="Female"/>
    <s v="37.36.62.211"/>
    <s v="208.230.115.172"/>
    <n v="142"/>
    <n v="142"/>
    <x v="1"/>
    <s v="JRS"/>
    <x v="137"/>
    <x v="2"/>
    <s v="N/A"/>
    <s v="$328.51M"/>
    <n v="328510000"/>
    <n v="1969.03"/>
    <n v="-9.2899999999999991"/>
    <n v="72893855"/>
    <d v="2023-01-14T00:00:00"/>
    <s v="Missing"/>
    <m/>
  </r>
  <r>
    <s v="nkillshaw3y"/>
    <s v="last.fm"/>
    <s v="Nappy"/>
    <s v="Killshaw"/>
    <s v="Male"/>
    <s v="Male"/>
    <s v="241.72.181.202"/>
    <s v="156.140.121.142"/>
    <n v="143"/>
    <n v="143"/>
    <x v="0"/>
    <s v="AXGN"/>
    <x v="138"/>
    <x v="0"/>
    <s v="Biotechnology: Electromedical &amp; Electrotherapeutic Apparatus"/>
    <s v="$488.16M"/>
    <n v="488160000"/>
    <n v="1533.82"/>
    <n v="9.36"/>
    <n v="86872522"/>
    <d v="2020-10-05T00:00:00"/>
    <s v="Complete"/>
    <m/>
  </r>
  <r>
    <s v="jpadilla3z"/>
    <s v="soundcloud.com"/>
    <s v="Jeramie"/>
    <s v="Padilla"/>
    <s v="Male"/>
    <s v="Male"/>
    <s v="25.172.11.83"/>
    <s v="137.253.54.247"/>
    <n v="144"/>
    <n v="144"/>
    <x v="0"/>
    <s v="HLG"/>
    <x v="139"/>
    <x v="6"/>
    <s v="Other Consumer Services"/>
    <s v="$205.6M"/>
    <n v="205600000"/>
    <n v="14.1"/>
    <n v="-5.74"/>
    <n v="991184"/>
    <d v="2026-09-26T00:00:00"/>
    <s v="Complete"/>
    <m/>
  </r>
  <r>
    <s v="spyrah40"/>
    <s v="xrea.com"/>
    <s v="Sigismond"/>
    <s v="Pyrah"/>
    <s v="Male"/>
    <s v="Male"/>
    <s v="208.191.61.213"/>
    <s v="79.118.70.48"/>
    <n v="145"/>
    <n v="145"/>
    <x v="1"/>
    <s v="ORN"/>
    <x v="140"/>
    <x v="10"/>
    <s v="Military/Government/Technical"/>
    <s v="$198.43M"/>
    <n v="198430000"/>
    <n v="1584.38"/>
    <n v="0.12"/>
    <n v="44677890"/>
    <d v="2021-05-07T00:00:00"/>
    <s v="Complete"/>
    <m/>
  </r>
  <r>
    <s v="alintall41"/>
    <s v="google.fr"/>
    <s v="Agnesse"/>
    <s v="Lintall"/>
    <s v="Female"/>
    <s v="Female"/>
    <s v="155.1.196.55"/>
    <s v="140.167.1.116"/>
    <n v="146"/>
    <n v="146"/>
    <x v="1"/>
    <s v="COTY"/>
    <x v="141"/>
    <x v="5"/>
    <s v="Package Goods/Cosmetics"/>
    <s v="$14.24B"/>
    <n v="14240000000"/>
    <n v="1038.8"/>
    <n v="-6.1"/>
    <n v="103606752"/>
    <d v="2025-10-28T00:00:00"/>
    <s v="Complete"/>
    <m/>
  </r>
  <r>
    <s v="bgillion42"/>
    <s v="facebook.com"/>
    <s v="Borden"/>
    <s v="Gillion"/>
    <s v="Male"/>
    <s v="Male"/>
    <s v="180.11.149.178"/>
    <s v="177.103.27.10"/>
    <n v="147"/>
    <n v="147"/>
    <x v="1"/>
    <s v="MFT"/>
    <x v="142"/>
    <x v="2"/>
    <s v="N/A"/>
    <s v="$120.08M"/>
    <n v="120080000"/>
    <n v="1272.1500000000001"/>
    <n v="6.82"/>
    <n v="164794385"/>
    <d v="2026-10-02T00:00:00"/>
    <s v="Missing"/>
    <m/>
  </r>
  <r>
    <s v="mmolyneux43"/>
    <s v="amazon.co.uk"/>
    <s v="Moria"/>
    <s v="Molyneux"/>
    <s v="Female"/>
    <s v="Female"/>
    <s v="4.169.113.107"/>
    <s v="216.25.49.19"/>
    <n v="148"/>
    <n v="148"/>
    <x v="1"/>
    <s v="FLT"/>
    <x v="143"/>
    <x v="7"/>
    <s v="Business Services"/>
    <s v="$13.32B"/>
    <n v="13320000000"/>
    <n v="636.5"/>
    <n v="-0.85"/>
    <n v="195028494"/>
    <d v="2025-08-08T00:00:00"/>
    <s v="Complete"/>
    <m/>
  </r>
  <r>
    <s v="dmckeurtan44"/>
    <s v="php.net"/>
    <s v="Dyanne"/>
    <s v="McKeurtan"/>
    <s v="Female"/>
    <s v="Female"/>
    <s v="50.120.203.112"/>
    <s v="98.72.51.140"/>
    <n v="149"/>
    <n v="149"/>
    <x v="0"/>
    <s v="VSAT"/>
    <x v="144"/>
    <x v="4"/>
    <s v="Radio And Television Broadcasting And Communications Equipment"/>
    <s v="$3.9B"/>
    <n v="3900000000"/>
    <n v="934.39"/>
    <n v="1.38"/>
    <n v="182176822"/>
    <d v="2026-04-09T00:00:00"/>
    <s v="Complete"/>
    <m/>
  </r>
  <r>
    <s v="zgergler45"/>
    <s v="imdb.com"/>
    <s v="Zane"/>
    <s v="Gergler"/>
    <s v="Male"/>
    <s v="Male"/>
    <s v="222.242.250.99"/>
    <s v="231.16.229.30"/>
    <n v="150"/>
    <n v="150"/>
    <x v="1"/>
    <s v="TRNO^A.CL"/>
    <x v="145"/>
    <x v="2"/>
    <s v="N/A"/>
    <s v="N/A"/>
    <n v="0"/>
    <n v="1077.69"/>
    <n v="-5.6"/>
    <n v="89734530"/>
    <d v="2020-07-09T00:00:00"/>
    <s v="Missing"/>
    <m/>
  </r>
  <r>
    <s v="stedorenko46"/>
    <s v="europa.eu"/>
    <s v="Sophia"/>
    <s v="Tedorenko"/>
    <s v="Female"/>
    <s v="Female"/>
    <s v="204.36.23.168"/>
    <s v="93.47.32.53"/>
    <n v="151"/>
    <n v="151"/>
    <x v="0"/>
    <s v="WB"/>
    <x v="146"/>
    <x v="4"/>
    <s v="Computer Software: Programming, Data Processing"/>
    <s v="$15.51B"/>
    <n v="15510000000"/>
    <n v="365.73"/>
    <n v="-5.57"/>
    <n v="28683693"/>
    <d v="2021-11-28T00:00:00"/>
    <s v="Complete"/>
    <m/>
  </r>
  <r>
    <s v="gbrumen47"/>
    <s v="youtu.be"/>
    <s v="Giavani"/>
    <s v="Brumen"/>
    <s v="Male"/>
    <s v="Male"/>
    <s v="27.231.69.95"/>
    <s v="45.34.170.235"/>
    <n v="152"/>
    <n v="152"/>
    <x v="0"/>
    <s v="EAGL"/>
    <x v="147"/>
    <x v="3"/>
    <s v="Business Services"/>
    <s v="$628.13M"/>
    <n v="628130000"/>
    <n v="204.67"/>
    <n v="-8.64"/>
    <n v="106999137"/>
    <d v="2020-11-12T00:00:00"/>
    <s v="Complete"/>
    <m/>
  </r>
  <r>
    <s v="gbagnall48"/>
    <s v="baidu.com"/>
    <s v="Georgie"/>
    <s v="Bagnall"/>
    <s v="Male"/>
    <s v="Male"/>
    <s v="168.100.55.9"/>
    <s v="225.104.77.236"/>
    <n v="153"/>
    <n v="153"/>
    <x v="0"/>
    <s v="SLGN"/>
    <x v="148"/>
    <x v="11"/>
    <s v="Containers/Packaging"/>
    <s v="$3.49B"/>
    <n v="3490000000"/>
    <n v="315.56"/>
    <n v="-7.11"/>
    <n v="192596129"/>
    <d v="2021-11-08T00:00:00"/>
    <s v="Complete"/>
    <m/>
  </r>
  <r>
    <s v="hsommerton49"/>
    <s v="prnewswire.com"/>
    <s v="Hubert"/>
    <s v="Sommerton"/>
    <s v="Agender"/>
    <s v="Other"/>
    <s v="230.248.209.56"/>
    <s v="196.106.50.92"/>
    <n v="154"/>
    <n v="154"/>
    <x v="0"/>
    <s v="PYPL"/>
    <x v="149"/>
    <x v="7"/>
    <s v="Business Services"/>
    <s v="$62.27B"/>
    <n v="62270000000"/>
    <n v="1206.28"/>
    <n v="-11.48"/>
    <n v="122500161"/>
    <d v="2026-03-30T00:00:00"/>
    <s v="Complete"/>
    <m/>
  </r>
  <r>
    <s v="hsterricks4a"/>
    <s v="cloudflare.com"/>
    <s v="Harlen"/>
    <s v="Sterricks"/>
    <s v="Male"/>
    <s v="Male"/>
    <s v="222.161.12.165"/>
    <s v="119.204.63.101"/>
    <n v="155"/>
    <n v="155"/>
    <x v="1"/>
    <s v="MH^A"/>
    <x v="150"/>
    <x v="2"/>
    <s v="N/A"/>
    <s v="N/A"/>
    <n v="0"/>
    <n v="398.51"/>
    <n v="-11.9"/>
    <n v="199433499"/>
    <d v="2024-10-06T00:00:00"/>
    <s v="Missing"/>
    <m/>
  </r>
  <r>
    <s v="aeble4b"/>
    <s v="nbcnews.com"/>
    <s v="Alexio"/>
    <s v="Eble"/>
    <s v="Male"/>
    <s v="Male"/>
    <s v="27.109.69.176"/>
    <s v="246.102.151.224"/>
    <n v="156"/>
    <n v="156"/>
    <x v="1"/>
    <s v="RHT"/>
    <x v="151"/>
    <x v="4"/>
    <s v="Computer Software: Programming, Data Processing"/>
    <s v="$15.62B"/>
    <n v="15620000000"/>
    <n v="99.45"/>
    <n v="-8.74"/>
    <n v="197494865"/>
    <d v="2026-06-05T00:00:00"/>
    <s v="Complete"/>
    <m/>
  </r>
  <r>
    <s v="mkoenen4c"/>
    <s v="youtu.be"/>
    <s v="Merissa"/>
    <s v="Koenen"/>
    <s v="Female"/>
    <s v="Female"/>
    <s v="76.234.200.202"/>
    <s v="12.218.164.8"/>
    <n v="157"/>
    <n v="157"/>
    <x v="1"/>
    <s v="CLNS^E"/>
    <x v="152"/>
    <x v="2"/>
    <s v="N/A"/>
    <s v="N/A"/>
    <n v="0"/>
    <n v="1295.82"/>
    <n v="16.28"/>
    <n v="161450373"/>
    <d v="2025-10-04T00:00:00"/>
    <s v="Missing"/>
    <m/>
  </r>
  <r>
    <s v="ladamski4d"/>
    <s v="yahoo.co.jp"/>
    <s v="Luisa"/>
    <s v="Adamski"/>
    <s v="Female"/>
    <s v="Female"/>
    <s v="177.81.66.50"/>
    <s v="111.65.221.137"/>
    <n v="158"/>
    <n v="158"/>
    <x v="0"/>
    <s v="EBTC"/>
    <x v="153"/>
    <x v="3"/>
    <s v="Major Banks"/>
    <s v="$414.73M"/>
    <n v="414730000"/>
    <n v="1812.01"/>
    <n v="10.52"/>
    <n v="51249609"/>
    <d v="2022-02-05T00:00:00"/>
    <s v="Complete"/>
    <m/>
  </r>
  <r>
    <s v="edayes4e"/>
    <s v="unesco.org"/>
    <s v="Elfrieda"/>
    <s v="Dayes"/>
    <s v="Female"/>
    <s v="Female"/>
    <s v="224.149.39.94"/>
    <s v="114.176.55.99"/>
    <n v="159"/>
    <n v="159"/>
    <x v="1"/>
    <s v="CMS"/>
    <x v="154"/>
    <x v="8"/>
    <s v="Power Generation"/>
    <s v="$13.53B"/>
    <n v="13530000000"/>
    <n v="228.82"/>
    <n v="11.93"/>
    <n v="84589315"/>
    <d v="2022-03-17T00:00:00"/>
    <s v="Complete"/>
    <m/>
  </r>
  <r>
    <s v="awitsey4f"/>
    <s v="netvibes.com"/>
    <s v="Adria"/>
    <s v="Witsey"/>
    <s v="Female"/>
    <s v="Female"/>
    <s v="134.203.186.74"/>
    <s v="38.151.28.2"/>
    <n v="160"/>
    <n v="160"/>
    <x v="0"/>
    <s v="CFMS"/>
    <x v="155"/>
    <x v="0"/>
    <s v="Industrial Specialties"/>
    <s v="$180.66M"/>
    <n v="180660000"/>
    <n v="624.6"/>
    <n v="1.37"/>
    <n v="153539552"/>
    <d v="2020-04-14T00:00:00"/>
    <s v="Complete"/>
    <m/>
  </r>
  <r>
    <s v="ngodbolt4g"/>
    <s v="virginia.edu"/>
    <s v="Nessa"/>
    <s v="Godbolt"/>
    <s v="Female"/>
    <s v="Female"/>
    <s v="239.49.106.79"/>
    <s v="33.92.136.230"/>
    <n v="161"/>
    <n v="161"/>
    <x v="0"/>
    <s v="BASI"/>
    <x v="156"/>
    <x v="0"/>
    <s v="Biotechnology: Commercial Physical &amp; Biological Resarch"/>
    <s v="$13.02M"/>
    <n v="13020000"/>
    <n v="1473.68"/>
    <n v="-18.11"/>
    <n v="147688697"/>
    <d v="2023-07-17T00:00:00"/>
    <s v="Complete"/>
    <m/>
  </r>
  <r>
    <s v="dreany4h"/>
    <s v="oaic.gov.au"/>
    <s v="Dick"/>
    <s v="Reany"/>
    <s v="Male"/>
    <s v="Male"/>
    <s v="49.147.240.167"/>
    <s v="241.6.160.143"/>
    <n v="162"/>
    <n v="162"/>
    <x v="0"/>
    <s v="LLEX"/>
    <x v="157"/>
    <x v="9"/>
    <s v="Oil &amp; Gas Production"/>
    <s v="$267.73M"/>
    <n v="267730000.00000003"/>
    <n v="1161.6500000000001"/>
    <n v="18.14"/>
    <n v="164777040"/>
    <d v="2020-02-19T00:00:00"/>
    <s v="Complete"/>
    <m/>
  </r>
  <r>
    <s v="prundle4i"/>
    <s v="jiathis.com"/>
    <s v="Paulie"/>
    <s v="Rundle"/>
    <s v="Female"/>
    <s v="Female"/>
    <s v="6.18.186.92"/>
    <s v="119.168.94.215"/>
    <n v="163"/>
    <n v="163"/>
    <x v="0"/>
    <s v="VCYT"/>
    <x v="158"/>
    <x v="0"/>
    <s v="Medical Specialities"/>
    <s v="$259.78M"/>
    <n v="259779999.99999997"/>
    <n v="1025.1500000000001"/>
    <n v="-14.32"/>
    <n v="87093141"/>
    <d v="2022-05-15T00:00:00"/>
    <s v="Complete"/>
    <m/>
  </r>
  <r>
    <s v="oforson4j"/>
    <s v="soup.io"/>
    <s v="Olivia"/>
    <s v="Forson"/>
    <s v="Female"/>
    <s v="Female"/>
    <s v="21.129.66.161"/>
    <s v="107.129.48.234"/>
    <n v="164"/>
    <n v="164"/>
    <x v="1"/>
    <s v="BLL"/>
    <x v="159"/>
    <x v="11"/>
    <s v="Containers/Packaging"/>
    <s v="$14.45B"/>
    <n v="14450000000"/>
    <n v="1247.8599999999999"/>
    <n v="18.97"/>
    <n v="122494379"/>
    <d v="2026-07-21T00:00:00"/>
    <s v="Complete"/>
    <m/>
  </r>
  <r>
    <s v="sbrewse4k"/>
    <s v="wix.com"/>
    <s v="Stevana"/>
    <s v="Brewse"/>
    <s v="Female"/>
    <s v="Female"/>
    <s v="159.53.231.44"/>
    <s v="50.184.143.60"/>
    <n v="165"/>
    <n v="165"/>
    <x v="1"/>
    <s v="IR"/>
    <x v="160"/>
    <x v="1"/>
    <s v="Auto Parts:O.E.M."/>
    <s v="$23.64B"/>
    <n v="23640000000"/>
    <n v="250.05"/>
    <n v="-5.33"/>
    <n v="102372428"/>
    <d v="2025-07-19T00:00:00"/>
    <s v="Complete"/>
    <m/>
  </r>
  <r>
    <s v="caudibert4l"/>
    <s v="cornell.edu"/>
    <s v="Calla"/>
    <s v="Audibert"/>
    <s v="Female"/>
    <s v="Female"/>
    <s v="117.16.54.237"/>
    <s v="18.232.14.47"/>
    <n v="166"/>
    <n v="166"/>
    <x v="0"/>
    <s v="ASBB"/>
    <x v="161"/>
    <x v="3"/>
    <s v="Savings Institutions"/>
    <s v="$167.24M"/>
    <n v="167240000"/>
    <n v="1327.22"/>
    <n v="-10.67"/>
    <n v="19694795"/>
    <d v="2022-01-22T00:00:00"/>
    <s v="Complete"/>
    <m/>
  </r>
  <r>
    <s v="gfearneley4m"/>
    <s v="dion.ne.jp"/>
    <s v="Gavin"/>
    <s v="Fearneley"/>
    <s v="Male"/>
    <s v="Male"/>
    <s v="159.229.215.134"/>
    <s v="141.65.215.194"/>
    <n v="167"/>
    <n v="167"/>
    <x v="1"/>
    <s v="OI"/>
    <x v="162"/>
    <x v="11"/>
    <s v="Containers/Packaging"/>
    <s v="$3.72B"/>
    <n v="3720000000"/>
    <n v="900.78"/>
    <n v="2.16"/>
    <n v="18837395"/>
    <d v="2020-05-28T00:00:00"/>
    <s v="Complete"/>
    <m/>
  </r>
  <r>
    <s v="tbicknell4n"/>
    <s v="dyndns.org"/>
    <s v="Trstram"/>
    <s v="Bicknell"/>
    <s v="Male"/>
    <s v="Male"/>
    <s v="168.81.84.15"/>
    <s v="128.192.125.252"/>
    <n v="168"/>
    <n v="168"/>
    <x v="1"/>
    <s v="JPT"/>
    <x v="163"/>
    <x v="2"/>
    <s v="N/A"/>
    <s v="$171.9M"/>
    <n v="171900000"/>
    <n v="1887.58"/>
    <n v="-14.64"/>
    <n v="165091024"/>
    <d v="2020-10-11T00:00:00"/>
    <s v="Missing"/>
    <m/>
  </r>
  <r>
    <s v="dmattis4o"/>
    <s v="ed.gov"/>
    <s v="Diane-marie"/>
    <s v="Mattis"/>
    <s v="Female"/>
    <s v="Female"/>
    <s v="70.132.175.150"/>
    <s v="7.221.235.132"/>
    <n v="169"/>
    <n v="169"/>
    <x v="1"/>
    <s v="CTLT"/>
    <x v="164"/>
    <x v="0"/>
    <s v="Major Pharmaceuticals"/>
    <s v="$4.61B"/>
    <n v="4610000000"/>
    <n v="1475.21"/>
    <n v="10.220000000000001"/>
    <n v="120726077"/>
    <d v="2025-09-08T00:00:00"/>
    <s v="Complete"/>
    <m/>
  </r>
  <r>
    <s v="epfeffer4p"/>
    <s v="clickbank.net"/>
    <s v="Erinn"/>
    <s v="Pfeffer"/>
    <s v="Female"/>
    <s v="Female"/>
    <s v="158.47.5.146"/>
    <s v="210.121.121.167"/>
    <n v="170"/>
    <n v="170"/>
    <x v="0"/>
    <s v="PKBK"/>
    <x v="165"/>
    <x v="3"/>
    <s v="Major Banks"/>
    <s v="$161.78M"/>
    <n v="161780000"/>
    <n v="501.63"/>
    <n v="7.81"/>
    <n v="38375048"/>
    <d v="2024-04-26T00:00:00"/>
    <s v="Complete"/>
    <m/>
  </r>
  <r>
    <s v="areeves4q"/>
    <s v="ebay.co.uk"/>
    <s v="Arlene"/>
    <s v="Reeves"/>
    <s v="Female"/>
    <s v="Female"/>
    <s v="252.103.34.228"/>
    <s v="64.182.21.57"/>
    <n v="171"/>
    <n v="171"/>
    <x v="0"/>
    <s v="MBTF"/>
    <x v="166"/>
    <x v="3"/>
    <s v="Major Banks"/>
    <s v="$229.8M"/>
    <n v="229800000"/>
    <n v="232.86"/>
    <n v="17.45"/>
    <n v="61384716"/>
    <d v="2023-01-12T00:00:00"/>
    <s v="Complete"/>
    <m/>
  </r>
  <r>
    <s v="aabadam4r"/>
    <s v="bing.com"/>
    <s v="Ancell"/>
    <s v="Abadam"/>
    <s v="Male"/>
    <s v="Male"/>
    <s v="218.196.109.59"/>
    <s v="91.171.233.200"/>
    <n v="172"/>
    <n v="172"/>
    <x v="0"/>
    <s v="YIN"/>
    <x v="167"/>
    <x v="3"/>
    <s v="Investment Bankers/Brokers/Service"/>
    <s v="$725.83M"/>
    <n v="725830000"/>
    <n v="763.12"/>
    <n v="-14.15"/>
    <n v="160786732"/>
    <d v="2024-05-23T00:00:00"/>
    <s v="Complete"/>
    <m/>
  </r>
  <r>
    <s v="vivashev4s"/>
    <s v="ebay.co.uk"/>
    <s v="Vanna"/>
    <s v="Ivashev"/>
    <s v="Female"/>
    <s v="Female"/>
    <s v="194.237.147.16"/>
    <s v="108.183.26.59"/>
    <n v="173"/>
    <n v="173"/>
    <x v="1"/>
    <s v="CMS"/>
    <x v="154"/>
    <x v="8"/>
    <s v="Power Generation"/>
    <s v="$13.53B"/>
    <n v="13530000000"/>
    <n v="1296.3900000000001"/>
    <n v="15"/>
    <n v="183185806"/>
    <d v="2022-12-13T00:00:00"/>
    <s v="Complete"/>
    <m/>
  </r>
  <r>
    <s v="acoathup4t"/>
    <s v="geocities.com"/>
    <s v="Archambault"/>
    <s v="Coathup"/>
    <s v="Male"/>
    <s v="Male"/>
    <s v="32.237.10.31"/>
    <s v="202.81.63.131"/>
    <n v="174"/>
    <n v="174"/>
    <x v="0"/>
    <s v="FHCO"/>
    <x v="168"/>
    <x v="10"/>
    <s v="Specialty Chemicals"/>
    <s v="$36.35M"/>
    <n v="36350000"/>
    <n v="1648.66"/>
    <n v="15.47"/>
    <n v="119200481"/>
    <d v="2024-08-08T00:00:00"/>
    <s v="Complete"/>
    <m/>
  </r>
  <r>
    <s v="reydel4u"/>
    <s v="nydailynews.com"/>
    <s v="Roch"/>
    <s v="Eydel"/>
    <s v="Female"/>
    <s v="Female"/>
    <s v="140.224.182.182"/>
    <s v="83.17.227.181"/>
    <n v="175"/>
    <n v="175"/>
    <x v="1"/>
    <s v="NTEST.C"/>
    <x v="42"/>
    <x v="2"/>
    <s v="N/A"/>
    <s v="N/A"/>
    <n v="0"/>
    <n v="210.28"/>
    <n v="-6.05"/>
    <n v="13618348"/>
    <d v="2022-06-06T00:00:00"/>
    <s v="Missing"/>
    <m/>
  </r>
  <r>
    <s v="cmewes4v"/>
    <s v="gov.uk"/>
    <s v="Corette"/>
    <s v="Mewes"/>
    <s v="Female"/>
    <s v="Female"/>
    <s v="189.0.135.6"/>
    <s v="94.123.70.37"/>
    <n v="176"/>
    <n v="176"/>
    <x v="0"/>
    <s v="OIIM"/>
    <x v="169"/>
    <x v="4"/>
    <s v="Semiconductors"/>
    <s v="$47.92M"/>
    <n v="47920000"/>
    <n v="713.08"/>
    <n v="0.92"/>
    <n v="94882450"/>
    <d v="2024-11-05T00:00:00"/>
    <s v="Complete"/>
    <m/>
  </r>
  <r>
    <s v="egelardi4w"/>
    <s v="friendfeed.com"/>
    <s v="Eden"/>
    <s v="Gelardi"/>
    <s v="Female"/>
    <s v="Female"/>
    <s v="146.41.152.187"/>
    <s v="130.234.8.101"/>
    <n v="177"/>
    <n v="177"/>
    <x v="0"/>
    <s v="CTAS"/>
    <x v="170"/>
    <x v="5"/>
    <s v="Apparel"/>
    <s v="$13.74B"/>
    <n v="13740000000"/>
    <n v="181.84"/>
    <n v="3.13"/>
    <n v="65244268"/>
    <d v="2021-10-20T00:00:00"/>
    <s v="Complete"/>
    <m/>
  </r>
  <r>
    <s v="mmaasz4x"/>
    <s v="mysql.com"/>
    <s v="Maggie"/>
    <s v="Maasz"/>
    <s v="Female"/>
    <s v="Female"/>
    <s v="124.108.140.195"/>
    <s v="124.20.126.100"/>
    <n v="178"/>
    <n v="178"/>
    <x v="1"/>
    <s v="SCCO"/>
    <x v="171"/>
    <x v="10"/>
    <s v="Precious Metals"/>
    <s v="$26.62B"/>
    <n v="26620000000"/>
    <n v="624.62"/>
    <n v="-10.24"/>
    <n v="115190011"/>
    <d v="2021-03-24T00:00:00"/>
    <s v="Complete"/>
    <m/>
  </r>
  <r>
    <s v="cpuckrin4y"/>
    <s v="google.de"/>
    <s v="Cobby"/>
    <s v="Puckrin"/>
    <s v="Male"/>
    <s v="Male"/>
    <s v="81.125.103.160"/>
    <s v="145.15.53.205"/>
    <n v="179"/>
    <n v="179"/>
    <x v="1"/>
    <s v="AKS"/>
    <x v="172"/>
    <x v="10"/>
    <s v="Steel/Iron Ore"/>
    <s v="$1.89B"/>
    <n v="1890000000"/>
    <n v="963.21"/>
    <n v="-10.41"/>
    <n v="33774370"/>
    <d v="2022-04-24T00:00:00"/>
    <s v="Complete"/>
    <m/>
  </r>
  <r>
    <s v="cwalthall4z"/>
    <s v="independent.co.uk"/>
    <s v="Cammy"/>
    <s v="Walthall"/>
    <s v="Female"/>
    <s v="Female"/>
    <s v="173.205.96.158"/>
    <s v="244.127.131.234"/>
    <n v="180"/>
    <n v="180"/>
    <x v="0"/>
    <s v="MGNX"/>
    <x v="173"/>
    <x v="0"/>
    <s v="Major Pharmaceuticals"/>
    <s v="$658.69M"/>
    <n v="658690000"/>
    <n v="942.07"/>
    <n v="-7.0000000000000007E-2"/>
    <n v="186479343"/>
    <d v="2023-04-08T00:00:00"/>
    <s v="Complete"/>
    <m/>
  </r>
  <r>
    <s v="rfrounks50"/>
    <s v="discuz.net"/>
    <s v="Roscoe"/>
    <s v="Frounks"/>
    <s v="Male"/>
    <s v="Male"/>
    <s v="83.118.200.248"/>
    <s v="117.178.101.1"/>
    <n v="181"/>
    <n v="181"/>
    <x v="1"/>
    <s v="SSW"/>
    <x v="174"/>
    <x v="12"/>
    <s v="Marine Transportation"/>
    <s v="$649.92M"/>
    <n v="649920000"/>
    <n v="1088.9100000000001"/>
    <n v="-8.82"/>
    <n v="122232870"/>
    <d v="2021-09-25T00:00:00"/>
    <s v="Complete"/>
    <m/>
  </r>
  <r>
    <s v="acomford51"/>
    <s v="cloudflare.com"/>
    <s v="Aidan"/>
    <s v="Comford"/>
    <s v="Non-binary"/>
    <s v="Other"/>
    <s v="1.46.57.143"/>
    <s v="64.96.54.188"/>
    <n v="182"/>
    <n v="182"/>
    <x v="0"/>
    <s v="WTFCW"/>
    <x v="175"/>
    <x v="3"/>
    <s v="Major Banks"/>
    <s v="N/A"/>
    <n v="0"/>
    <n v="1563.11"/>
    <n v="11.37"/>
    <n v="199120343"/>
    <d v="2022-04-23T00:00:00"/>
    <s v="Missing"/>
    <m/>
  </r>
  <r>
    <s v="nleacock52"/>
    <s v="netscape.com"/>
    <s v="Nonnah"/>
    <s v="Leacock"/>
    <s v="Bigender"/>
    <s v="Other"/>
    <s v="138.28.48.139"/>
    <s v="49.169.117.164"/>
    <n v="183"/>
    <n v="183"/>
    <x v="1"/>
    <s v="DXB"/>
    <x v="176"/>
    <x v="3"/>
    <s v="Major Banks"/>
    <s v="N/A"/>
    <n v="0"/>
    <n v="56.21"/>
    <n v="11.11"/>
    <n v="190368780"/>
    <d v="2026-04-07T00:00:00"/>
    <s v="Missing"/>
    <m/>
  </r>
  <r>
    <s v="ekimmel53"/>
    <s v="storify.com"/>
    <s v="Elke"/>
    <s v="Kimmel"/>
    <s v="Female"/>
    <s v="Female"/>
    <s v="239.86.241.5"/>
    <s v="65.63.116.205"/>
    <n v="184"/>
    <n v="184"/>
    <x v="0"/>
    <s v="MYOK"/>
    <x v="177"/>
    <x v="0"/>
    <s v="Major Pharmaceuticals"/>
    <s v="$445.1M"/>
    <n v="445100000"/>
    <n v="270.51"/>
    <n v="-14.07"/>
    <n v="78856177"/>
    <d v="2022-11-19T00:00:00"/>
    <s v="Complete"/>
    <m/>
  </r>
  <r>
    <s v="tmelledy54"/>
    <s v="irs.gov"/>
    <s v="Turner"/>
    <s v="Melledy"/>
    <s v="Male"/>
    <s v="Male"/>
    <s v="118.33.62.241"/>
    <s v="151.250.167.46"/>
    <n v="185"/>
    <n v="185"/>
    <x v="1"/>
    <s v="SMG"/>
    <x v="178"/>
    <x v="10"/>
    <s v="Agricultural Chemicals"/>
    <s v="$5.23B"/>
    <n v="5230000000"/>
    <n v="827.69"/>
    <n v="7.95"/>
    <n v="25418444"/>
    <d v="2024-09-27T00:00:00"/>
    <s v="Complete"/>
    <m/>
  </r>
  <r>
    <s v="ablowfield55"/>
    <s v="youtu.be"/>
    <s v="Anabel"/>
    <s v="Blowfield"/>
    <s v="Female"/>
    <s v="Female"/>
    <s v="12.25.109.187"/>
    <s v="128.223.33.210"/>
    <n v="186"/>
    <n v="186"/>
    <x v="1"/>
    <s v="MAS"/>
    <x v="179"/>
    <x v="10"/>
    <s v="Forest Products"/>
    <s v="$12.32B"/>
    <n v="12320000000"/>
    <n v="941.07"/>
    <n v="3.13"/>
    <n v="115955950"/>
    <d v="2020-10-27T00:00:00"/>
    <s v="Complete"/>
    <m/>
  </r>
  <r>
    <s v="scondie56"/>
    <s v="people.com.cn"/>
    <s v="Shermy"/>
    <s v="Condie"/>
    <s v="Male"/>
    <s v="Male"/>
    <s v="159.38.79.250"/>
    <s v="230.120.138.38"/>
    <n v="187"/>
    <n v="187"/>
    <x v="0"/>
    <s v="DWAQ"/>
    <x v="180"/>
    <x v="2"/>
    <s v="N/A"/>
    <s v="$35.54M"/>
    <n v="35540000"/>
    <n v="212.83"/>
    <n v="-13.47"/>
    <n v="177871156"/>
    <d v="2025-09-29T00:00:00"/>
    <s v="Missing"/>
    <m/>
  </r>
  <r>
    <s v="jansett57"/>
    <s v="simplemachines.org"/>
    <s v="Javier"/>
    <s v="Ansett"/>
    <s v="Male"/>
    <s v="Male"/>
    <s v="183.19.210.54"/>
    <s v="224.123.145.166"/>
    <n v="188"/>
    <n v="188"/>
    <x v="0"/>
    <s v="GNTX"/>
    <x v="181"/>
    <x v="1"/>
    <s v="Auto Parts:O.E.M."/>
    <s v="$5.21B"/>
    <n v="5210000000"/>
    <n v="297.35000000000002"/>
    <n v="-13.27"/>
    <n v="168107560"/>
    <d v="2025-12-06T00:00:00"/>
    <s v="Complete"/>
    <m/>
  </r>
  <r>
    <s v="sglayzer58"/>
    <s v="behance.net"/>
    <s v="Sisely"/>
    <s v="Glayzer"/>
    <s v="Female"/>
    <s v="Female"/>
    <s v="112.245.158.240"/>
    <s v="113.99.221.94"/>
    <n v="189"/>
    <n v="189"/>
    <x v="1"/>
    <s v="WD"/>
    <x v="182"/>
    <x v="3"/>
    <s v="Finance: Consumer Services"/>
    <s v="$1.5B"/>
    <n v="1500000000"/>
    <n v="959.18"/>
    <n v="19.64"/>
    <n v="164184324"/>
    <d v="2026-02-08T00:00:00"/>
    <s v="Complete"/>
    <m/>
  </r>
  <r>
    <s v="bshrubshall59"/>
    <s v="statcounter.com"/>
    <s v="Bar"/>
    <s v="Shrubshall"/>
    <s v="Male"/>
    <s v="Male"/>
    <s v="155.241.67.103"/>
    <s v="1.207.53.206"/>
    <n v="190"/>
    <n v="190"/>
    <x v="0"/>
    <s v="PLW"/>
    <x v="183"/>
    <x v="2"/>
    <s v="N/A"/>
    <s v="$183.15M"/>
    <n v="183150000"/>
    <n v="584.61"/>
    <n v="12.86"/>
    <n v="121135412"/>
    <d v="2022-01-21T00:00:00"/>
    <s v="Missing"/>
    <m/>
  </r>
  <r>
    <s v="hduker5a"/>
    <s v="huffingtonpost.com"/>
    <s v="Heda"/>
    <s v="Duker"/>
    <s v="Female"/>
    <s v="Female"/>
    <s v="236.99.45.195"/>
    <s v="109.0.141.154"/>
    <n v="191"/>
    <n v="191"/>
    <x v="1"/>
    <s v="APD"/>
    <x v="184"/>
    <x v="10"/>
    <s v="Major Chemicals"/>
    <s v="$31.68B"/>
    <n v="31680000000"/>
    <n v="1937.55"/>
    <n v="7.86"/>
    <n v="13449737"/>
    <d v="2026-08-13T00:00:00"/>
    <s v="Complete"/>
    <m/>
  </r>
  <r>
    <s v="tgladwish5b"/>
    <s v="google.cn"/>
    <s v="Theresina"/>
    <s v="Gladwish"/>
    <s v="Female"/>
    <s v="Female"/>
    <s v="5.10.214.50"/>
    <s v="154.130.209.208"/>
    <n v="192"/>
    <n v="192"/>
    <x v="1"/>
    <s v="PYT"/>
    <x v="185"/>
    <x v="3"/>
    <s v="Finance: Consumer Services"/>
    <s v="N/A"/>
    <n v="0"/>
    <n v="750.55"/>
    <n v="6.84"/>
    <n v="132064942"/>
    <d v="2026-06-28T00:00:00"/>
    <s v="Missing"/>
    <m/>
  </r>
  <r>
    <s v="dsharland5c"/>
    <s v="1und1.de"/>
    <s v="Dall"/>
    <s v="Sharland"/>
    <s v="Male"/>
    <s v="Male"/>
    <s v="176.184.210.19"/>
    <s v="86.142.57.233"/>
    <n v="193"/>
    <n v="193"/>
    <x v="1"/>
    <s v="GVA"/>
    <x v="186"/>
    <x v="10"/>
    <s v="Military/Government/Technical"/>
    <s v="$1.97B"/>
    <n v="1970000000"/>
    <n v="1686.21"/>
    <n v="-0.2"/>
    <n v="179048528"/>
    <d v="2022-01-01T00:00:00"/>
    <s v="Complete"/>
    <m/>
  </r>
  <r>
    <s v="abithell5d"/>
    <s v="edublogs.org"/>
    <s v="Alaster"/>
    <s v="Bithell"/>
    <s v="Male"/>
    <s v="Male"/>
    <s v="180.93.99.59"/>
    <s v="20.157.183.155"/>
    <n v="194"/>
    <n v="194"/>
    <x v="1"/>
    <s v="NTEST.B"/>
    <x v="42"/>
    <x v="2"/>
    <s v="N/A"/>
    <s v="N/A"/>
    <n v="0"/>
    <n v="1815.86"/>
    <n v="11.61"/>
    <n v="45032096"/>
    <d v="2022-08-09T00:00:00"/>
    <s v="Missing"/>
    <m/>
  </r>
  <r>
    <s v="hdisman5e"/>
    <s v="seesaa.net"/>
    <s v="Hinze"/>
    <s v="Disman"/>
    <s v="Male"/>
    <s v="Male"/>
    <s v="110.185.167.162"/>
    <s v="212.141.148.70"/>
    <n v="195"/>
    <n v="195"/>
    <x v="0"/>
    <s v="CUTR"/>
    <x v="187"/>
    <x v="0"/>
    <s v="Biotechnology: Electromedical &amp; Electrotherapeutic Apparatus"/>
    <s v="$323.6M"/>
    <n v="323600000"/>
    <n v="777.48"/>
    <n v="-9.92"/>
    <n v="194674309"/>
    <d v="2022-04-03T00:00:00"/>
    <s v="Complete"/>
    <m/>
  </r>
  <r>
    <s v="jlukock5f"/>
    <s v="indiegogo.com"/>
    <s v="June"/>
    <s v="Lukock"/>
    <s v="Female"/>
    <s v="Female"/>
    <s v="79.178.146.6"/>
    <s v="13.175.91.99"/>
    <n v="196"/>
    <n v="196"/>
    <x v="0"/>
    <s v="BIIB"/>
    <x v="188"/>
    <x v="0"/>
    <s v="Biotechnology: Biological Products (No Diagnostic Substances)"/>
    <s v="$53.4B"/>
    <n v="53400000000"/>
    <n v="1908.48"/>
    <n v="-1.56"/>
    <n v="124664661"/>
    <d v="2024-07-07T00:00:00"/>
    <s v="Complete"/>
    <m/>
  </r>
  <r>
    <s v="mburgwin5g"/>
    <s v="163.com"/>
    <s v="Maxie"/>
    <s v="Burgwin"/>
    <s v="Male"/>
    <s v="Male"/>
    <s v="92.89.21.249"/>
    <s v="196.128.66.159"/>
    <n v="197"/>
    <n v="197"/>
    <x v="1"/>
    <s v="MSB"/>
    <x v="189"/>
    <x v="10"/>
    <s v="Precious Metals"/>
    <s v="$173.18M"/>
    <n v="173180000"/>
    <n v="582.03"/>
    <n v="-1.77"/>
    <n v="49627537"/>
    <d v="2020-01-02T00:00:00"/>
    <s v="Complete"/>
    <m/>
  </r>
  <r>
    <s v="csisson5h"/>
    <s v="moonfruit.com"/>
    <s v="Christabel"/>
    <s v="Sisson"/>
    <s v="Female"/>
    <s v="Female"/>
    <s v="175.238.105.126"/>
    <s v="133.222.4.109"/>
    <n v="198"/>
    <n v="198"/>
    <x v="0"/>
    <s v="CCCR"/>
    <x v="190"/>
    <x v="3"/>
    <s v="Major Banks"/>
    <s v="$53.7M"/>
    <n v="53700000"/>
    <n v="1769.69"/>
    <n v="2.6"/>
    <n v="121118394"/>
    <d v="2025-12-05T00:00:00"/>
    <s v="Complete"/>
    <m/>
  </r>
  <r>
    <s v="amalcolm5i"/>
    <s v="usa.gov"/>
    <s v="Aldridge"/>
    <s v="Malcolm"/>
    <s v="Polygender"/>
    <s v="Other"/>
    <s v="88.77.76.85"/>
    <s v="148.107.23.183"/>
    <n v="199"/>
    <n v="199"/>
    <x v="0"/>
    <s v="OTTW"/>
    <x v="191"/>
    <x v="3"/>
    <s v="Savings Institutions"/>
    <s v="$48.54M"/>
    <n v="48540000"/>
    <n v="1211.5999999999999"/>
    <n v="2.88"/>
    <n v="45151700"/>
    <d v="2025-04-20T00:00:00"/>
    <s v="Complete"/>
    <m/>
  </r>
  <r>
    <s v="cbenson5j"/>
    <s v="businessweek.com"/>
    <s v="Chloe"/>
    <s v="Benson"/>
    <s v="Female"/>
    <s v="Female"/>
    <s v="153.231.195.58"/>
    <s v="146.41.40.239"/>
    <n v="200"/>
    <n v="200"/>
    <x v="1"/>
    <s v="PRE^G"/>
    <x v="74"/>
    <x v="2"/>
    <s v="N/A"/>
    <s v="N/A"/>
    <n v="0"/>
    <n v="311.22000000000003"/>
    <n v="7.16"/>
    <n v="193778438"/>
    <d v="2022-11-19T00:00:00"/>
    <s v="Missing"/>
    <m/>
  </r>
  <r>
    <s v="astiger5k"/>
    <s v="jugem.jp"/>
    <s v="Ashli"/>
    <s v="Stiger"/>
    <s v="Female"/>
    <s v="Female"/>
    <s v="117.238.234.53"/>
    <s v="78.107.108.253"/>
    <n v="201"/>
    <n v="201"/>
    <x v="0"/>
    <s v="SSBI"/>
    <x v="192"/>
    <x v="2"/>
    <s v="N/A"/>
    <s v="$78.86M"/>
    <n v="78860000"/>
    <n v="735.4"/>
    <n v="-9.84"/>
    <n v="168975603"/>
    <d v="2026-10-22T00:00:00"/>
    <s v="Missing"/>
    <m/>
  </r>
  <r>
    <s v="eklawi5l"/>
    <s v="guardian.co.uk"/>
    <s v="Elsie"/>
    <s v="Klawi"/>
    <s v="Female"/>
    <s v="Female"/>
    <s v="38.251.117.80"/>
    <s v="225.181.223.229"/>
    <n v="202"/>
    <n v="202"/>
    <x v="1"/>
    <s v="PMC"/>
    <x v="193"/>
    <x v="0"/>
    <s v="Medical/Nursing Services"/>
    <s v="$778.92M"/>
    <n v="778920000"/>
    <n v="1056.05"/>
    <n v="-14.44"/>
    <n v="146104870"/>
    <d v="2026-04-26T00:00:00"/>
    <s v="Complete"/>
    <m/>
  </r>
  <r>
    <s v="sarniz5m"/>
    <s v="bbc.co.uk"/>
    <s v="Sig"/>
    <s v="Arniz"/>
    <s v="Male"/>
    <s v="Male"/>
    <s v="136.81.60.171"/>
    <s v="90.244.20.197"/>
    <n v="203"/>
    <n v="203"/>
    <x v="1"/>
    <s v="SHOP"/>
    <x v="194"/>
    <x v="4"/>
    <s v="Computer Software: Prepackaged Software"/>
    <s v="$7.35B"/>
    <n v="7350000000"/>
    <n v="1938.93"/>
    <n v="-19.72"/>
    <n v="158867679"/>
    <d v="2022-10-07T00:00:00"/>
    <s v="Complete"/>
    <m/>
  </r>
  <r>
    <s v="gsains5n"/>
    <s v="guardian.co.uk"/>
    <s v="Gianina"/>
    <s v="Sains"/>
    <s v="Genderfluid"/>
    <s v="Other"/>
    <s v="157.222.146.147"/>
    <s v="37.121.147.75"/>
    <n v="204"/>
    <n v="204"/>
    <x v="1"/>
    <s v="FLOW"/>
    <x v="195"/>
    <x v="4"/>
    <s v="Industrial Machinery/Components"/>
    <s v="$1.64B"/>
    <n v="1640000000"/>
    <n v="685.09"/>
    <n v="-0.12"/>
    <n v="104718317"/>
    <d v="2021-05-17T00:00:00"/>
    <s v="Complete"/>
    <m/>
  </r>
  <r>
    <s v="hmcgready5o"/>
    <s v="examiner.com"/>
    <s v="Haley"/>
    <s v="McGready"/>
    <s v="Male"/>
    <s v="Male"/>
    <s v="171.120.250.155"/>
    <s v="39.229.87.62"/>
    <n v="205"/>
    <n v="205"/>
    <x v="0"/>
    <s v="HOLI"/>
    <x v="196"/>
    <x v="9"/>
    <s v="Industrial Machinery/Components"/>
    <s v="$1.04B"/>
    <n v="1040000000"/>
    <n v="1265.19"/>
    <n v="14.92"/>
    <n v="28399264"/>
    <d v="2025-05-18T00:00:00"/>
    <s v="Complete"/>
    <m/>
  </r>
  <r>
    <s v="klegat5p"/>
    <s v="virginia.edu"/>
    <s v="Koenraad"/>
    <s v="Legat"/>
    <s v="Male"/>
    <s v="Male"/>
    <s v="208.13.146.107"/>
    <s v="30.114.109.236"/>
    <n v="206"/>
    <n v="206"/>
    <x v="1"/>
    <s v="NNC"/>
    <x v="197"/>
    <x v="2"/>
    <s v="N/A"/>
    <s v="$220.34M"/>
    <n v="220340000"/>
    <n v="135.71"/>
    <n v="-8.69"/>
    <n v="174112700"/>
    <d v="2021-11-24T00:00:00"/>
    <s v="Missing"/>
    <m/>
  </r>
  <r>
    <s v="cmonte5q"/>
    <s v="salon.com"/>
    <s v="Clerissa"/>
    <s v="Monte"/>
    <s v="Female"/>
    <s v="Female"/>
    <s v="37.0.58.139"/>
    <s v="193.196.171.3"/>
    <n v="207"/>
    <n v="207"/>
    <x v="1"/>
    <s v="REXR^A"/>
    <x v="198"/>
    <x v="2"/>
    <s v="N/A"/>
    <s v="N/A"/>
    <n v="0"/>
    <n v="1055.17"/>
    <n v="-8.27"/>
    <n v="186629318"/>
    <d v="2022-07-31T00:00:00"/>
    <s v="Missing"/>
    <m/>
  </r>
  <r>
    <s v="cmaginn5r"/>
    <s v="oracle.com"/>
    <s v="Colin"/>
    <s v="Maginn"/>
    <s v="Male"/>
    <s v="Male"/>
    <s v="40.159.245.201"/>
    <s v="60.106.12.40"/>
    <n v="208"/>
    <n v="208"/>
    <x v="0"/>
    <s v="KINS"/>
    <x v="199"/>
    <x v="3"/>
    <s v="Property-Casualty Insurers"/>
    <s v="$166.26M"/>
    <n v="166260000"/>
    <n v="568.4"/>
    <n v="-17.09"/>
    <n v="120990808"/>
    <d v="2022-10-16T00:00:00"/>
    <s v="Complete"/>
    <m/>
  </r>
  <r>
    <s v="gblackley5s"/>
    <s v="biblegateway.com"/>
    <s v="Gertie"/>
    <s v="Blackley"/>
    <s v="Female"/>
    <s v="Female"/>
    <s v="121.105.204.91"/>
    <s v="214.215.170.64"/>
    <n v="209"/>
    <n v="209"/>
    <x v="1"/>
    <s v="TAL"/>
    <x v="200"/>
    <x v="6"/>
    <s v="Other Consumer Services"/>
    <s v="$9.56B"/>
    <n v="9560000000"/>
    <n v="750.03"/>
    <n v="-0.62"/>
    <n v="88680172"/>
    <d v="2024-05-03T00:00:00"/>
    <s v="Complete"/>
    <m/>
  </r>
  <r>
    <s v="lsaul5t"/>
    <s v="ca.gov"/>
    <s v="Lil"/>
    <s v="Saul"/>
    <s v="Female"/>
    <s v="Female"/>
    <s v="207.110.43.19"/>
    <s v="170.160.201.44"/>
    <n v="210"/>
    <n v="210"/>
    <x v="1"/>
    <s v="JPM.WS"/>
    <x v="55"/>
    <x v="2"/>
    <s v="N/A"/>
    <s v="N/A"/>
    <n v="0"/>
    <n v="752.44"/>
    <n v="-17.12"/>
    <n v="96196896"/>
    <d v="2024-10-22T00:00:00"/>
    <s v="Missing"/>
    <m/>
  </r>
  <r>
    <s v="bhorburgh5u"/>
    <s v="scientificamerican.com"/>
    <s v="Bone"/>
    <s v="Horburgh"/>
    <s v="Male"/>
    <s v="Male"/>
    <s v="73.199.213.149"/>
    <s v="98.197.206.203"/>
    <n v="211"/>
    <n v="211"/>
    <x v="0"/>
    <s v="CPST"/>
    <x v="201"/>
    <x v="9"/>
    <s v="Industrial Machinery/Components"/>
    <s v="$28.65M"/>
    <n v="28650000"/>
    <n v="1513.57"/>
    <n v="10.47"/>
    <n v="194146331"/>
    <d v="2024-07-23T00:00:00"/>
    <s v="Complete"/>
    <m/>
  </r>
  <r>
    <s v="mcoarser5v"/>
    <s v="google.ca"/>
    <s v="Marcellina"/>
    <s v="Coarser"/>
    <s v="Female"/>
    <s v="Female"/>
    <s v="13.134.82.33"/>
    <s v="197.231.141.99"/>
    <n v="212"/>
    <n v="212"/>
    <x v="0"/>
    <s v="HOTRW"/>
    <x v="202"/>
    <x v="6"/>
    <s v="Restaurants"/>
    <s v="N/A"/>
    <n v="0"/>
    <n v="725.23"/>
    <n v="5.74"/>
    <n v="104670967"/>
    <d v="2022-04-04T00:00:00"/>
    <s v="Missing"/>
    <m/>
  </r>
  <r>
    <s v="mhaughey5w"/>
    <s v="angelfire.com"/>
    <s v="Mathian"/>
    <s v="Haughey"/>
    <s v="Genderqueer"/>
    <s v="Other"/>
    <s v="161.55.211.252"/>
    <s v="32.150.228.117"/>
    <n v="213"/>
    <n v="213"/>
    <x v="0"/>
    <s v="SPKE"/>
    <x v="203"/>
    <x v="8"/>
    <s v="Power Generation"/>
    <s v="$806.93M"/>
    <n v="806930000"/>
    <n v="1589.43"/>
    <n v="2.86"/>
    <n v="173240675"/>
    <d v="2021-12-14T00:00:00"/>
    <s v="Complete"/>
    <m/>
  </r>
  <r>
    <s v="hwaller5x"/>
    <s v="washington.edu"/>
    <s v="Hillie"/>
    <s v="Waller"/>
    <s v="Male"/>
    <s v="Male"/>
    <s v="160.166.188.110"/>
    <s v="250.172.45.175"/>
    <n v="214"/>
    <n v="214"/>
    <x v="0"/>
    <s v="NCIT"/>
    <x v="204"/>
    <x v="4"/>
    <s v="EDP Services"/>
    <s v="$276.46M"/>
    <n v="276460000"/>
    <n v="293.08999999999997"/>
    <n v="-17.97"/>
    <n v="75958678"/>
    <d v="2024-03-29T00:00:00"/>
    <s v="Complete"/>
    <m/>
  </r>
  <r>
    <s v="gfoote5y"/>
    <s v="last.fm"/>
    <s v="Guglielmo"/>
    <s v="Foote"/>
    <s v="Male"/>
    <s v="Male"/>
    <s v="19.171.150.188"/>
    <s v="226.57.149.74"/>
    <n v="215"/>
    <n v="215"/>
    <x v="1"/>
    <s v="STE"/>
    <x v="205"/>
    <x v="0"/>
    <s v="Industrial Specialties"/>
    <s v="$6.96B"/>
    <n v="6960000000"/>
    <n v="609.86"/>
    <n v="-13.81"/>
    <n v="93821861"/>
    <d v="2022-08-29T00:00:00"/>
    <s v="Complete"/>
    <m/>
  </r>
  <r>
    <s v="sparris5z"/>
    <s v="vinaora.com"/>
    <s v="Starla"/>
    <s v="Parris"/>
    <s v="Female"/>
    <s v="Female"/>
    <s v="17.187.37.250"/>
    <s v="144.14.127.211"/>
    <n v="216"/>
    <n v="216"/>
    <x v="0"/>
    <s v="VIIZ"/>
    <x v="206"/>
    <x v="3"/>
    <s v="Investment Bankers/Brokers/Service"/>
    <s v="$1.14M"/>
    <n v="1140000"/>
    <n v="906.3"/>
    <n v="5.28"/>
    <n v="75092856"/>
    <d v="2026-11-04T00:00:00"/>
    <s v="Complete"/>
    <m/>
  </r>
  <r>
    <s v="tbrewin60"/>
    <s v="diigo.com"/>
    <s v="Tann"/>
    <s v="Brewin"/>
    <s v="Male"/>
    <s v="Male"/>
    <s v="68.204.229.240"/>
    <s v="241.253.52.142"/>
    <n v="217"/>
    <n v="217"/>
    <x v="1"/>
    <s v="LGF.A"/>
    <x v="207"/>
    <x v="2"/>
    <s v="N/A"/>
    <s v="N/A"/>
    <n v="0"/>
    <n v="380.45"/>
    <n v="2.44"/>
    <n v="11316900"/>
    <d v="2021-09-09T00:00:00"/>
    <s v="Missing"/>
    <m/>
  </r>
  <r>
    <s v="anitti61"/>
    <s v="earthlink.net"/>
    <s v="Adelina"/>
    <s v="Nitti"/>
    <s v="Female"/>
    <s v="Female"/>
    <s v="35.89.190.2"/>
    <s v="240.150.198.239"/>
    <n v="218"/>
    <n v="218"/>
    <x v="1"/>
    <s v="KEY"/>
    <x v="208"/>
    <x v="3"/>
    <s v="Major Banks"/>
    <s v="$20.32B"/>
    <n v="20320000000"/>
    <n v="1098.73"/>
    <n v="13.59"/>
    <n v="71904162"/>
    <d v="2022-08-15T00:00:00"/>
    <s v="Complete"/>
    <m/>
  </r>
  <r>
    <s v="cather62"/>
    <s v="hao123.com"/>
    <s v="Cele"/>
    <s v="Ather"/>
    <s v="Female"/>
    <s v="Female"/>
    <s v="62.171.223.17"/>
    <s v="35.110.127.5"/>
    <n v="219"/>
    <n v="219"/>
    <x v="1"/>
    <s v="BAK"/>
    <x v="209"/>
    <x v="10"/>
    <s v="Major Chemicals"/>
    <s v="$7.97B"/>
    <n v="7970000000"/>
    <n v="1385.27"/>
    <n v="-6.82"/>
    <n v="86721365"/>
    <d v="2022-09-20T00:00:00"/>
    <s v="Complete"/>
    <m/>
  </r>
  <r>
    <s v="jdinan63"/>
    <s v="amazon.com"/>
    <s v="Jerrome"/>
    <s v="Dinan"/>
    <s v="Male"/>
    <s v="Male"/>
    <s v="129.141.7.161"/>
    <s v="48.162.193.165"/>
    <n v="220"/>
    <n v="220"/>
    <x v="0"/>
    <s v="VIA"/>
    <x v="210"/>
    <x v="6"/>
    <s v="Television Services"/>
    <s v="$15.55B"/>
    <n v="15550000000"/>
    <n v="1715.81"/>
    <n v="-2.85"/>
    <n v="91894325"/>
    <d v="2025-02-18T00:00:00"/>
    <s v="Complete"/>
    <m/>
  </r>
  <r>
    <s v="sewles64"/>
    <s v="newsvine.com"/>
    <s v="Shoshana"/>
    <s v="Ewles"/>
    <s v="Female"/>
    <s v="Female"/>
    <s v="213.218.64.59"/>
    <s v="81.143.251.199"/>
    <n v="221"/>
    <n v="221"/>
    <x v="1"/>
    <s v="DST"/>
    <x v="211"/>
    <x v="4"/>
    <s v="EDP Services"/>
    <s v="$7.32B"/>
    <n v="7320000000"/>
    <n v="1990.49"/>
    <n v="-3.11"/>
    <n v="39680077"/>
    <d v="2021-08-21T00:00:00"/>
    <s v="Complete"/>
    <m/>
  </r>
  <r>
    <s v="kmaccosto65"/>
    <s v="howstuffworks.com"/>
    <s v="Koenraad"/>
    <s v="MacCosto"/>
    <s v="Male"/>
    <s v="Male"/>
    <s v="80.24.155.212"/>
    <s v="236.132.50.198"/>
    <n v="222"/>
    <n v="222"/>
    <x v="1"/>
    <s v="TCF^B"/>
    <x v="97"/>
    <x v="2"/>
    <s v="N/A"/>
    <s v="N/A"/>
    <n v="0"/>
    <n v="678.95"/>
    <n v="0.94"/>
    <n v="49785779"/>
    <d v="2020-05-08T00:00:00"/>
    <s v="Missing"/>
    <m/>
  </r>
  <r>
    <s v="msneesbie66"/>
    <s v="pbs.org"/>
    <s v="Marylee"/>
    <s v="Sneesbie"/>
    <s v="Female"/>
    <s v="Female"/>
    <s v="230.121.177.203"/>
    <s v="216.104.142.52"/>
    <n v="223"/>
    <n v="223"/>
    <x v="0"/>
    <s v="TANNL"/>
    <x v="40"/>
    <x v="11"/>
    <s v="Automotive Aftermarket"/>
    <s v="N/A"/>
    <n v="0"/>
    <n v="1701.73"/>
    <n v="-15.48"/>
    <n v="115255728"/>
    <d v="2025-11-09T00:00:00"/>
    <s v="Missing"/>
    <m/>
  </r>
  <r>
    <s v="edecaze67"/>
    <s v="sogou.com"/>
    <s v="Ebony"/>
    <s v="Decaze"/>
    <s v="Female"/>
    <s v="Female"/>
    <s v="241.5.148.184"/>
    <s v="40.192.48.6"/>
    <n v="224"/>
    <n v="224"/>
    <x v="0"/>
    <s v="AMCN"/>
    <x v="212"/>
    <x v="4"/>
    <s v="Advertising"/>
    <s v="$95.78M"/>
    <n v="95780000"/>
    <n v="1439.11"/>
    <n v="4.21"/>
    <n v="93460219"/>
    <d v="2021-03-31T00:00:00"/>
    <s v="Complete"/>
    <m/>
  </r>
  <r>
    <s v="jdauncey68"/>
    <s v="mysql.com"/>
    <s v="Jory"/>
    <s v="Dauncey"/>
    <s v="Male"/>
    <s v="Male"/>
    <s v="125.218.171.82"/>
    <s v="46.235.52.236"/>
    <n v="225"/>
    <n v="225"/>
    <x v="0"/>
    <s v="NTNX"/>
    <x v="213"/>
    <x v="4"/>
    <s v="Computer Software: Prepackaged Software"/>
    <s v="$2.68B"/>
    <n v="2680000000"/>
    <n v="639.75"/>
    <n v="-10.32"/>
    <n v="126998874"/>
    <d v="2023-10-29T00:00:00"/>
    <s v="Complete"/>
    <m/>
  </r>
  <r>
    <s v="bgylle69"/>
    <s v="house.gov"/>
    <s v="Briana"/>
    <s v="Gylle"/>
    <s v="Female"/>
    <s v="Female"/>
    <s v="87.76.36.125"/>
    <s v="212.86.231.117"/>
    <n v="226"/>
    <n v="226"/>
    <x v="0"/>
    <s v="BSTG"/>
    <x v="214"/>
    <x v="0"/>
    <s v="Medical/Dental Instruments"/>
    <s v="$12.03M"/>
    <n v="12030000"/>
    <n v="74.099999999999994"/>
    <n v="16.36"/>
    <n v="33732261"/>
    <d v="2021-04-29T00:00:00"/>
    <s v="Complete"/>
    <m/>
  </r>
  <r>
    <s v="hkuhle6a"/>
    <s v="walmart.com"/>
    <s v="Hyacintha"/>
    <s v="Kuhle"/>
    <s v="Female"/>
    <s v="Female"/>
    <s v="158.167.0.121"/>
    <s v="182.9.83.111"/>
    <n v="227"/>
    <n v="227"/>
    <x v="0"/>
    <s v="FRBA"/>
    <x v="215"/>
    <x v="2"/>
    <s v="N/A"/>
    <s v="$137.6M"/>
    <n v="137600000"/>
    <n v="339.58"/>
    <n v="15.87"/>
    <n v="15801277"/>
    <d v="2021-03-25T00:00:00"/>
    <s v="Missing"/>
    <m/>
  </r>
  <r>
    <s v="rpetigrew6b"/>
    <s v="arstechnica.com"/>
    <s v="Rustie"/>
    <s v="Petigrew"/>
    <s v="Male"/>
    <s v="Male"/>
    <s v="54.59.11.21"/>
    <s v="203.133.236.240"/>
    <n v="228"/>
    <n v="228"/>
    <x v="1"/>
    <s v="SCM"/>
    <x v="216"/>
    <x v="2"/>
    <s v="N/A"/>
    <s v="$213.68M"/>
    <n v="213680000"/>
    <n v="1816.91"/>
    <n v="9.16"/>
    <n v="188828416"/>
    <d v="2020-12-07T00:00:00"/>
    <s v="Missing"/>
    <m/>
  </r>
  <r>
    <s v="tvolant6c"/>
    <s v="quantcast.com"/>
    <s v="Torey"/>
    <s v="Volant"/>
    <s v="Female"/>
    <s v="Female"/>
    <s v="215.220.238.216"/>
    <s v="36.71.33.248"/>
    <n v="229"/>
    <n v="229"/>
    <x v="1"/>
    <s v="PSA^Z"/>
    <x v="132"/>
    <x v="2"/>
    <s v="N/A"/>
    <s v="N/A"/>
    <n v="0"/>
    <n v="1512.34"/>
    <n v="-14.47"/>
    <n v="132689098"/>
    <d v="2023-03-05T00:00:00"/>
    <s v="Missing"/>
    <m/>
  </r>
  <r>
    <s v="ajezzard6d"/>
    <s v="artisteer.com"/>
    <s v="Antony"/>
    <s v="Jezzard"/>
    <s v="Male"/>
    <s v="Male"/>
    <s v="85.201.185.243"/>
    <s v="66.225.207.129"/>
    <n v="230"/>
    <n v="230"/>
    <x v="1"/>
    <s v="EEA"/>
    <x v="217"/>
    <x v="2"/>
    <s v="N/A"/>
    <s v="$75.98M"/>
    <n v="75980000"/>
    <n v="516.26"/>
    <n v="-4.34"/>
    <n v="194945150"/>
    <d v="2021-07-30T00:00:00"/>
    <s v="Missing"/>
    <m/>
  </r>
  <r>
    <s v="wwhyke6e"/>
    <s v="t.co"/>
    <s v="Wilona"/>
    <s v="Whyke"/>
    <s v="Genderqueer"/>
    <s v="Other"/>
    <s v="206.230.157.64"/>
    <s v="134.171.74.186"/>
    <n v="231"/>
    <n v="231"/>
    <x v="0"/>
    <s v="QBAK"/>
    <x v="218"/>
    <x v="4"/>
    <s v="Electronic Components"/>
    <s v="$11.21M"/>
    <n v="11210000"/>
    <n v="1897.14"/>
    <n v="-19.93"/>
    <n v="44436998"/>
    <d v="2022-01-10T00:00:00"/>
    <s v="Complete"/>
    <m/>
  </r>
  <r>
    <s v="pconnah6f"/>
    <s v="g.co"/>
    <s v="Paloma"/>
    <s v="Connah"/>
    <s v="Female"/>
    <s v="Female"/>
    <s v="150.1.230.85"/>
    <s v="199.149.116.226"/>
    <n v="232"/>
    <n v="232"/>
    <x v="1"/>
    <s v="MN"/>
    <x v="219"/>
    <x v="3"/>
    <s v="Investment Managers"/>
    <s v="$63.23M"/>
    <n v="63230000"/>
    <n v="1605.73"/>
    <n v="-7.38"/>
    <n v="132693108"/>
    <d v="2026-07-11T00:00:00"/>
    <s v="Complete"/>
    <m/>
  </r>
  <r>
    <s v="iflowitt6g"/>
    <s v="bloomberg.com"/>
    <s v="Ignaz"/>
    <s v="Flowitt"/>
    <s v="Male"/>
    <s v="Male"/>
    <s v="103.206.162.188"/>
    <s v="92.153.241.24"/>
    <n v="233"/>
    <n v="233"/>
    <x v="0"/>
    <s v="PMD"/>
    <x v="220"/>
    <x v="0"/>
    <s v="Medical Specialities"/>
    <s v="$118.92M"/>
    <n v="118920000"/>
    <n v="942.14"/>
    <n v="-9.36"/>
    <n v="147992187"/>
    <d v="2022-12-29T00:00:00"/>
    <s v="Complete"/>
    <m/>
  </r>
  <r>
    <s v="gwetter6h"/>
    <s v="123-reg.co.uk"/>
    <s v="Germayne"/>
    <s v="Wetter"/>
    <s v="Male"/>
    <s v="Male"/>
    <s v="14.123.138.116"/>
    <s v="78.122.225.191"/>
    <n v="234"/>
    <n v="234"/>
    <x v="0"/>
    <s v="APOP"/>
    <x v="221"/>
    <x v="2"/>
    <s v="N/A"/>
    <s v="$43.5M"/>
    <n v="43500000"/>
    <n v="631.92999999999995"/>
    <n v="4.54"/>
    <n v="66861912"/>
    <d v="2026-12-11T00:00:00"/>
    <s v="Missing"/>
    <m/>
  </r>
  <r>
    <s v="scobson6i"/>
    <s v="hibu.com"/>
    <s v="Sherlocke"/>
    <s v="Cobson"/>
    <s v="Male"/>
    <s v="Male"/>
    <s v="223.170.98.134"/>
    <s v="202.12.175.1"/>
    <n v="235"/>
    <n v="235"/>
    <x v="0"/>
    <s v="ABTX"/>
    <x v="222"/>
    <x v="3"/>
    <s v="Major Banks"/>
    <s v="$514.79M"/>
    <n v="514789999.99999994"/>
    <n v="505.17"/>
    <n v="-0.54"/>
    <n v="131988946"/>
    <d v="2020-10-18T00:00:00"/>
    <s v="Complete"/>
    <m/>
  </r>
  <r>
    <s v="availlant6j"/>
    <s v="smh.com.au"/>
    <s v="Alta"/>
    <s v="Vaillant"/>
    <s v="Female"/>
    <s v="Female"/>
    <s v="82.36.114.163"/>
    <s v="159.218.146.182"/>
    <n v="236"/>
    <n v="236"/>
    <x v="1"/>
    <s v="CIG"/>
    <x v="223"/>
    <x v="8"/>
    <s v="Electric Utilities: Central"/>
    <s v="$2.9B"/>
    <n v="2900000000"/>
    <n v="530.78"/>
    <n v="-15.91"/>
    <n v="74517302"/>
    <d v="2024-04-24T00:00:00"/>
    <s v="Complete"/>
    <m/>
  </r>
  <r>
    <s v="gpicott6k"/>
    <s v="hc360.com"/>
    <s v="Gerri"/>
    <s v="Picott"/>
    <s v="Male"/>
    <s v="Male"/>
    <s v="83.231.252.98"/>
    <s v="195.216.199.226"/>
    <n v="237"/>
    <n v="237"/>
    <x v="0"/>
    <s v="TENX"/>
    <x v="224"/>
    <x v="0"/>
    <s v="Biotechnology: Commercial Physical &amp; Biological Resarch"/>
    <s v="$14.89M"/>
    <n v="14890000"/>
    <n v="1927.7"/>
    <n v="0.89"/>
    <n v="82217388"/>
    <d v="2020-07-12T00:00:00"/>
    <s v="Complete"/>
    <m/>
  </r>
  <r>
    <s v="prubanenko6l"/>
    <s v="mit.edu"/>
    <s v="Papageno"/>
    <s v="Rubanenko"/>
    <s v="Male"/>
    <s v="Male"/>
    <s v="244.100.223.115"/>
    <s v="158.136.120.42"/>
    <n v="238"/>
    <n v="238"/>
    <x v="0"/>
    <s v="CHKP"/>
    <x v="225"/>
    <x v="4"/>
    <s v="Computer Software: Prepackaged Software"/>
    <s v="$18.26B"/>
    <n v="18260000000"/>
    <n v="1546.37"/>
    <n v="14.4"/>
    <n v="171784911"/>
    <d v="2025-06-12T00:00:00"/>
    <s v="Complete"/>
    <m/>
  </r>
  <r>
    <s v="svonsalzberg6m"/>
    <s v="dion.ne.jp"/>
    <s v="Sam"/>
    <s v="Von Salzberg"/>
    <s v="Female"/>
    <s v="Female"/>
    <s v="172.61.183.113"/>
    <s v="20.218.215.99"/>
    <n v="239"/>
    <n v="239"/>
    <x v="0"/>
    <s v="BJRI"/>
    <x v="226"/>
    <x v="6"/>
    <s v="Restaurants"/>
    <s v="$834.31M"/>
    <n v="834310000"/>
    <n v="1872.68"/>
    <n v="-13.81"/>
    <n v="159454011"/>
    <d v="2023-12-18T00:00:00"/>
    <s v="Complete"/>
    <m/>
  </r>
  <r>
    <s v="vzanassi6n"/>
    <s v="nhs.uk"/>
    <s v="Vicky"/>
    <s v="Zanassi"/>
    <s v="Female"/>
    <s v="Female"/>
    <s v="249.8.150.221"/>
    <s v="124.150.223.151"/>
    <n v="240"/>
    <n v="240"/>
    <x v="0"/>
    <s v="PRGS"/>
    <x v="227"/>
    <x v="4"/>
    <s v="Computer Software: Prepackaged Software"/>
    <s v="$1.41B"/>
    <n v="1410000000"/>
    <n v="1790.46"/>
    <n v="-6.82"/>
    <n v="148541591"/>
    <d v="2023-09-30T00:00:00"/>
    <s v="Complete"/>
    <m/>
  </r>
  <r>
    <s v="aembleton6o"/>
    <s v="foxnews.com"/>
    <s v="Aldridge"/>
    <s v="Embleton"/>
    <s v="Male"/>
    <s v="Male"/>
    <s v="0.198.252.127"/>
    <s v="149.28.169.238"/>
    <n v="241"/>
    <n v="241"/>
    <x v="0"/>
    <s v="QURE"/>
    <x v="228"/>
    <x v="0"/>
    <s v="Major Pharmaceuticals"/>
    <s v="$127.38M"/>
    <n v="127380000"/>
    <n v="817.08"/>
    <n v="-11.46"/>
    <n v="161408576"/>
    <d v="2026-12-18T00:00:00"/>
    <s v="Complete"/>
    <m/>
  </r>
  <r>
    <s v="hmccoll6p"/>
    <s v="ebay.co.uk"/>
    <s v="Hermina"/>
    <s v="McColl"/>
    <s v="Female"/>
    <s v="Female"/>
    <s v="188.227.224.70"/>
    <s v="218.157.40.123"/>
    <n v="242"/>
    <n v="242"/>
    <x v="0"/>
    <s v="DLTR"/>
    <x v="229"/>
    <x v="6"/>
    <s v="Department/Specialty Retail Stores"/>
    <s v="$16.58B"/>
    <n v="16579999999.999998"/>
    <n v="1991.59"/>
    <n v="19.239999999999998"/>
    <n v="85510570"/>
    <d v="2023-11-06T00:00:00"/>
    <s v="Complete"/>
    <m/>
  </r>
  <r>
    <s v="gscotson6q"/>
    <s v="mashable.com"/>
    <s v="Gavin"/>
    <s v="Scotson"/>
    <s v="Male"/>
    <s v="Male"/>
    <s v="140.255.221.176"/>
    <s v="168.134.154.51"/>
    <n v="243"/>
    <n v="243"/>
    <x v="0"/>
    <s v="QSII"/>
    <x v="230"/>
    <x v="4"/>
    <s v="EDP Services"/>
    <s v="$1.07B"/>
    <n v="1070000000.0000001"/>
    <n v="46.44"/>
    <n v="-2.74"/>
    <n v="174637528"/>
    <d v="2023-10-17T00:00:00"/>
    <s v="Complete"/>
    <m/>
  </r>
  <r>
    <s v="gperfect6r"/>
    <s v="army.mil"/>
    <s v="Gabriellia"/>
    <s v="Perfect"/>
    <s v="Female"/>
    <s v="Female"/>
    <s v="22.215.8.5"/>
    <s v="15.63.247.166"/>
    <n v="244"/>
    <n v="244"/>
    <x v="0"/>
    <s v="FFBC"/>
    <x v="231"/>
    <x v="3"/>
    <s v="Major Banks"/>
    <s v="$1.7B"/>
    <n v="1700000000"/>
    <n v="582.65"/>
    <n v="4.54"/>
    <n v="120542934"/>
    <d v="2026-06-13T00:00:00"/>
    <s v="Complete"/>
    <m/>
  </r>
  <r>
    <s v="djuett6s"/>
    <s v="shareasale.com"/>
    <s v="Darya"/>
    <s v="Juett"/>
    <s v="Female"/>
    <s v="Female"/>
    <s v="66.7.49.117"/>
    <s v="35.105.100.6"/>
    <n v="245"/>
    <n v="245"/>
    <x v="0"/>
    <s v="OHGI"/>
    <x v="232"/>
    <x v="8"/>
    <s v="Telecommunications Equipment"/>
    <s v="$5.79M"/>
    <n v="5790000"/>
    <n v="1485.9"/>
    <n v="15.63"/>
    <n v="38195132"/>
    <d v="2020-01-24T00:00:00"/>
    <s v="Complete"/>
    <m/>
  </r>
  <r>
    <s v="acharlton6t"/>
    <s v="earthlink.net"/>
    <s v="Arline"/>
    <s v="Charlton"/>
    <s v="Female"/>
    <s v="Female"/>
    <s v="156.73.254.8"/>
    <s v="12.170.110.162"/>
    <n v="246"/>
    <n v="246"/>
    <x v="0"/>
    <s v="TORM          "/>
    <x v="233"/>
    <x v="10"/>
    <s v="Major Chemicals"/>
    <s v="$26.92M"/>
    <n v="26920000"/>
    <n v="218.89"/>
    <n v="-9.69"/>
    <n v="146861788"/>
    <d v="2022-09-19T00:00:00"/>
    <s v="Complete"/>
    <m/>
  </r>
  <r>
    <s v="wmcilrath6u"/>
    <s v="disqus.com"/>
    <s v="Wynny"/>
    <s v="McIlrath"/>
    <s v="Female"/>
    <s v="Female"/>
    <s v="2.124.23.162"/>
    <s v="179.194.117.200"/>
    <n v="247"/>
    <n v="247"/>
    <x v="0"/>
    <s v="EDUC"/>
    <x v="234"/>
    <x v="11"/>
    <s v="Consumer Specialties"/>
    <s v="$42.15M"/>
    <n v="42150000"/>
    <n v="1019.85"/>
    <n v="-15.03"/>
    <n v="174041138"/>
    <d v="2025-01-15T00:00:00"/>
    <s v="Complete"/>
    <m/>
  </r>
  <r>
    <s v="tclines6v"/>
    <s v="weibo.com"/>
    <s v="Thorstein"/>
    <s v="Clines"/>
    <s v="Male"/>
    <s v="Male"/>
    <s v="20.223.23.213"/>
    <s v="62.61.107.214"/>
    <n v="248"/>
    <n v="248"/>
    <x v="1"/>
    <s v="ANTX"/>
    <x v="235"/>
    <x v="0"/>
    <s v="Medical Specialities"/>
    <s v="$13.93B"/>
    <n v="13930000000"/>
    <n v="837.72"/>
    <n v="-8.6"/>
    <n v="104148590"/>
    <d v="2020-06-27T00:00:00"/>
    <s v="Complete"/>
    <m/>
  </r>
  <r>
    <s v="jellingworth6w"/>
    <s v="ask.com"/>
    <s v="Jaime"/>
    <s v="Ellingworth"/>
    <s v="Male"/>
    <s v="Male"/>
    <s v="190.154.43.78"/>
    <s v="122.116.26.67"/>
    <n v="249"/>
    <n v="249"/>
    <x v="1"/>
    <s v="CIE"/>
    <x v="236"/>
    <x v="9"/>
    <s v="Oil &amp; Gas Production"/>
    <s v="$93.34M"/>
    <n v="93340000"/>
    <n v="912.7"/>
    <n v="-17.18"/>
    <n v="182719655"/>
    <d v="2026-02-11T00:00:00"/>
    <s v="Complete"/>
    <m/>
  </r>
  <r>
    <s v="gbidgood6x"/>
    <s v="homestead.com"/>
    <s v="Gabriell"/>
    <s v="Bidgood"/>
    <s v="Female"/>
    <s v="Female"/>
    <s v="222.169.44.37"/>
    <s v="228.185.184.196"/>
    <n v="250"/>
    <n v="250"/>
    <x v="1"/>
    <s v="RFP"/>
    <x v="237"/>
    <x v="10"/>
    <s v="Paper"/>
    <s v="$413.36M"/>
    <n v="413360000"/>
    <n v="536.12"/>
    <n v="-16.02"/>
    <n v="92757153"/>
    <d v="2024-08-25T00:00:00"/>
    <s v="Complete"/>
    <m/>
  </r>
  <r>
    <s v="cfeldhuhn6y"/>
    <s v="vistaprint.com"/>
    <s v="Cristabel"/>
    <s v="Feldhuhn"/>
    <s v="Female"/>
    <s v="Female"/>
    <s v="151.187.97.128"/>
    <s v="41.26.149.101"/>
    <n v="251"/>
    <n v="251"/>
    <x v="1"/>
    <s v="DRH"/>
    <x v="238"/>
    <x v="6"/>
    <s v="Real Estate Investment Trusts"/>
    <s v="$2.32B"/>
    <n v="2320000000"/>
    <n v="262.27999999999997"/>
    <n v="-1.78"/>
    <n v="45452202"/>
    <d v="2021-07-23T00:00:00"/>
    <s v="Complete"/>
    <m/>
  </r>
  <r>
    <s v="dmacafee6z"/>
    <s v="spotify.com"/>
    <s v="Delmar"/>
    <s v="MacAfee"/>
    <s v="Male"/>
    <s v="Male"/>
    <s v="193.230.254.19"/>
    <s v="97.157.15.55"/>
    <n v="252"/>
    <n v="252"/>
    <x v="0"/>
    <s v="FV"/>
    <x v="239"/>
    <x v="2"/>
    <s v="N/A"/>
    <s v="$2.46B"/>
    <n v="2460000000"/>
    <n v="1518.74"/>
    <n v="17.32"/>
    <n v="98631988"/>
    <d v="2022-11-24T00:00:00"/>
    <s v="Missing"/>
    <m/>
  </r>
  <r>
    <s v="jtrevaskiss70"/>
    <s v="slideshare.net"/>
    <s v="Jonell"/>
    <s v="Trevaskiss"/>
    <s v="Female"/>
    <s v="Female"/>
    <s v="167.47.52.59"/>
    <s v="45.122.54.108"/>
    <n v="253"/>
    <n v="253"/>
    <x v="0"/>
    <s v="CTRV"/>
    <x v="240"/>
    <x v="0"/>
    <s v="Major Pharmaceuticals"/>
    <s v="$47.48M"/>
    <n v="47480000"/>
    <n v="1553.75"/>
    <n v="-4.25"/>
    <n v="184307504"/>
    <d v="2023-04-03T00:00:00"/>
    <s v="Complete"/>
    <m/>
  </r>
  <r>
    <s v="athonger71"/>
    <s v="ucoz.com"/>
    <s v="August"/>
    <s v="Thonger"/>
    <s v="Bigender"/>
    <s v="Other"/>
    <s v="64.221.94.138"/>
    <s v="24.251.92.224"/>
    <n v="254"/>
    <n v="254"/>
    <x v="1"/>
    <s v="MYN"/>
    <x v="241"/>
    <x v="2"/>
    <s v="N/A"/>
    <s v="$520.17M"/>
    <n v="520169999.99999994"/>
    <n v="1823.97"/>
    <n v="-3.02"/>
    <n v="55587553"/>
    <d v="2025-07-21T00:00:00"/>
    <s v="Missing"/>
    <m/>
  </r>
  <r>
    <s v="tmulcahy72"/>
    <s v="elegantthemes.com"/>
    <s v="Tybie"/>
    <s v="Mulcahy"/>
    <s v="Female"/>
    <s v="Female"/>
    <s v="162.237.62.156"/>
    <s v="201.1.91.166"/>
    <n v="255"/>
    <n v="255"/>
    <x v="1"/>
    <s v="CRY"/>
    <x v="242"/>
    <x v="0"/>
    <s v="Medical/Dental Instruments"/>
    <s v="$615.32M"/>
    <n v="615320000"/>
    <n v="1343.1"/>
    <n v="-17.8"/>
    <n v="6639748"/>
    <d v="2025-01-29T00:00:00"/>
    <s v="Complete"/>
    <m/>
  </r>
  <r>
    <s v="sbaxstare73"/>
    <s v="deviantart.com"/>
    <s v="Susan"/>
    <s v="Baxstare"/>
    <s v="Female"/>
    <s v="Female"/>
    <s v="198.137.131.54"/>
    <s v="242.49.136.127"/>
    <n v="256"/>
    <n v="256"/>
    <x v="0"/>
    <s v="MILN"/>
    <x v="243"/>
    <x v="2"/>
    <s v="N/A"/>
    <s v="$4.36M"/>
    <n v="4360000"/>
    <n v="1263.3599999999999"/>
    <n v="9.81"/>
    <n v="108076447"/>
    <d v="2023-10-29T00:00:00"/>
    <s v="Missing"/>
    <m/>
  </r>
  <r>
    <s v="clemarquand74"/>
    <s v="auda.org.au"/>
    <s v="Claiborn"/>
    <s v="Le Marquand"/>
    <s v="Male"/>
    <s v="Male"/>
    <s v="19.182.130.205"/>
    <s v="75.71.187.160"/>
    <n v="257"/>
    <n v="257"/>
    <x v="0"/>
    <s v="UBSI"/>
    <x v="244"/>
    <x v="3"/>
    <s v="Major Banks"/>
    <s v="$4.19B"/>
    <n v="4190000000.0000005"/>
    <n v="203.6"/>
    <n v="12.88"/>
    <n v="82434591"/>
    <d v="2020-08-21T00:00:00"/>
    <s v="Complete"/>
    <m/>
  </r>
  <r>
    <s v="wwassung75"/>
    <s v="dion.ne.jp"/>
    <s v="Wilt"/>
    <s v="Wassung"/>
    <s v="Male"/>
    <s v="Male"/>
    <s v="106.237.6.80"/>
    <s v="69.147.247.137"/>
    <n v="258"/>
    <n v="258"/>
    <x v="0"/>
    <s v="PSEC"/>
    <x v="245"/>
    <x v="2"/>
    <s v="N/A"/>
    <s v="$2.9B"/>
    <n v="2900000000"/>
    <n v="144.69"/>
    <n v="-18.739999999999998"/>
    <n v="100626837"/>
    <d v="2023-12-16T00:00:00"/>
    <s v="Missing"/>
    <m/>
  </r>
  <r>
    <s v="lbirchenhead76"/>
    <s v="surveymonkey.com"/>
    <s v="Lorrie"/>
    <s v="Birchenhead"/>
    <s v="Male"/>
    <s v="Male"/>
    <s v="14.110.203.101"/>
    <s v="130.67.159.182"/>
    <n v="259"/>
    <n v="259"/>
    <x v="1"/>
    <s v="GGZ^A"/>
    <x v="246"/>
    <x v="2"/>
    <s v="N/A"/>
    <s v="N/A"/>
    <n v="0"/>
    <n v="991.75"/>
    <n v="3.38"/>
    <n v="171282765"/>
    <d v="2020-11-29T00:00:00"/>
    <s v="Missing"/>
    <m/>
  </r>
  <r>
    <s v="vteck77"/>
    <s v="about.com"/>
    <s v="Vite"/>
    <s v="Teck"/>
    <s v="Male"/>
    <s v="Male"/>
    <s v="15.215.149.226"/>
    <s v="100.185.169.178"/>
    <n v="260"/>
    <n v="260"/>
    <x v="1"/>
    <s v="GCP"/>
    <x v="247"/>
    <x v="10"/>
    <s v="Major Chemicals"/>
    <s v="$2.17B"/>
    <n v="2170000000"/>
    <n v="1733.9"/>
    <n v="-17.03"/>
    <n v="156705733"/>
    <d v="2021-04-13T00:00:00"/>
    <s v="Complete"/>
    <m/>
  </r>
  <r>
    <s v="fkunath78"/>
    <s v="123-reg.co.uk"/>
    <s v="Fabien"/>
    <s v="Kunath"/>
    <s v="Male"/>
    <s v="Male"/>
    <s v="166.167.253.140"/>
    <s v="48.136.158.0"/>
    <n v="261"/>
    <n v="261"/>
    <x v="0"/>
    <s v="TBK"/>
    <x v="248"/>
    <x v="3"/>
    <s v="Major Banks"/>
    <s v="$428.18M"/>
    <n v="428180000"/>
    <n v="447.38"/>
    <n v="-5.56"/>
    <n v="50746186"/>
    <d v="2022-11-09T00:00:00"/>
    <s v="Complete"/>
    <m/>
  </r>
  <r>
    <s v="kgladdor79"/>
    <s v="hugedomains.com"/>
    <s v="Kara"/>
    <s v="Gladdor"/>
    <s v="Female"/>
    <s v="Female"/>
    <s v="221.227.167.94"/>
    <s v="224.116.187.185"/>
    <n v="262"/>
    <n v="262"/>
    <x v="0"/>
    <s v="TRST"/>
    <x v="249"/>
    <x v="3"/>
    <s v="Major Banks"/>
    <s v="$748.78M"/>
    <n v="748780000"/>
    <n v="1042.3499999999999"/>
    <n v="3.11"/>
    <n v="116251693"/>
    <d v="2025-04-24T00:00:00"/>
    <s v="Complete"/>
    <m/>
  </r>
  <r>
    <s v="agardiner7a"/>
    <s v="vimeo.com"/>
    <s v="Aloysius"/>
    <s v="Gardiner"/>
    <s v="Male"/>
    <s v="Male"/>
    <s v="26.112.223.2"/>
    <s v="201.138.23.190"/>
    <n v="263"/>
    <n v="263"/>
    <x v="1"/>
    <s v="TYG"/>
    <x v="250"/>
    <x v="2"/>
    <s v="N/A"/>
    <s v="$1.41B"/>
    <n v="1410000000"/>
    <n v="623.16"/>
    <n v="-13.18"/>
    <n v="112196206"/>
    <d v="2021-11-27T00:00:00"/>
    <s v="Missing"/>
    <m/>
  </r>
  <r>
    <s v="relcomb7b"/>
    <s v="example.com"/>
    <s v="Rosco"/>
    <s v="Elcomb"/>
    <s v="Male"/>
    <s v="Male"/>
    <s v="127.101.115.72"/>
    <s v="242.189.227.88"/>
    <n v="264"/>
    <n v="264"/>
    <x v="0"/>
    <s v="RFEU"/>
    <x v="251"/>
    <x v="2"/>
    <s v="N/A"/>
    <s v="$52.66M"/>
    <n v="52660000"/>
    <n v="197.47"/>
    <n v="14.18"/>
    <n v="5700009"/>
    <d v="2023-01-20T00:00:00"/>
    <s v="Missing"/>
    <m/>
  </r>
  <r>
    <s v="msiman7c"/>
    <s v="yahoo.co.jp"/>
    <s v="Morty"/>
    <s v="Siman"/>
    <s v="Male"/>
    <s v="Male"/>
    <s v="73.108.91.121"/>
    <s v="3.3.93.80"/>
    <n v="265"/>
    <n v="265"/>
    <x v="0"/>
    <s v="CRAY"/>
    <x v="252"/>
    <x v="4"/>
    <s v="Computer Manufacturing"/>
    <s v="$737.25M"/>
    <n v="737250000"/>
    <n v="1082.47"/>
    <n v="-4.95"/>
    <n v="2710651"/>
    <d v="2021-01-29T00:00:00"/>
    <s v="Complete"/>
    <m/>
  </r>
  <r>
    <s v="kcroster7d"/>
    <s v="yolasite.com"/>
    <s v="Kristofor"/>
    <s v="Croster"/>
    <s v="Male"/>
    <s v="Male"/>
    <s v="213.64.124.172"/>
    <s v="211.204.88.231"/>
    <n v="266"/>
    <n v="266"/>
    <x v="1"/>
    <s v="DEL"/>
    <x v="253"/>
    <x v="10"/>
    <s v="Forest Products"/>
    <s v="$883.38M"/>
    <n v="883380000"/>
    <n v="700.51"/>
    <n v="14.55"/>
    <n v="140002175"/>
    <d v="2021-02-12T00:00:00"/>
    <s v="Complete"/>
    <m/>
  </r>
  <r>
    <s v="gbrundill7e"/>
    <s v="list-manage.com"/>
    <s v="Gertrudis"/>
    <s v="Brundill"/>
    <s v="Female"/>
    <s v="Female"/>
    <s v="224.160.221.156"/>
    <s v="77.72.131.211"/>
    <n v="267"/>
    <n v="267"/>
    <x v="0"/>
    <s v="INVE"/>
    <x v="254"/>
    <x v="4"/>
    <s v="Computer peripheral equipment"/>
    <s v="$59.21M"/>
    <n v="59210000"/>
    <n v="1892.56"/>
    <n v="-17.21"/>
    <n v="78185362"/>
    <d v="2023-01-16T00:00:00"/>
    <s v="Complete"/>
    <m/>
  </r>
  <r>
    <s v="tridges7f"/>
    <s v="cam.ac.uk"/>
    <s v="Tripp"/>
    <s v="Ridges"/>
    <s v="Male"/>
    <s v="Male"/>
    <s v="190.22.242.251"/>
    <s v="27.20.158.49"/>
    <n v="268"/>
    <n v="268"/>
    <x v="0"/>
    <s v="FGBI"/>
    <x v="255"/>
    <x v="3"/>
    <s v="Savings Institutions"/>
    <s v="$203.62M"/>
    <n v="203620000"/>
    <n v="365.59"/>
    <n v="13.99"/>
    <n v="156201417"/>
    <d v="2023-02-26T00:00:00"/>
    <s v="Complete"/>
    <m/>
  </r>
  <r>
    <s v="rburgoin7g"/>
    <s v="friendfeed.com"/>
    <s v="Rooney"/>
    <s v="Burgoin"/>
    <s v="Male"/>
    <s v="Male"/>
    <s v="20.101.88.23"/>
    <s v="35.217.219.10"/>
    <n v="269"/>
    <n v="269"/>
    <x v="0"/>
    <s v="SBRAP"/>
    <x v="256"/>
    <x v="6"/>
    <s v="Real Estate Investment Trusts"/>
    <s v="$146.63M"/>
    <n v="146630000"/>
    <n v="792.89"/>
    <n v="-1.48"/>
    <n v="104024539"/>
    <d v="2020-09-20T00:00:00"/>
    <s v="Complete"/>
    <m/>
  </r>
  <r>
    <s v="ncartmail7h"/>
    <s v="latimes.com"/>
    <s v="Niels"/>
    <s v="Cartmail"/>
    <s v="Male"/>
    <s v="Male"/>
    <s v="46.70.48.193"/>
    <s v="99.215.184.136"/>
    <n v="270"/>
    <n v="270"/>
    <x v="1"/>
    <s v="DSX^B"/>
    <x v="257"/>
    <x v="2"/>
    <s v="N/A"/>
    <s v="N/A"/>
    <n v="0"/>
    <n v="50.98"/>
    <n v="0.99"/>
    <n v="91378044"/>
    <d v="2020-05-13T00:00:00"/>
    <s v="Missing"/>
    <m/>
  </r>
  <r>
    <s v="rgardner7i"/>
    <s v="phoca.cz"/>
    <s v="Ram"/>
    <s v="Gardner"/>
    <s v="Male"/>
    <s v="Male"/>
    <s v="139.72.127.32"/>
    <s v="163.177.242.13"/>
    <n v="271"/>
    <n v="271"/>
    <x v="0"/>
    <s v="RAND"/>
    <x v="258"/>
    <x v="2"/>
    <s v="N/A"/>
    <s v="$17.83M"/>
    <n v="17830000"/>
    <n v="756.26"/>
    <n v="19.34"/>
    <n v="82882106"/>
    <d v="2024-08-19T00:00:00"/>
    <s v="Missing"/>
    <m/>
  </r>
  <r>
    <s v="gritelli7j"/>
    <s v="live.com"/>
    <s v="Gabbie"/>
    <s v="Ritelli"/>
    <s v="Male"/>
    <s v="Male"/>
    <s v="233.81.218.150"/>
    <s v="112.146.217.171"/>
    <n v="272"/>
    <n v="272"/>
    <x v="0"/>
    <s v="OXBRW"/>
    <x v="259"/>
    <x v="3"/>
    <s v="Property-Casualty Insurers"/>
    <s v="N/A"/>
    <n v="0"/>
    <n v="129.44"/>
    <n v="-11.31"/>
    <n v="15449067"/>
    <d v="2023-11-16T00:00:00"/>
    <s v="Missing"/>
    <m/>
  </r>
  <r>
    <s v="fdeamaya7k"/>
    <s v="forbes.com"/>
    <s v="Flem"/>
    <s v="de Amaya"/>
    <s v="Male"/>
    <s v="Male"/>
    <s v="76.117.78.249"/>
    <s v="241.221.191.196"/>
    <n v="273"/>
    <n v="273"/>
    <x v="0"/>
    <s v="AXAR"/>
    <x v="260"/>
    <x v="3"/>
    <s v="Business Services"/>
    <s v="$83.79M"/>
    <n v="83790000"/>
    <n v="351.48"/>
    <n v="3.09"/>
    <n v="180209957"/>
    <d v="2025-11-12T00:00:00"/>
    <s v="Complete"/>
    <m/>
  </r>
  <r>
    <s v="tcheetham7l"/>
    <s v="who.int"/>
    <s v="Torre"/>
    <s v="Cheetham"/>
    <s v="Male"/>
    <s v="Male"/>
    <s v="2.249.89.229"/>
    <s v="126.192.14.27"/>
    <n v="274"/>
    <n v="274"/>
    <x v="1"/>
    <s v="UAL"/>
    <x v="261"/>
    <x v="12"/>
    <s v="Air Freight/Delivery Services"/>
    <s v="$23.78B"/>
    <n v="23780000000"/>
    <n v="580.01"/>
    <n v="-7.82"/>
    <n v="95531932"/>
    <d v="2020-12-02T00:00:00"/>
    <s v="Complete"/>
    <m/>
  </r>
  <r>
    <s v="pboyn7m"/>
    <s v="loc.gov"/>
    <s v="Page"/>
    <s v="Boyn"/>
    <s v="Male"/>
    <s v="Male"/>
    <s v="182.213.116.5"/>
    <s v="232.57.81.246"/>
    <n v="275"/>
    <n v="275"/>
    <x v="0"/>
    <s v="RRR"/>
    <x v="262"/>
    <x v="6"/>
    <s v="Hotels/Resorts"/>
    <s v="$2.78B"/>
    <n v="2780000000"/>
    <n v="701.76"/>
    <n v="14.26"/>
    <n v="167477214"/>
    <d v="2020-04-14T00:00:00"/>
    <s v="Complete"/>
    <m/>
  </r>
  <r>
    <s v="tcapelow7n"/>
    <s v="exblog.jp"/>
    <s v="Tobe"/>
    <s v="Capelow"/>
    <s v="Male"/>
    <s v="Male"/>
    <s v="135.181.217.91"/>
    <s v="189.75.38.137"/>
    <n v="276"/>
    <n v="276"/>
    <x v="1"/>
    <s v="CNI"/>
    <x v="263"/>
    <x v="12"/>
    <s v="Railroads"/>
    <s v="$61.92B"/>
    <n v="61920000000"/>
    <n v="1086.98"/>
    <n v="-8.39"/>
    <n v="184861044"/>
    <d v="2024-10-08T00:00:00"/>
    <s v="Complete"/>
    <m/>
  </r>
  <r>
    <s v="iblood7o"/>
    <s v="sourceforge.net"/>
    <s v="Isobel"/>
    <s v="Blood"/>
    <s v="Female"/>
    <s v="Female"/>
    <s v="84.58.70.50"/>
    <s v="40.11.51.142"/>
    <n v="277"/>
    <n v="277"/>
    <x v="0"/>
    <s v="HTBI"/>
    <x v="264"/>
    <x v="3"/>
    <s v="Savings Institutions"/>
    <s v="$462.31M"/>
    <n v="462310000"/>
    <n v="411.33"/>
    <n v="-15.16"/>
    <n v="101790872"/>
    <d v="2023-04-17T00:00:00"/>
    <s v="Complete"/>
    <m/>
  </r>
  <r>
    <s v="ddevlin7p"/>
    <s v="dell.com"/>
    <s v="Datha"/>
    <s v="Devlin"/>
    <s v="Female"/>
    <s v="Female"/>
    <s v="247.218.55.127"/>
    <s v="212.67.225.110"/>
    <n v="278"/>
    <n v="278"/>
    <x v="0"/>
    <s v="NTNX"/>
    <x v="213"/>
    <x v="4"/>
    <s v="Computer Software: Prepackaged Software"/>
    <s v="$2.68B"/>
    <n v="2680000000"/>
    <n v="639.41"/>
    <n v="12.15"/>
    <n v="150279677"/>
    <d v="2023-03-12T00:00:00"/>
    <s v="Complete"/>
    <m/>
  </r>
  <r>
    <s v="epauletto7q"/>
    <s v="ehow.com"/>
    <s v="Editha"/>
    <s v="Pauletto"/>
    <s v="Female"/>
    <s v="Female"/>
    <s v="55.27.204.198"/>
    <s v="52.61.64.220"/>
    <n v="279"/>
    <n v="279"/>
    <x v="1"/>
    <s v="PNI"/>
    <x v="265"/>
    <x v="2"/>
    <s v="N/A"/>
    <s v="$129.88M"/>
    <n v="129880000"/>
    <n v="606.04"/>
    <n v="-17.64"/>
    <n v="63313914"/>
    <d v="2022-10-12T00:00:00"/>
    <s v="Missing"/>
    <m/>
  </r>
  <r>
    <s v="alagen7r"/>
    <s v="cbsnews.com"/>
    <s v="Arch"/>
    <s v="Lagen"/>
    <s v="Genderfluid"/>
    <s v="Other"/>
    <s v="64.169.145.190"/>
    <s v="140.142.75.149"/>
    <n v="280"/>
    <n v="280"/>
    <x v="0"/>
    <s v="SGH"/>
    <x v="266"/>
    <x v="4"/>
    <s v="Semiconductors"/>
    <s v="$316.82M"/>
    <n v="316820000"/>
    <n v="769.58"/>
    <n v="17.25"/>
    <n v="80581347"/>
    <d v="2025-08-09T00:00:00"/>
    <s v="Complete"/>
    <m/>
  </r>
  <r>
    <s v="zshoebotham7s"/>
    <s v="discuz.net"/>
    <s v="Zollie"/>
    <s v="Shoebotham"/>
    <s v="Male"/>
    <s v="Male"/>
    <s v="90.222.213.225"/>
    <s v="169.126.5.75"/>
    <n v="281"/>
    <n v="281"/>
    <x v="0"/>
    <s v="SUNS"/>
    <x v="267"/>
    <x v="2"/>
    <s v="N/A"/>
    <s v="$268.64M"/>
    <n v="268640000"/>
    <n v="52.88"/>
    <n v="17.78"/>
    <n v="96107237"/>
    <d v="2026-08-15T00:00:00"/>
    <s v="Missing"/>
    <m/>
  </r>
  <r>
    <s v="dkirvin7t"/>
    <s v="hibu.com"/>
    <s v="Deck"/>
    <s v="Kirvin"/>
    <s v="Male"/>
    <s v="Male"/>
    <s v="84.220.193.86"/>
    <s v="226.81.219.123"/>
    <n v="282"/>
    <n v="282"/>
    <x v="1"/>
    <s v="DRA"/>
    <x v="268"/>
    <x v="2"/>
    <s v="N/A"/>
    <s v="$311.58M"/>
    <n v="311580000"/>
    <n v="1559.67"/>
    <n v="-1.61"/>
    <n v="29259096"/>
    <d v="2022-05-01T00:00:00"/>
    <s v="Missing"/>
    <m/>
  </r>
  <r>
    <s v="ffaivre7u"/>
    <s v="epa.gov"/>
    <s v="Franny"/>
    <s v="Faivre"/>
    <s v="Female"/>
    <s v="Female"/>
    <s v="142.183.155.224"/>
    <s v="11.220.76.230"/>
    <n v="283"/>
    <n v="283"/>
    <x v="1"/>
    <s v="BYD"/>
    <x v="269"/>
    <x v="6"/>
    <s v="Hotels/Resorts"/>
    <s v="$2.85B"/>
    <n v="2850000000"/>
    <n v="1059.52"/>
    <n v="-0.01"/>
    <n v="15770529"/>
    <d v="2024-10-14T00:00:00"/>
    <s v="Complete"/>
    <m/>
  </r>
  <r>
    <s v="areekie7v"/>
    <s v="prlog.org"/>
    <s v="Amandie"/>
    <s v="Reekie"/>
    <s v="Female"/>
    <s v="Female"/>
    <s v="207.153.197.9"/>
    <s v="89.8.208.67"/>
    <n v="284"/>
    <n v="284"/>
    <x v="0"/>
    <s v="SBRAP"/>
    <x v="256"/>
    <x v="6"/>
    <s v="Real Estate Investment Trusts"/>
    <s v="$146.63M"/>
    <n v="146630000"/>
    <n v="1059.1600000000001"/>
    <n v="5.31"/>
    <n v="67847839"/>
    <d v="2022-04-05T00:00:00"/>
    <s v="Complete"/>
    <m/>
  </r>
  <r>
    <s v="hbrave7w"/>
    <s v="opera.com"/>
    <s v="Halsy"/>
    <s v="Brave"/>
    <s v="Male"/>
    <s v="Male"/>
    <s v="199.246.41.196"/>
    <s v="148.240.91.113"/>
    <n v="285"/>
    <n v="285"/>
    <x v="1"/>
    <s v="QTS"/>
    <x v="270"/>
    <x v="6"/>
    <s v="Real Estate Investment Trusts"/>
    <s v="$2.5B"/>
    <n v="2500000000"/>
    <n v="1104.29"/>
    <n v="-19.18"/>
    <n v="125007445"/>
    <d v="2026-07-22T00:00:00"/>
    <s v="Complete"/>
    <m/>
  </r>
  <r>
    <s v="fbloomer7x"/>
    <s v="newyorker.com"/>
    <s v="Franciska"/>
    <s v="Bloomer"/>
    <s v="Female"/>
    <s v="Female"/>
    <s v="62.115.238.225"/>
    <s v="111.145.251.204"/>
    <n v="286"/>
    <n v="286"/>
    <x v="0"/>
    <s v="STFC"/>
    <x v="271"/>
    <x v="3"/>
    <s v="Property-Casualty Insurers"/>
    <s v="$1.09B"/>
    <n v="1090000000"/>
    <n v="902.52"/>
    <n v="8.18"/>
    <n v="141283955"/>
    <d v="2020-06-01T00:00:00"/>
    <s v="Complete"/>
    <m/>
  </r>
  <r>
    <s v="sdanforth7y"/>
    <s v="yahoo.co.jp"/>
    <s v="Stacee"/>
    <s v="Danforth"/>
    <s v="Male"/>
    <s v="Male"/>
    <s v="32.140.63.97"/>
    <s v="148.12.154.109"/>
    <n v="287"/>
    <n v="287"/>
    <x v="0"/>
    <s v="JASO"/>
    <x v="272"/>
    <x v="4"/>
    <s v="Semiconductors"/>
    <s v="$301.6M"/>
    <n v="301600000"/>
    <n v="584.03"/>
    <n v="-1.6"/>
    <n v="102542990"/>
    <d v="2025-01-30T00:00:00"/>
    <s v="Complete"/>
    <m/>
  </r>
  <r>
    <s v="lradbourne7z"/>
    <s v="google.nl"/>
    <s v="Laetitia"/>
    <s v="Radbourne"/>
    <s v="Female"/>
    <s v="Female"/>
    <s v="182.198.121.119"/>
    <s v="177.217.80.177"/>
    <n v="288"/>
    <n v="288"/>
    <x v="1"/>
    <s v="RFI"/>
    <x v="273"/>
    <x v="2"/>
    <s v="N/A"/>
    <s v="$337.67M"/>
    <n v="337670000"/>
    <n v="162.24"/>
    <n v="0.4"/>
    <n v="153990436"/>
    <d v="2026-07-04T00:00:00"/>
    <s v="Missing"/>
    <m/>
  </r>
  <r>
    <s v="kcallaghan80"/>
    <s v="sciencedaily.com"/>
    <s v="Kennie"/>
    <s v="Callaghan"/>
    <s v="Male"/>
    <s v="Male"/>
    <s v="244.161.156.187"/>
    <s v="221.144.101.255"/>
    <n v="289"/>
    <n v="289"/>
    <x v="1"/>
    <s v="TCCB"/>
    <x v="274"/>
    <x v="2"/>
    <s v="N/A"/>
    <s v="N/A"/>
    <n v="0"/>
    <n v="998.8"/>
    <n v="10"/>
    <n v="69199402"/>
    <d v="2021-03-23T00:00:00"/>
    <s v="Missing"/>
    <m/>
  </r>
  <r>
    <s v="nporcher81"/>
    <s v="homestead.com"/>
    <s v="Nobe"/>
    <s v="Porcher"/>
    <s v="Male"/>
    <s v="Male"/>
    <s v="46.165.88.114"/>
    <s v="228.66.231.191"/>
    <n v="290"/>
    <n v="290"/>
    <x v="1"/>
    <s v="RAS^B"/>
    <x v="275"/>
    <x v="2"/>
    <s v="N/A"/>
    <s v="N/A"/>
    <n v="0"/>
    <n v="1713.35"/>
    <n v="-10.23"/>
    <n v="9785662"/>
    <d v="2022-10-14T00:00:00"/>
    <s v="Missing"/>
    <m/>
  </r>
  <r>
    <s v="mbaldwin82"/>
    <s v="mashable.com"/>
    <s v="Melicent"/>
    <s v="Baldwin"/>
    <s v="Female"/>
    <s v="Female"/>
    <s v="99.169.252.139"/>
    <s v="121.154.249.127"/>
    <n v="291"/>
    <n v="291"/>
    <x v="0"/>
    <s v="TEAM"/>
    <x v="276"/>
    <x v="4"/>
    <s v="Computer Software: Prepackaged Software"/>
    <s v="$7.84B"/>
    <n v="7840000000"/>
    <n v="1467.44"/>
    <n v="-19.96"/>
    <n v="109056575"/>
    <d v="2022-03-17T00:00:00"/>
    <s v="Complete"/>
    <m/>
  </r>
  <r>
    <s v="darsnell83"/>
    <s v="comsenz.com"/>
    <s v="Desmond"/>
    <s v="Arsnell"/>
    <s v="Male"/>
    <s v="Male"/>
    <s v="201.205.176.47"/>
    <s v="10.71.200.98"/>
    <n v="292"/>
    <n v="292"/>
    <x v="0"/>
    <s v="WIRE"/>
    <x v="277"/>
    <x v="1"/>
    <s v="Metal Fabrications"/>
    <s v="$896.34M"/>
    <n v="896340000"/>
    <n v="957.79"/>
    <n v="19.21"/>
    <n v="187638003"/>
    <d v="2025-10-22T00:00:00"/>
    <s v="Complete"/>
    <m/>
  </r>
  <r>
    <s v="lcaseley84"/>
    <s v="google.com.br"/>
    <s v="Leroi"/>
    <s v="Caseley"/>
    <s v="Male"/>
    <s v="Male"/>
    <s v="35.88.131.87"/>
    <s v="32.44.117.176"/>
    <n v="293"/>
    <n v="293"/>
    <x v="1"/>
    <s v="AFW.CL"/>
    <x v="278"/>
    <x v="2"/>
    <s v="N/A"/>
    <s v="N/A"/>
    <n v="0"/>
    <n v="1875.57"/>
    <n v="18.989999999999998"/>
    <n v="48929380"/>
    <d v="2025-09-18T00:00:00"/>
    <s v="Missing"/>
    <m/>
  </r>
  <r>
    <s v="atitta85"/>
    <s v="hostgator.com"/>
    <s v="Aldrich"/>
    <s v="Titta"/>
    <s v="Male"/>
    <s v="Male"/>
    <s v="189.206.207.111"/>
    <s v="32.180.250.95"/>
    <n v="294"/>
    <n v="294"/>
    <x v="0"/>
    <s v="IRBT"/>
    <x v="279"/>
    <x v="11"/>
    <s v="Consumer Electronics/Appliances"/>
    <s v="$2.64B"/>
    <n v="2640000000"/>
    <n v="455.38"/>
    <n v="6.71"/>
    <n v="144684098"/>
    <d v="2021-01-14T00:00:00"/>
    <s v="Complete"/>
    <m/>
  </r>
  <r>
    <s v="ejulian86"/>
    <s v="arizona.edu"/>
    <s v="Eva"/>
    <s v="Julian"/>
    <s v="Female"/>
    <s v="Female"/>
    <s v="194.229.142.78"/>
    <s v="208.10.189.138"/>
    <n v="295"/>
    <n v="295"/>
    <x v="0"/>
    <s v="SRTS"/>
    <x v="280"/>
    <x v="0"/>
    <s v="Medical/Dental Instruments"/>
    <s v="$52.75M"/>
    <n v="52750000"/>
    <n v="626.28"/>
    <n v="2.73"/>
    <n v="33935815"/>
    <d v="2021-08-20T00:00:00"/>
    <s v="Complete"/>
    <m/>
  </r>
  <r>
    <s v="rgilffillan87"/>
    <s v="last.fm"/>
    <s v="Reed"/>
    <s v="Gilffillan"/>
    <s v="Male"/>
    <s v="Male"/>
    <s v="197.14.12.9"/>
    <s v="123.70.5.62"/>
    <n v="296"/>
    <n v="296"/>
    <x v="1"/>
    <s v="MGF"/>
    <x v="281"/>
    <x v="2"/>
    <s v="N/A"/>
    <s v="$162.35M"/>
    <n v="162350000"/>
    <n v="1308.04"/>
    <n v="5.0199999999999996"/>
    <n v="187690684"/>
    <d v="2021-06-28T00:00:00"/>
    <s v="Missing"/>
    <m/>
  </r>
  <r>
    <s v="sragsdale88"/>
    <s v="dmoz.org"/>
    <s v="Salli"/>
    <s v="Ragsdale"/>
    <s v="Female"/>
    <s v="Female"/>
    <s v="145.122.104.48"/>
    <s v="182.12.185.217"/>
    <n v="297"/>
    <n v="297"/>
    <x v="0"/>
    <s v="GEC"/>
    <x v="282"/>
    <x v="4"/>
    <s v="Computer Software: Prepackaged Software"/>
    <s v="$80.04M"/>
    <n v="80040000"/>
    <n v="43.52"/>
    <n v="-19.47"/>
    <n v="137031219"/>
    <d v="2024-07-13T00:00:00"/>
    <s v="Complete"/>
    <m/>
  </r>
  <r>
    <s v="aerrichelli89"/>
    <s v="theatlantic.com"/>
    <s v="Adore"/>
    <s v="Errichelli"/>
    <s v="Female"/>
    <s v="Female"/>
    <s v="33.202.88.96"/>
    <s v="195.235.30.225"/>
    <n v="298"/>
    <n v="298"/>
    <x v="1"/>
    <s v="BIO.B"/>
    <x v="283"/>
    <x v="2"/>
    <s v="N/A"/>
    <s v="N/A"/>
    <n v="0"/>
    <n v="778.94"/>
    <n v="-2.97"/>
    <n v="39253055"/>
    <d v="2020-12-24T00:00:00"/>
    <s v="Missing"/>
    <m/>
  </r>
  <r>
    <s v="mcurle8a"/>
    <s v="sohu.com"/>
    <s v="Mahmoud"/>
    <s v="Curle"/>
    <s v="Male"/>
    <s v="Male"/>
    <s v="52.60.34.6"/>
    <s v="7.45.173.108"/>
    <n v="299"/>
    <n v="299"/>
    <x v="1"/>
    <s v="NAV"/>
    <x v="284"/>
    <x v="1"/>
    <s v="Auto Manufacturing"/>
    <s v="$2.61B"/>
    <n v="2610000000"/>
    <n v="1502.15"/>
    <n v="8.65"/>
    <n v="183243233"/>
    <d v="2025-10-12T00:00:00"/>
    <s v="Complete"/>
    <m/>
  </r>
  <r>
    <s v="aweedall8b"/>
    <s v="comsenz.com"/>
    <s v="Adena"/>
    <s v="Weedall"/>
    <s v="Female"/>
    <s v="Female"/>
    <s v="114.28.193.15"/>
    <s v="59.216.226.224"/>
    <n v="300"/>
    <n v="300"/>
    <x v="1"/>
    <s v="WTS"/>
    <x v="285"/>
    <x v="1"/>
    <s v="Metal Fabrications"/>
    <s v="$2.15B"/>
    <n v="2150000000"/>
    <n v="242.19"/>
    <n v="12.81"/>
    <n v="155927056"/>
    <d v="2021-09-02T00:00:00"/>
    <s v="Complete"/>
    <m/>
  </r>
  <r>
    <s v="ldavet8c"/>
    <s v="e-recht24.de"/>
    <s v="Leodora"/>
    <s v="Davet"/>
    <s v="Female"/>
    <s v="Female"/>
    <s v="210.147.160.53"/>
    <s v="145.110.197.206"/>
    <n v="301"/>
    <n v="301"/>
    <x v="1"/>
    <s v="KODK.WS"/>
    <x v="286"/>
    <x v="2"/>
    <s v="N/A"/>
    <s v="N/A"/>
    <n v="0"/>
    <n v="1175.18"/>
    <n v="-11.49"/>
    <n v="116531278"/>
    <d v="2024-12-13T00:00:00"/>
    <s v="Missing"/>
    <m/>
  </r>
  <r>
    <s v="rmacane8d"/>
    <s v="craigslist.org"/>
    <s v="Ruprecht"/>
    <s v="MacAne"/>
    <s v="Male"/>
    <s v="Male"/>
    <s v="19.153.57.137"/>
    <s v="189.72.42.35"/>
    <n v="302"/>
    <n v="302"/>
    <x v="1"/>
    <s v="HJV"/>
    <x v="287"/>
    <x v="3"/>
    <s v="Finance: Consumer Services"/>
    <s v="N/A"/>
    <n v="0"/>
    <n v="836.11"/>
    <n v="11.92"/>
    <n v="157573822"/>
    <d v="2021-11-21T00:00:00"/>
    <s v="Missing"/>
    <m/>
  </r>
  <r>
    <s v="abramer8e"/>
    <s v="blogs.com"/>
    <s v="Ailee"/>
    <s v="Bramer"/>
    <s v="Female"/>
    <s v="Female"/>
    <s v="207.147.8.211"/>
    <s v="98.122.101.201"/>
    <n v="303"/>
    <n v="303"/>
    <x v="1"/>
    <s v="WGO"/>
    <x v="288"/>
    <x v="5"/>
    <s v="Homebuilding"/>
    <s v="$914.42M"/>
    <n v="914420000"/>
    <n v="1324.7"/>
    <n v="-6.69"/>
    <n v="10271607"/>
    <d v="2024-05-25T00:00:00"/>
    <s v="Complete"/>
    <m/>
  </r>
  <r>
    <s v="nziebart8f"/>
    <s v="salon.com"/>
    <s v="Noland"/>
    <s v="Ziebart"/>
    <s v="Male"/>
    <s v="Male"/>
    <s v="231.141.180.91"/>
    <s v="61.100.133.59"/>
    <n v="304"/>
    <n v="304"/>
    <x v="0"/>
    <s v="SSB"/>
    <x v="289"/>
    <x v="3"/>
    <s v="Major Banks"/>
    <s v="$2.55B"/>
    <n v="2550000000"/>
    <n v="1793.99"/>
    <n v="16"/>
    <n v="156317958"/>
    <d v="2023-04-29T00:00:00"/>
    <s v="Complete"/>
    <m/>
  </r>
  <r>
    <s v="ccoopper8g"/>
    <s v="intel.com"/>
    <s v="Corey"/>
    <s v="Coopper"/>
    <s v="Male"/>
    <s v="Male"/>
    <s v="42.238.27.28"/>
    <s v="153.150.106.140"/>
    <n v="305"/>
    <n v="305"/>
    <x v="1"/>
    <s v="EOD"/>
    <x v="290"/>
    <x v="2"/>
    <s v="N/A"/>
    <s v="$285.58M"/>
    <n v="285580000"/>
    <n v="1455.1"/>
    <n v="16.8"/>
    <n v="133703697"/>
    <d v="2021-06-01T00:00:00"/>
    <s v="Missing"/>
    <m/>
  </r>
  <r>
    <s v="bpaprotny8h"/>
    <s v="uiuc.edu"/>
    <s v="Babbette"/>
    <s v="Paprotny"/>
    <s v="Female"/>
    <s v="Female"/>
    <s v="18.2.225.16"/>
    <s v="87.235.225.99"/>
    <n v="306"/>
    <n v="306"/>
    <x v="0"/>
    <s v="WVVIP"/>
    <x v="291"/>
    <x v="5"/>
    <s v="Beverages (Production/Distribution)"/>
    <s v="N/A"/>
    <n v="0"/>
    <n v="969.53"/>
    <n v="-8.6199999999999992"/>
    <n v="154837284"/>
    <d v="2026-01-20T00:00:00"/>
    <s v="Missing"/>
    <m/>
  </r>
  <r>
    <s v="cwoolfitt8i"/>
    <s v="utexas.edu"/>
    <s v="Cassy"/>
    <s v="Woolfitt"/>
    <s v="Female"/>
    <s v="Female"/>
    <s v="209.164.172.191"/>
    <s v="59.209.230.182"/>
    <n v="307"/>
    <n v="307"/>
    <x v="0"/>
    <s v="POPE"/>
    <x v="292"/>
    <x v="5"/>
    <s v="Environmental Services"/>
    <s v="$320.19M"/>
    <n v="320190000"/>
    <n v="1315.06"/>
    <n v="-18.010000000000002"/>
    <n v="148004942"/>
    <d v="2025-04-30T00:00:00"/>
    <s v="Complete"/>
    <m/>
  </r>
  <r>
    <s v="adummigan8j"/>
    <s v="princeton.edu"/>
    <s v="Alejandro"/>
    <s v="Dummigan"/>
    <s v="Male"/>
    <s v="Male"/>
    <s v="214.4.105.122"/>
    <s v="128.54.117.150"/>
    <n v="308"/>
    <n v="308"/>
    <x v="0"/>
    <s v="MRVL"/>
    <x v="293"/>
    <x v="4"/>
    <s v="Semiconductors"/>
    <s v="$8.71B"/>
    <n v="8710000000"/>
    <n v="1259.07"/>
    <n v="17.420000000000002"/>
    <n v="16179325"/>
    <d v="2025-08-12T00:00:00"/>
    <s v="Complete"/>
    <m/>
  </r>
  <r>
    <s v="wwaycot8k"/>
    <s v="mail.ru"/>
    <s v="Webster"/>
    <s v="Waycot"/>
    <s v="Male"/>
    <s v="Male"/>
    <s v="249.8.180.131"/>
    <s v="12.144.214.188"/>
    <n v="309"/>
    <n v="309"/>
    <x v="0"/>
    <s v="XGTIW"/>
    <x v="294"/>
    <x v="11"/>
    <s v="Telecommunications Equipment"/>
    <s v="N/A"/>
    <n v="0"/>
    <n v="163.04"/>
    <n v="12.47"/>
    <n v="11917724"/>
    <d v="2021-08-26T00:00:00"/>
    <s v="Missing"/>
    <m/>
  </r>
  <r>
    <s v="fmartinie8l"/>
    <s v="a8.net"/>
    <s v="Ferdy"/>
    <s v="Martinie"/>
    <s v="Male"/>
    <s v="Male"/>
    <s v="148.80.103.98"/>
    <s v="200.75.27.131"/>
    <n v="310"/>
    <n v="310"/>
    <x v="0"/>
    <s v="AKTX"/>
    <x v="295"/>
    <x v="0"/>
    <s v="Major Pharmaceuticals"/>
    <s v="$56.29M"/>
    <n v="56290000"/>
    <n v="1829.84"/>
    <n v="16.079999999999998"/>
    <n v="39665531"/>
    <d v="2023-11-24T00:00:00"/>
    <s v="Complete"/>
    <m/>
  </r>
  <r>
    <s v="tvideneev8m"/>
    <s v="shareasale.com"/>
    <s v="Torrey"/>
    <s v="Videneev"/>
    <s v="Male"/>
    <s v="Male"/>
    <s v="181.165.211.91"/>
    <s v="226.141.242.128"/>
    <n v="311"/>
    <n v="311"/>
    <x v="0"/>
    <s v="TECH"/>
    <x v="296"/>
    <x v="0"/>
    <s v="Biotechnology: Biological Products (No Diagnostic Substances)"/>
    <s v="$4.17B"/>
    <n v="4170000000"/>
    <n v="4.79"/>
    <n v="8.24"/>
    <n v="129516827"/>
    <d v="2026-10-09T00:00:00"/>
    <s v="Complete"/>
    <m/>
  </r>
  <r>
    <s v="ccashin8n"/>
    <s v="berkeley.edu"/>
    <s v="Cullen"/>
    <s v="Cashin"/>
    <s v="Male"/>
    <s v="Male"/>
    <s v="170.11.167.28"/>
    <s v="136.6.80.53"/>
    <n v="312"/>
    <n v="312"/>
    <x v="1"/>
    <s v="WGL"/>
    <x v="297"/>
    <x v="8"/>
    <s v="Oil/Gas Transmission"/>
    <s v="$4.32B"/>
    <n v="4320000000"/>
    <n v="1632.03"/>
    <n v="-19.86"/>
    <n v="194272572"/>
    <d v="2020-05-21T00:00:00"/>
    <s v="Complete"/>
    <m/>
  </r>
  <r>
    <s v="pgolt8o"/>
    <s v="163.com"/>
    <s v="Pearl"/>
    <s v="Golt"/>
    <s v="Female"/>
    <s v="Female"/>
    <s v="0.77.94.83"/>
    <s v="220.123.28.33"/>
    <n v="313"/>
    <n v="313"/>
    <x v="0"/>
    <s v="LCAHW"/>
    <x v="298"/>
    <x v="3"/>
    <s v="Business Services"/>
    <s v="N/A"/>
    <n v="0"/>
    <n v="1108.6099999999999"/>
    <n v="9.08"/>
    <n v="12124246"/>
    <d v="2026-03-11T00:00:00"/>
    <s v="Missing"/>
    <m/>
  </r>
  <r>
    <s v="mbernardinelli8p"/>
    <s v="slideshare.net"/>
    <s v="Martynne"/>
    <s v="Bernardinelli"/>
    <s v="Agender"/>
    <s v="Other"/>
    <s v="122.46.185.158"/>
    <s v="80.5.228.66"/>
    <n v="314"/>
    <n v="314"/>
    <x v="1"/>
    <s v="EOCC"/>
    <x v="299"/>
    <x v="8"/>
    <s v="Electric Utilities: Central"/>
    <s v="$6.28B"/>
    <n v="6280000000"/>
    <n v="1173.24"/>
    <n v="18.87"/>
    <n v="94993907"/>
    <d v="2021-08-20T00:00:00"/>
    <s v="Complete"/>
    <m/>
  </r>
  <r>
    <s v="kcaldero8q"/>
    <s v="instagram.com"/>
    <s v="Kara-lynn"/>
    <s v="Caldero"/>
    <s v="Female"/>
    <s v="Female"/>
    <s v="49.104.206.206"/>
    <s v="36.208.77.136"/>
    <n v="315"/>
    <n v="315"/>
    <x v="0"/>
    <s v="VIIX"/>
    <x v="300"/>
    <x v="3"/>
    <s v="Investment Bankers/Brokers/Service"/>
    <s v="$12.81M"/>
    <n v="12810000"/>
    <n v="746.69"/>
    <n v="10.81"/>
    <n v="139513839"/>
    <d v="2024-10-09T00:00:00"/>
    <s v="Complete"/>
    <m/>
  </r>
  <r>
    <s v="emacpake8r"/>
    <s v="drupal.org"/>
    <s v="Elton"/>
    <s v="MacPake"/>
    <s v="Male"/>
    <s v="Male"/>
    <s v="103.226.51.204"/>
    <s v="76.17.74.245"/>
    <n v="316"/>
    <n v="316"/>
    <x v="1"/>
    <s v="QCP"/>
    <x v="301"/>
    <x v="6"/>
    <s v="Real Estate Investment Trusts"/>
    <s v="$1.65B"/>
    <n v="1650000000"/>
    <n v="59.78"/>
    <n v="2.65"/>
    <n v="119188670"/>
    <d v="2020-03-30T00:00:00"/>
    <s v="Complete"/>
    <m/>
  </r>
  <r>
    <s v="randriuzzi8s"/>
    <s v="friendfeed.com"/>
    <s v="Roma"/>
    <s v="Andriuzzi"/>
    <s v="Male"/>
    <s v="Male"/>
    <s v="232.207.15.169"/>
    <s v="255.45.249.207"/>
    <n v="317"/>
    <n v="317"/>
    <x v="0"/>
    <s v="SSRI"/>
    <x v="302"/>
    <x v="10"/>
    <s v="Precious Metals"/>
    <s v="$1.1B"/>
    <n v="1100000000"/>
    <n v="1564.82"/>
    <n v="-9.14"/>
    <n v="163972100"/>
    <d v="2025-03-01T00:00:00"/>
    <s v="Complete"/>
    <m/>
  </r>
  <r>
    <s v="lbuckbee8t"/>
    <s v="nature.com"/>
    <s v="Ludovico"/>
    <s v="Buckbee"/>
    <s v="Male"/>
    <s v="Male"/>
    <s v="227.208.250.22"/>
    <s v="210.159.138.92"/>
    <n v="318"/>
    <n v="318"/>
    <x v="1"/>
    <s v="BSL"/>
    <x v="303"/>
    <x v="2"/>
    <s v="N/A"/>
    <s v="$271.31M"/>
    <n v="271310000"/>
    <n v="680.86"/>
    <n v="13.77"/>
    <n v="119444592"/>
    <d v="2020-10-21T00:00:00"/>
    <s v="Missing"/>
    <m/>
  </r>
  <r>
    <s v="ibraywood8u"/>
    <s v="zimbio.com"/>
    <s v="Ibrahim"/>
    <s v="Braywood"/>
    <s v="Male"/>
    <s v="Male"/>
    <s v="94.113.169.249"/>
    <s v="8.124.43.153"/>
    <n v="319"/>
    <n v="319"/>
    <x v="1"/>
    <s v="TUP"/>
    <x v="304"/>
    <x v="5"/>
    <s v="Plastic Products"/>
    <s v="$3.6B"/>
    <n v="3600000000"/>
    <n v="1990.33"/>
    <n v="-11.7"/>
    <n v="89835457"/>
    <d v="2024-07-26T00:00:00"/>
    <s v="Complete"/>
    <m/>
  </r>
  <r>
    <s v="rpendock8v"/>
    <s v="cbsnews.com"/>
    <s v="Reilly"/>
    <s v="Pendock"/>
    <s v="Male"/>
    <s v="Male"/>
    <s v="28.241.31.226"/>
    <s v="105.150.93.77"/>
    <n v="320"/>
    <n v="320"/>
    <x v="1"/>
    <s v="CTDD"/>
    <x v="305"/>
    <x v="8"/>
    <s v="Telecommunications Equipment"/>
    <s v="N/A"/>
    <n v="0"/>
    <n v="1152.96"/>
    <n v="5.3"/>
    <n v="183700921"/>
    <d v="2024-07-20T00:00:00"/>
    <s v="Missing"/>
    <m/>
  </r>
  <r>
    <s v="csneaker8w"/>
    <s v="howstuffworks.com"/>
    <s v="Cary"/>
    <s v="Sneaker"/>
    <s v="Female"/>
    <s v="Female"/>
    <s v="247.221.108.7"/>
    <s v="73.19.15.95"/>
    <n v="321"/>
    <n v="321"/>
    <x v="0"/>
    <s v="IXYS"/>
    <x v="306"/>
    <x v="4"/>
    <s v="Semiconductors"/>
    <s v="$513.83M"/>
    <n v="513830000.00000006"/>
    <n v="1667.56"/>
    <n v="-18.100000000000001"/>
    <n v="17284662"/>
    <d v="2021-02-21T00:00:00"/>
    <s v="Complete"/>
    <m/>
  </r>
  <r>
    <s v="umaccart8x"/>
    <s v="lulu.com"/>
    <s v="Upton"/>
    <s v="MacCart"/>
    <s v="Male"/>
    <s v="Male"/>
    <s v="82.233.253.129"/>
    <s v="164.181.47.168"/>
    <n v="322"/>
    <n v="322"/>
    <x v="1"/>
    <s v="CPK"/>
    <x v="307"/>
    <x v="8"/>
    <s v="Oil &amp; Gas Production"/>
    <s v="$1.23B"/>
    <n v="1230000000"/>
    <n v="693.37"/>
    <n v="-10.64"/>
    <n v="69441453"/>
    <d v="2022-05-10T00:00:00"/>
    <s v="Complete"/>
    <m/>
  </r>
  <r>
    <s v="nmasserel8y"/>
    <s v="bravesites.com"/>
    <s v="Nevins"/>
    <s v="Masserel"/>
    <s v="Male"/>
    <s v="Male"/>
    <s v="51.217.33.121"/>
    <s v="219.50.63.230"/>
    <n v="323"/>
    <n v="323"/>
    <x v="0"/>
    <s v="CCCR"/>
    <x v="190"/>
    <x v="3"/>
    <s v="Major Banks"/>
    <s v="$53.7M"/>
    <n v="53700000"/>
    <n v="217.03"/>
    <n v="-8.9600000000000009"/>
    <n v="173718796"/>
    <d v="2021-05-10T00:00:00"/>
    <s v="Complete"/>
    <m/>
  </r>
  <r>
    <s v="jmargaritelli8z"/>
    <s v="illinois.edu"/>
    <s v="Jessamine"/>
    <s v="Margaritelli"/>
    <s v="Female"/>
    <s v="Female"/>
    <s v="193.255.235.230"/>
    <s v="166.226.78.222"/>
    <n v="324"/>
    <n v="324"/>
    <x v="1"/>
    <s v="CUDA"/>
    <x v="308"/>
    <x v="4"/>
    <s v="Computer peripheral equipment"/>
    <s v="$1.17B"/>
    <n v="1170000000"/>
    <n v="1525.26"/>
    <n v="-8.7100000000000009"/>
    <n v="32564146"/>
    <d v="2024-12-22T00:00:00"/>
    <s v="Complete"/>
    <m/>
  </r>
  <r>
    <s v="lcarnegy90"/>
    <s v="yellowbook.com"/>
    <s v="Luce"/>
    <s v="Carnegy"/>
    <s v="Male"/>
    <s v="Male"/>
    <s v="131.255.116.206"/>
    <s v="143.107.242.123"/>
    <n v="325"/>
    <n v="325"/>
    <x v="1"/>
    <s v="SSW^E"/>
    <x v="174"/>
    <x v="2"/>
    <s v="N/A"/>
    <s v="N/A"/>
    <n v="0"/>
    <n v="897.96"/>
    <n v="9.84"/>
    <n v="20986618"/>
    <d v="2024-11-17T00:00:00"/>
    <s v="Missing"/>
    <m/>
  </r>
  <r>
    <s v="ctidbold91"/>
    <s v="twitpic.com"/>
    <s v="Carlynn"/>
    <s v="Tidbold"/>
    <s v="Female"/>
    <s v="Female"/>
    <s v="191.35.168.102"/>
    <s v="21.88.175.180"/>
    <n v="326"/>
    <n v="326"/>
    <x v="0"/>
    <s v="SANM"/>
    <x v="309"/>
    <x v="4"/>
    <s v="Electrical Products"/>
    <s v="$2.83B"/>
    <n v="2830000000"/>
    <n v="1496.26"/>
    <n v="-7.21"/>
    <n v="94274035"/>
    <d v="2020-09-03T00:00:00"/>
    <s v="Complete"/>
    <m/>
  </r>
  <r>
    <s v="jtough92"/>
    <s v="netvibes.com"/>
    <s v="Jeremias"/>
    <s v="Tough"/>
    <s v="Male"/>
    <s v="Male"/>
    <s v="12.34.187.226"/>
    <s v="215.92.192.75"/>
    <n v="327"/>
    <n v="327"/>
    <x v="0"/>
    <s v="CALA"/>
    <x v="310"/>
    <x v="0"/>
    <s v="Major Pharmaceuticals"/>
    <s v="$508.24M"/>
    <n v="508240000"/>
    <n v="482.29"/>
    <n v="-8"/>
    <n v="106878539"/>
    <d v="2025-11-27T00:00:00"/>
    <s v="Complete"/>
    <m/>
  </r>
  <r>
    <s v="ljackman93"/>
    <s v="rediff.com"/>
    <s v="Lissi"/>
    <s v="Jackman"/>
    <s v="Female"/>
    <s v="Female"/>
    <s v="219.104.140.247"/>
    <s v="203.38.91.38"/>
    <n v="328"/>
    <n v="328"/>
    <x v="1"/>
    <s v="WMLP"/>
    <x v="311"/>
    <x v="9"/>
    <s v="Coal Mining"/>
    <s v="$4.11M"/>
    <n v="4110000.0000000005"/>
    <n v="494.65"/>
    <n v="17.68"/>
    <n v="93174297"/>
    <d v="2021-03-25T00:00:00"/>
    <s v="Complete"/>
    <m/>
  </r>
  <r>
    <s v="mdoyland94"/>
    <s v="last.fm"/>
    <s v="Margot"/>
    <s v="Doyland"/>
    <s v="Polygender"/>
    <s v="Other"/>
    <s v="143.72.194.199"/>
    <s v="15.243.244.230"/>
    <n v="329"/>
    <n v="329"/>
    <x v="1"/>
    <s v="JE^A"/>
    <x v="312"/>
    <x v="2"/>
    <s v="N/A"/>
    <s v="N/A"/>
    <n v="0"/>
    <n v="1441.44"/>
    <n v="-11.85"/>
    <n v="100737683"/>
    <d v="2026-06-07T00:00:00"/>
    <s v="Missing"/>
    <m/>
  </r>
  <r>
    <s v="sstork95"/>
    <s v="usgs.gov"/>
    <s v="Shannan"/>
    <s v="Stork"/>
    <s v="Male"/>
    <s v="Male"/>
    <s v="228.225.195.218"/>
    <s v="33.24.21.245"/>
    <n v="330"/>
    <n v="330"/>
    <x v="1"/>
    <s v="NLY"/>
    <x v="313"/>
    <x v="6"/>
    <s v="Real Estate Investment Trusts"/>
    <s v="$12.59B"/>
    <n v="12590000000"/>
    <n v="1771.1"/>
    <n v="-6.81"/>
    <n v="131504020"/>
    <d v="2024-07-07T00:00:00"/>
    <s v="Complete"/>
    <m/>
  </r>
  <r>
    <s v="mmelbourne96"/>
    <s v="google.co.jp"/>
    <s v="Mychal"/>
    <s v="Melbourne"/>
    <s v="Male"/>
    <s v="Male"/>
    <s v="243.54.19.161"/>
    <s v="227.245.85.202"/>
    <n v="331"/>
    <n v="331"/>
    <x v="0"/>
    <s v="AXDX"/>
    <x v="314"/>
    <x v="1"/>
    <s v="Biotechnology: Laboratory Analytical Instruments"/>
    <s v="$1.53B"/>
    <n v="1530000000"/>
    <n v="1282.06"/>
    <n v="1.59"/>
    <n v="40809876"/>
    <d v="2020-11-24T00:00:00"/>
    <s v="Complete"/>
    <m/>
  </r>
  <r>
    <s v="lslayford97"/>
    <s v="bizjournals.com"/>
    <s v="Lukas"/>
    <s v="Slayford"/>
    <s v="Male"/>
    <s v="Male"/>
    <s v="83.248.229.82"/>
    <s v="210.28.68.241"/>
    <n v="332"/>
    <n v="332"/>
    <x v="0"/>
    <s v="LPCN"/>
    <x v="315"/>
    <x v="0"/>
    <s v="Major Pharmaceuticals"/>
    <s v="$74.57M"/>
    <n v="74570000"/>
    <n v="1962.33"/>
    <n v="-3.34"/>
    <n v="16495184"/>
    <d v="2026-09-19T00:00:00"/>
    <s v="Complete"/>
    <m/>
  </r>
  <r>
    <s v="aheadings98"/>
    <s v="unc.edu"/>
    <s v="Addison"/>
    <s v="Headings"/>
    <s v="Polygender"/>
    <s v="Other"/>
    <s v="99.122.20.90"/>
    <s v="131.66.112.237"/>
    <n v="333"/>
    <n v="333"/>
    <x v="0"/>
    <s v="CXRX"/>
    <x v="316"/>
    <x v="0"/>
    <s v="Major Pharmaceuticals"/>
    <s v="$56.73M"/>
    <n v="56730000"/>
    <n v="1780.63"/>
    <n v="2.23"/>
    <n v="122798646"/>
    <d v="2021-07-01T00:00:00"/>
    <s v="Complete"/>
    <m/>
  </r>
  <r>
    <s v="kvalentine99"/>
    <s v="jiathis.com"/>
    <s v="Kimmie"/>
    <s v="Valentine"/>
    <s v="Female"/>
    <s v="Female"/>
    <s v="69.150.157.176"/>
    <s v="151.41.185.163"/>
    <n v="334"/>
    <n v="334"/>
    <x v="1"/>
    <s v="GNW"/>
    <x v="317"/>
    <x v="3"/>
    <s v="Life Insurance"/>
    <s v="$1.82B"/>
    <n v="1820000000"/>
    <n v="1568.09"/>
    <n v="-6.62"/>
    <n v="37867331"/>
    <d v="2026-03-15T00:00:00"/>
    <s v="Complete"/>
    <m/>
  </r>
  <r>
    <s v="mholdey9a"/>
    <s v="walmart.com"/>
    <s v="Madison"/>
    <s v="Holdey"/>
    <s v="Male"/>
    <s v="Male"/>
    <s v="226.183.55.240"/>
    <s v="62.254.22.20"/>
    <n v="335"/>
    <n v="335"/>
    <x v="0"/>
    <s v="CTMX"/>
    <x v="318"/>
    <x v="0"/>
    <s v="Major Pharmaceuticals"/>
    <s v="$499.8M"/>
    <n v="499800000"/>
    <n v="138.49"/>
    <n v="-5.91"/>
    <n v="140683598"/>
    <d v="2022-09-24T00:00:00"/>
    <s v="Complete"/>
    <m/>
  </r>
  <r>
    <s v="asleigh9b"/>
    <s v="scientificamerican.com"/>
    <s v="Aldin"/>
    <s v="Sleigh"/>
    <s v="Male"/>
    <s v="Male"/>
    <s v="133.98.140.239"/>
    <s v="156.155.39.51"/>
    <n v="336"/>
    <n v="336"/>
    <x v="1"/>
    <s v="YUM"/>
    <x v="319"/>
    <x v="6"/>
    <s v="Restaurants"/>
    <s v="$25.34B"/>
    <n v="25340000000"/>
    <n v="563.84"/>
    <n v="6.75"/>
    <n v="122346355"/>
    <d v="2022-07-08T00:00:00"/>
    <s v="Complete"/>
    <m/>
  </r>
  <r>
    <s v="ktest9c"/>
    <s v="wordpress.com"/>
    <s v="Kendall"/>
    <s v="Test"/>
    <s v="Bigender"/>
    <s v="Other"/>
    <s v="42.255.41.35"/>
    <s v="110.192.19.76"/>
    <n v="337"/>
    <n v="337"/>
    <x v="1"/>
    <s v="KFY"/>
    <x v="320"/>
    <x v="4"/>
    <s v="Diversified Commercial Services"/>
    <s v="$1.88B"/>
    <n v="1880000000"/>
    <n v="910.66"/>
    <n v="-10.72"/>
    <n v="142021219"/>
    <d v="2024-04-25T00:00:00"/>
    <s v="Complete"/>
    <m/>
  </r>
  <r>
    <s v="bvenning9d"/>
    <s v="scribd.com"/>
    <s v="Blinny"/>
    <s v="Venning"/>
    <s v="Female"/>
    <s v="Female"/>
    <s v="38.115.32.141"/>
    <s v="19.156.241.40"/>
    <n v="338"/>
    <n v="338"/>
    <x v="0"/>
    <s v="AETI"/>
    <x v="43"/>
    <x v="9"/>
    <s v="Industrial Machinery/Components"/>
    <s v="$12.31M"/>
    <n v="12310000"/>
    <n v="570.61"/>
    <n v="4.45"/>
    <n v="115226075"/>
    <d v="2021-11-11T00:00:00"/>
    <s v="Complete"/>
    <m/>
  </r>
  <r>
    <s v="egepson9e"/>
    <s v="topsy.com"/>
    <s v="Eugenie"/>
    <s v="Gepson"/>
    <s v="Female"/>
    <s v="Female"/>
    <s v="52.247.165.136"/>
    <s v="131.24.72.216"/>
    <n v="339"/>
    <n v="339"/>
    <x v="0"/>
    <s v="SPLK"/>
    <x v="321"/>
    <x v="4"/>
    <s v="Computer Software: Prepackaged Software"/>
    <s v="$7.96B"/>
    <n v="7960000000"/>
    <n v="258.56"/>
    <n v="14.48"/>
    <n v="117669960"/>
    <d v="2020-07-10T00:00:00"/>
    <s v="Complete"/>
    <m/>
  </r>
  <r>
    <s v="ggothup9f"/>
    <s v="nydailynews.com"/>
    <s v="Goldarina"/>
    <s v="Gothup"/>
    <s v="Female"/>
    <s v="Female"/>
    <s v="86.127.124.203"/>
    <s v="198.245.255.141"/>
    <n v="340"/>
    <n v="340"/>
    <x v="0"/>
    <s v="BBC"/>
    <x v="322"/>
    <x v="2"/>
    <s v="N/A"/>
    <s v="$23.35M"/>
    <n v="23350000"/>
    <n v="1462.64"/>
    <n v="0.01"/>
    <n v="163635499"/>
    <d v="2026-01-10T00:00:00"/>
    <s v="Missing"/>
    <m/>
  </r>
  <r>
    <s v="fframmingham9g"/>
    <s v="uol.com.br"/>
    <s v="Faunie"/>
    <s v="Frammingham"/>
    <s v="Female"/>
    <s v="Female"/>
    <s v="158.138.243.138"/>
    <s v="150.48.2.199"/>
    <n v="341"/>
    <n v="341"/>
    <x v="0"/>
    <s v="FWP"/>
    <x v="323"/>
    <x v="0"/>
    <s v="Major Pharmaceuticals"/>
    <s v="$1.04B"/>
    <n v="1040000000"/>
    <n v="431.87"/>
    <n v="-14.02"/>
    <n v="198843671"/>
    <d v="2021-07-17T00:00:00"/>
    <s v="Complete"/>
    <m/>
  </r>
  <r>
    <s v="ssaffin9h"/>
    <s v="wikia.com"/>
    <s v="Stacie"/>
    <s v="Saffin"/>
    <s v="Female"/>
    <s v="Female"/>
    <s v="184.16.133.113"/>
    <s v="139.113.94.39"/>
    <n v="342"/>
    <n v="342"/>
    <x v="1"/>
    <s v="EFT"/>
    <x v="324"/>
    <x v="2"/>
    <s v="N/A"/>
    <s v="$605.93M"/>
    <n v="605930000"/>
    <n v="1459.25"/>
    <n v="0.87"/>
    <n v="54679515"/>
    <d v="2025-04-10T00:00:00"/>
    <s v="Missing"/>
    <m/>
  </r>
  <r>
    <s v="ebarg9i"/>
    <s v="moonfruit.com"/>
    <s v="Edi"/>
    <s v="Barg"/>
    <s v="Female"/>
    <s v="Female"/>
    <s v="154.32.47.111"/>
    <s v="169.41.162.167"/>
    <n v="343"/>
    <n v="343"/>
    <x v="1"/>
    <s v="SAN^I"/>
    <x v="325"/>
    <x v="2"/>
    <s v="N/A"/>
    <s v="N/A"/>
    <n v="0"/>
    <n v="1662.5"/>
    <n v="-17.46"/>
    <n v="85818132"/>
    <d v="2025-08-31T00:00:00"/>
    <s v="Missing"/>
    <m/>
  </r>
  <r>
    <s v="ehorlick9j"/>
    <s v="bandcamp.com"/>
    <s v="Eric"/>
    <s v="Horlick"/>
    <s v="Male"/>
    <s v="Male"/>
    <s v="129.184.14.26"/>
    <s v="120.199.222.198"/>
    <n v="344"/>
    <n v="344"/>
    <x v="0"/>
    <s v="SMBK"/>
    <x v="326"/>
    <x v="3"/>
    <s v="Major Banks"/>
    <s v="$201.19M"/>
    <n v="201190000"/>
    <n v="1705.11"/>
    <n v="-12.75"/>
    <n v="70789318"/>
    <d v="2021-08-01T00:00:00"/>
    <s v="Complete"/>
    <m/>
  </r>
  <r>
    <s v="krobbel9k"/>
    <s v="e-recht24.de"/>
    <s v="Kaylil"/>
    <s v="Robbel"/>
    <s v="Female"/>
    <s v="Female"/>
    <s v="147.231.29.14"/>
    <s v="81.162.167.156"/>
    <n v="345"/>
    <n v="345"/>
    <x v="0"/>
    <s v="HOLI"/>
    <x v="196"/>
    <x v="9"/>
    <s v="Industrial Machinery/Components"/>
    <s v="$1.04B"/>
    <n v="1040000000"/>
    <n v="1337.51"/>
    <n v="-17.510000000000002"/>
    <n v="170970217"/>
    <d v="2026-10-02T00:00:00"/>
    <s v="Complete"/>
    <m/>
  </r>
  <r>
    <s v="ejoao9l"/>
    <s v="4shared.com"/>
    <s v="Erinna"/>
    <s v="Joao"/>
    <s v="Female"/>
    <s v="Female"/>
    <s v="81.215.233.132"/>
    <s v="169.185.118.62"/>
    <n v="346"/>
    <n v="346"/>
    <x v="0"/>
    <s v="COBZ"/>
    <x v="327"/>
    <x v="3"/>
    <s v="Major Banks"/>
    <s v="$691.58M"/>
    <n v="691580000"/>
    <n v="1114.3900000000001"/>
    <n v="-5.09"/>
    <n v="113956253"/>
    <d v="2022-04-03T00:00:00"/>
    <s v="Complete"/>
    <m/>
  </r>
  <r>
    <s v="aaynscombe9m"/>
    <s v="ucoz.com"/>
    <s v="Arielle"/>
    <s v="Aynscombe"/>
    <s v="Female"/>
    <s v="Female"/>
    <s v="98.11.162.247"/>
    <s v="132.153.178.68"/>
    <n v="347"/>
    <n v="347"/>
    <x v="0"/>
    <s v="UMBF"/>
    <x v="328"/>
    <x v="3"/>
    <s v="Major Banks"/>
    <s v="$3.68B"/>
    <n v="3680000000"/>
    <n v="1606.86"/>
    <n v="15.36"/>
    <n v="87171198"/>
    <d v="2026-07-22T00:00:00"/>
    <s v="Complete"/>
    <m/>
  </r>
  <r>
    <s v="pgreep9n"/>
    <s v="baidu.com"/>
    <s v="Pris"/>
    <s v="Greep"/>
    <s v="Female"/>
    <s v="Female"/>
    <s v="238.164.208.253"/>
    <s v="229.52.237.102"/>
    <n v="348"/>
    <n v="348"/>
    <x v="0"/>
    <s v="SPKEP"/>
    <x v="203"/>
    <x v="8"/>
    <s v="Power Generation"/>
    <s v="N/A"/>
    <n v="0"/>
    <n v="1469.5"/>
    <n v="8.69"/>
    <n v="41104603"/>
    <d v="2021-01-12T00:00:00"/>
    <s v="Missing"/>
    <m/>
  </r>
  <r>
    <s v="emacgillivrie9o"/>
    <s v="over-blog.com"/>
    <s v="Erinna"/>
    <s v="MacGillivrie"/>
    <s v="Female"/>
    <s v="Female"/>
    <s v="159.102.224.67"/>
    <s v="130.157.185.186"/>
    <n v="349"/>
    <n v="349"/>
    <x v="1"/>
    <s v="UVE"/>
    <x v="329"/>
    <x v="3"/>
    <s v="Property-Casualty Insurers"/>
    <s v="$882.08M"/>
    <n v="882080000"/>
    <n v="963.32"/>
    <n v="11.63"/>
    <n v="175407221"/>
    <d v="2025-03-25T00:00:00"/>
    <s v="Complete"/>
    <m/>
  </r>
  <r>
    <s v="rdeambrosis9p"/>
    <s v="ocn.ne.jp"/>
    <s v="Rad"/>
    <s v="De Ambrosis"/>
    <s v="Male"/>
    <s v="Male"/>
    <s v="115.152.250.213"/>
    <s v="206.243.52.20"/>
    <n v="350"/>
    <n v="350"/>
    <x v="1"/>
    <s v="CIM^A"/>
    <x v="330"/>
    <x v="2"/>
    <s v="N/A"/>
    <s v="N/A"/>
    <n v="0"/>
    <n v="1402.43"/>
    <n v="-17.600000000000001"/>
    <n v="11505408"/>
    <d v="2020-07-12T00:00:00"/>
    <s v="Missing"/>
    <m/>
  </r>
  <r>
    <s v="blettsom9q"/>
    <s v="telegraph.co.uk"/>
    <s v="Bruce"/>
    <s v="Lettsom"/>
    <s v="Male"/>
    <s v="Male"/>
    <s v="169.141.170.12"/>
    <s v="30.52.8.208"/>
    <n v="351"/>
    <n v="351"/>
    <x v="0"/>
    <s v="SPKE"/>
    <x v="203"/>
    <x v="8"/>
    <s v="Power Generation"/>
    <s v="$806.93M"/>
    <n v="806930000"/>
    <n v="1839.45"/>
    <n v="0.69"/>
    <n v="104252625"/>
    <d v="2020-11-18T00:00:00"/>
    <s v="Complete"/>
    <m/>
  </r>
  <r>
    <s v="tobruen9r"/>
    <s v="weather.com"/>
    <s v="Thain"/>
    <s v="O'Bruen"/>
    <s v="Male"/>
    <s v="Male"/>
    <s v="170.142.19.92"/>
    <s v="237.99.109.122"/>
    <n v="352"/>
    <n v="352"/>
    <x v="0"/>
    <s v="SHLM"/>
    <x v="331"/>
    <x v="10"/>
    <s v="Major Chemicals"/>
    <s v="$855.12M"/>
    <n v="855120000"/>
    <n v="1147.93"/>
    <n v="6.57"/>
    <n v="62365170"/>
    <d v="2026-12-22T00:00:00"/>
    <s v="Complete"/>
    <m/>
  </r>
  <r>
    <s v="edewane9s"/>
    <s v="hostgator.com"/>
    <s v="Erinn"/>
    <s v="Dewane"/>
    <s v="Female"/>
    <s v="Female"/>
    <s v="55.193.91.189"/>
    <s v="169.193.108.177"/>
    <n v="353"/>
    <n v="353"/>
    <x v="0"/>
    <s v="BCPC"/>
    <x v="332"/>
    <x v="10"/>
    <s v="Major Chemicals"/>
    <s v="$2.56B"/>
    <n v="2560000000"/>
    <n v="869.21"/>
    <n v="-14.55"/>
    <n v="146348123"/>
    <d v="2026-09-19T00:00:00"/>
    <s v="Complete"/>
    <m/>
  </r>
  <r>
    <s v="inind9t"/>
    <s v="omniture.com"/>
    <s v="Irwinn"/>
    <s v="Nind"/>
    <s v="Male"/>
    <s v="Male"/>
    <s v="77.247.200.54"/>
    <s v="40.247.58.185"/>
    <n v="354"/>
    <n v="354"/>
    <x v="0"/>
    <s v="EYESW"/>
    <x v="333"/>
    <x v="0"/>
    <s v="Biotechnology: Electromedical &amp; Electrotherapeutic Apparatus"/>
    <s v="N/A"/>
    <n v="0"/>
    <n v="9"/>
    <n v="-19.93"/>
    <n v="21602581"/>
    <d v="2025-08-31T00:00:00"/>
    <s v="Missing"/>
    <m/>
  </r>
  <r>
    <s v="bgabriel9u"/>
    <s v="scribd.com"/>
    <s v="Benyamin"/>
    <s v="Gabriel"/>
    <s v="Male"/>
    <s v="Male"/>
    <s v="64.45.250.206"/>
    <s v="207.33.232.217"/>
    <n v="355"/>
    <n v="355"/>
    <x v="1"/>
    <s v="SMLP"/>
    <x v="334"/>
    <x v="8"/>
    <s v="Natural Gas Distribution"/>
    <s v="$1.7B"/>
    <n v="1700000000"/>
    <n v="457.76"/>
    <n v="-0.27"/>
    <n v="77862066"/>
    <d v="2021-07-26T00:00:00"/>
    <s v="Complete"/>
    <m/>
  </r>
  <r>
    <s v="ebranson9v"/>
    <s v="google.com.br"/>
    <s v="Even"/>
    <s v="Branson"/>
    <s v="Male"/>
    <s v="Male"/>
    <s v="252.214.137.7"/>
    <s v="117.134.233.156"/>
    <n v="356"/>
    <n v="356"/>
    <x v="0"/>
    <s v="ACHN"/>
    <x v="335"/>
    <x v="0"/>
    <s v="Major Pharmaceuticals"/>
    <s v="$578.34M"/>
    <n v="578340000"/>
    <n v="386.14"/>
    <n v="1.36"/>
    <n v="141010655"/>
    <d v="2021-05-07T00:00:00"/>
    <s v="Complete"/>
    <m/>
  </r>
  <r>
    <s v="tandrioli9w"/>
    <s v="imgur.com"/>
    <s v="Tess"/>
    <s v="Andrioli"/>
    <s v="Female"/>
    <s v="Female"/>
    <s v="235.171.101.41"/>
    <s v="238.97.232.93"/>
    <n v="357"/>
    <n v="357"/>
    <x v="0"/>
    <s v="LNTH"/>
    <x v="336"/>
    <x v="0"/>
    <s v="Biotechnology: In Vitro &amp; In Vivo Diagnostic Substances"/>
    <s v="$562.75M"/>
    <n v="562750000"/>
    <n v="1889.57"/>
    <n v="-0.95"/>
    <n v="173998589"/>
    <d v="2025-08-28T00:00:00"/>
    <s v="Complete"/>
    <m/>
  </r>
  <r>
    <s v="mtrunks9x"/>
    <s v="un.org"/>
    <s v="Maxie"/>
    <s v="Trunks"/>
    <s v="Female"/>
    <s v="Female"/>
    <s v="255.206.137.247"/>
    <s v="121.150.185.75"/>
    <n v="358"/>
    <n v="358"/>
    <x v="1"/>
    <s v="TCF^C"/>
    <x v="97"/>
    <x v="2"/>
    <s v="N/A"/>
    <s v="N/A"/>
    <n v="0"/>
    <n v="360.33"/>
    <n v="17.170000000000002"/>
    <n v="81328844"/>
    <d v="2021-10-05T00:00:00"/>
    <s v="Missing"/>
    <m/>
  </r>
  <r>
    <s v="mbenck9y"/>
    <s v="flickr.com"/>
    <s v="Morgana"/>
    <s v="Benck"/>
    <s v="Female"/>
    <s v="Female"/>
    <s v="254.203.35.90"/>
    <s v="45.27.212.70"/>
    <n v="359"/>
    <n v="359"/>
    <x v="0"/>
    <s v="CVLY"/>
    <x v="337"/>
    <x v="3"/>
    <s v="Savings Institutions"/>
    <s v="$225.47M"/>
    <n v="225470000"/>
    <n v="183.93"/>
    <n v="-11.33"/>
    <n v="175718609"/>
    <d v="2023-06-19T00:00:00"/>
    <s v="Complete"/>
    <m/>
  </r>
  <r>
    <s v="fkiltie9z"/>
    <s v="prlog.org"/>
    <s v="Fionnula"/>
    <s v="Kiltie"/>
    <s v="Female"/>
    <s v="Female"/>
    <s v="149.218.233.249"/>
    <s v="8.206.22.251"/>
    <n v="360"/>
    <n v="360"/>
    <x v="1"/>
    <s v="PBT"/>
    <x v="338"/>
    <x v="9"/>
    <s v="Oil &amp; Gas Production"/>
    <s v="$426.47M"/>
    <n v="426470000"/>
    <n v="157.61000000000001"/>
    <n v="2.4"/>
    <n v="109994523"/>
    <d v="2021-11-02T00:00:00"/>
    <s v="Complete"/>
    <m/>
  </r>
  <r>
    <s v="clowselya0"/>
    <s v="domainmarket.com"/>
    <s v="Carolina"/>
    <s v="Lowsely"/>
    <s v="Female"/>
    <s v="Female"/>
    <s v="173.76.4.143"/>
    <s v="44.243.115.92"/>
    <n v="361"/>
    <n v="361"/>
    <x v="1"/>
    <s v="DFT"/>
    <x v="339"/>
    <x v="3"/>
    <s v="Real Estate"/>
    <s v="$4.93B"/>
    <n v="4930000000"/>
    <n v="1595.42"/>
    <n v="-4.3099999999999996"/>
    <n v="82953569"/>
    <d v="2023-05-20T00:00:00"/>
    <s v="Complete"/>
    <m/>
  </r>
  <r>
    <s v="lcortera1"/>
    <s v="rambler.ru"/>
    <s v="Laurent"/>
    <s v="Corter"/>
    <s v="Male"/>
    <s v="Male"/>
    <s v="192.98.109.107"/>
    <s v="9.111.84.153"/>
    <n v="362"/>
    <n v="362"/>
    <x v="1"/>
    <s v="CVO"/>
    <x v="340"/>
    <x v="11"/>
    <s v="Containers/Packaging"/>
    <s v="$52.17M"/>
    <n v="52170000"/>
    <n v="1506.12"/>
    <n v="-1.39"/>
    <n v="9599649"/>
    <d v="2025-04-08T00:00:00"/>
    <s v="Complete"/>
    <m/>
  </r>
  <r>
    <s v="wsimonatoa2"/>
    <s v="weather.com"/>
    <s v="Winifield"/>
    <s v="Simonato"/>
    <s v="Male"/>
    <s v="Male"/>
    <s v="127.215.30.234"/>
    <s v="119.105.182.133"/>
    <n v="363"/>
    <n v="363"/>
    <x v="1"/>
    <s v="WEC"/>
    <x v="341"/>
    <x v="8"/>
    <s v="Power Generation"/>
    <s v="$20.27B"/>
    <n v="20270000000"/>
    <n v="483.32"/>
    <n v="-3.66"/>
    <n v="13989564"/>
    <d v="2026-10-08T00:00:00"/>
    <s v="Complete"/>
    <m/>
  </r>
  <r>
    <s v="bwarbeysa3"/>
    <s v="dedecms.com"/>
    <s v="Berny"/>
    <s v="Warbeys"/>
    <s v="Polygender"/>
    <s v="Other"/>
    <s v="186.117.255.105"/>
    <s v="57.150.220.248"/>
    <n v="364"/>
    <n v="364"/>
    <x v="1"/>
    <s v="USPH"/>
    <x v="342"/>
    <x v="0"/>
    <s v="Medical/Nursing Services"/>
    <s v="$787.59M"/>
    <n v="787590000"/>
    <n v="179.34"/>
    <n v="-14.42"/>
    <n v="117116643"/>
    <d v="2022-12-21T00:00:00"/>
    <s v="Complete"/>
    <m/>
  </r>
  <r>
    <s v="rdudinga4"/>
    <s v="google.pl"/>
    <s v="Rhona"/>
    <s v="Duding"/>
    <s v="Female"/>
    <s v="Female"/>
    <s v="206.229.28.184"/>
    <s v="133.105.35.231"/>
    <n v="365"/>
    <n v="365"/>
    <x v="0"/>
    <s v="WHLRP"/>
    <x v="343"/>
    <x v="6"/>
    <s v="Real Estate Investment Trusts"/>
    <s v="$16.13M"/>
    <n v="16129999.999999998"/>
    <n v="353.61"/>
    <n v="11.8"/>
    <n v="44797804"/>
    <d v="2024-01-17T00:00:00"/>
    <s v="Complete"/>
    <m/>
  </r>
  <r>
    <s v="adablea5"/>
    <s v="samsung.com"/>
    <s v="Ailene"/>
    <s v="Dable"/>
    <s v="Female"/>
    <s v="Female"/>
    <s v="3.40.232.15"/>
    <s v="64.0.146.204"/>
    <n v="366"/>
    <n v="366"/>
    <x v="1"/>
    <s v="BYD"/>
    <x v="269"/>
    <x v="6"/>
    <s v="Hotels/Resorts"/>
    <s v="$2.85B"/>
    <n v="2850000000"/>
    <n v="1916.97"/>
    <n v="-16.11"/>
    <n v="59912843"/>
    <d v="2022-12-03T00:00:00"/>
    <s v="Complete"/>
    <m/>
  </r>
  <r>
    <s v="pstringera6"/>
    <s v="mapquest.com"/>
    <s v="Pepillo"/>
    <s v="Stringer"/>
    <s v="Male"/>
    <s v="Male"/>
    <s v="23.136.47.107"/>
    <s v="62.130.7.85"/>
    <n v="367"/>
    <n v="367"/>
    <x v="0"/>
    <s v="PSCI"/>
    <x v="344"/>
    <x v="2"/>
    <s v="N/A"/>
    <s v="$96.27M"/>
    <n v="96270000"/>
    <n v="366.81"/>
    <n v="-4"/>
    <n v="110694210"/>
    <d v="2020-09-09T00:00:00"/>
    <s v="Missing"/>
    <m/>
  </r>
  <r>
    <s v="igladdena7"/>
    <s v="webeden.co.uk"/>
    <s v="Izabel"/>
    <s v="Gladden"/>
    <s v="Bigender"/>
    <s v="Other"/>
    <s v="224.84.3.128"/>
    <s v="75.44.150.140"/>
    <n v="368"/>
    <n v="368"/>
    <x v="0"/>
    <s v="PLYAW"/>
    <x v="345"/>
    <x v="6"/>
    <s v="Hotels/Resorts"/>
    <s v="N/A"/>
    <n v="0"/>
    <n v="1725.25"/>
    <n v="-19.02"/>
    <n v="152083531"/>
    <d v="2026-04-08T00:00:00"/>
    <s v="Missing"/>
    <m/>
  </r>
  <r>
    <s v="aerdesa8"/>
    <s v="exblog.jp"/>
    <s v="Arty"/>
    <s v="Erdes"/>
    <s v="Male"/>
    <s v="Male"/>
    <s v="140.242.17.131"/>
    <s v="90.211.131.61"/>
    <n v="369"/>
    <n v="369"/>
    <x v="1"/>
    <s v="KFY"/>
    <x v="320"/>
    <x v="4"/>
    <s v="Diversified Commercial Services"/>
    <s v="$1.88B"/>
    <n v="1880000000"/>
    <n v="1254.3499999999999"/>
    <n v="15.92"/>
    <n v="138951659"/>
    <d v="2021-06-17T00:00:00"/>
    <s v="Complete"/>
    <m/>
  </r>
  <r>
    <s v="dmonkmana9"/>
    <s v="woothemes.com"/>
    <s v="Dan"/>
    <s v="Monkman"/>
    <s v="Male"/>
    <s v="Male"/>
    <s v="166.73.44.136"/>
    <s v="136.74.8.222"/>
    <n v="370"/>
    <n v="370"/>
    <x v="1"/>
    <s v="ACN"/>
    <x v="346"/>
    <x v="7"/>
    <s v="Business Services"/>
    <s v="$81.78B"/>
    <n v="81780000000"/>
    <n v="1095.94"/>
    <n v="-19.3"/>
    <n v="131400820"/>
    <d v="2023-11-25T00:00:00"/>
    <s v="Complete"/>
    <m/>
  </r>
  <r>
    <s v="swarlaweaa"/>
    <s v="disqus.com"/>
    <s v="Sutherlan"/>
    <s v="Warlawe"/>
    <s v="Male"/>
    <s v="Male"/>
    <s v="51.241.64.88"/>
    <s v="254.151.128.173"/>
    <n v="371"/>
    <n v="371"/>
    <x v="0"/>
    <s v="ROST"/>
    <x v="347"/>
    <x v="6"/>
    <s v="Clothing/Shoe/Accessory Stores"/>
    <s v="$23.38B"/>
    <n v="23380000000"/>
    <n v="755.28"/>
    <n v="-15.49"/>
    <n v="78454310"/>
    <d v="2026-11-20T00:00:00"/>
    <s v="Complete"/>
    <m/>
  </r>
  <r>
    <s v="agwiltab"/>
    <s v="wikipedia.org"/>
    <s v="Adrea"/>
    <s v="Gwilt"/>
    <s v="Female"/>
    <s v="Female"/>
    <s v="124.182.212.98"/>
    <s v="33.222.45.223"/>
    <n v="372"/>
    <n v="372"/>
    <x v="0"/>
    <s v="XCRA"/>
    <x v="348"/>
    <x v="1"/>
    <s v="Electrical Products"/>
    <s v="$536.16M"/>
    <n v="536159999.99999994"/>
    <n v="422.22"/>
    <n v="-0.28000000000000003"/>
    <n v="27083210"/>
    <d v="2026-06-30T00:00:00"/>
    <s v="Complete"/>
    <m/>
  </r>
  <r>
    <s v="gvanacciac"/>
    <s v="census.gov"/>
    <s v="Guss"/>
    <s v="Vanacci"/>
    <s v="Male"/>
    <s v="Male"/>
    <s v="8.81.187.13"/>
    <s v="28.105.71.158"/>
    <n v="373"/>
    <n v="373"/>
    <x v="0"/>
    <s v="BPMC"/>
    <x v="349"/>
    <x v="0"/>
    <s v="Major Pharmaceuticals"/>
    <s v="$1.56B"/>
    <n v="1560000000"/>
    <n v="1278.19"/>
    <n v="9.25"/>
    <n v="8935981"/>
    <d v="2022-03-30T00:00:00"/>
    <s v="Complete"/>
    <m/>
  </r>
  <r>
    <s v="fwedgead"/>
    <s v="engadget.com"/>
    <s v="Findlay"/>
    <s v="Wedge"/>
    <s v="Male"/>
    <s v="Male"/>
    <s v="113.12.222.114"/>
    <s v="205.77.154.2"/>
    <n v="374"/>
    <n v="374"/>
    <x v="0"/>
    <s v="GRID"/>
    <x v="350"/>
    <x v="2"/>
    <s v="N/A"/>
    <s v="$21.91M"/>
    <n v="21910000"/>
    <n v="122.38"/>
    <n v="-19.87"/>
    <n v="115704723"/>
    <d v="2023-01-22T00:00:00"/>
    <s v="Missing"/>
    <m/>
  </r>
  <r>
    <s v="ealecockae"/>
    <s v="blogtalkradio.com"/>
    <s v="Erik"/>
    <s v="Alecock"/>
    <s v="Male"/>
    <s v="Male"/>
    <s v="117.216.51.126"/>
    <s v="63.51.221.212"/>
    <n v="375"/>
    <n v="375"/>
    <x v="1"/>
    <s v="HUBB"/>
    <x v="351"/>
    <x v="1"/>
    <s v="Electrical Products"/>
    <s v="$6.47B"/>
    <n v="6470000000"/>
    <n v="1861.49"/>
    <n v="-1.76"/>
    <n v="127566238"/>
    <d v="2020-05-09T00:00:00"/>
    <s v="Complete"/>
    <m/>
  </r>
  <r>
    <s v="ereichardtaf"/>
    <s v="upenn.edu"/>
    <s v="Emlynne"/>
    <s v="Reichardt"/>
    <s v="Female"/>
    <s v="Female"/>
    <s v="69.242.134.94"/>
    <s v="5.162.2.243"/>
    <n v="376"/>
    <n v="376"/>
    <x v="1"/>
    <s v="PPR"/>
    <x v="352"/>
    <x v="2"/>
    <s v="N/A"/>
    <s v="$790.66M"/>
    <n v="790660000"/>
    <n v="907.28"/>
    <n v="15.35"/>
    <n v="64565846"/>
    <d v="2026-12-15T00:00:00"/>
    <s v="Missing"/>
    <m/>
  </r>
  <r>
    <s v="mhardwayag"/>
    <s v="edublogs.org"/>
    <s v="Marchelle"/>
    <s v="Hardway"/>
    <s v="Female"/>
    <s v="Female"/>
    <s v="49.174.192.226"/>
    <s v="113.115.51.216"/>
    <n v="377"/>
    <n v="377"/>
    <x v="1"/>
    <s v="GGZ"/>
    <x v="246"/>
    <x v="2"/>
    <s v="N/A"/>
    <s v="$95.4M"/>
    <n v="95400000"/>
    <n v="271.20999999999998"/>
    <n v="-18.420000000000002"/>
    <n v="163968376"/>
    <d v="2024-04-24T00:00:00"/>
    <s v="Missing"/>
    <m/>
  </r>
  <r>
    <s v="mtreaceah"/>
    <s v="google.co.jp"/>
    <s v="Margy"/>
    <s v="Treace"/>
    <s v="Female"/>
    <s v="Female"/>
    <s v="138.87.239.80"/>
    <s v="196.41.24.58"/>
    <n v="378"/>
    <n v="378"/>
    <x v="1"/>
    <s v="TIME"/>
    <x v="353"/>
    <x v="6"/>
    <s v="Newspapers/Magazines"/>
    <s v="$1.35B"/>
    <n v="1350000000"/>
    <n v="936.05"/>
    <n v="-19.22"/>
    <n v="196132322"/>
    <d v="2024-07-26T00:00:00"/>
    <s v="Complete"/>
    <m/>
  </r>
  <r>
    <s v="rcradocai"/>
    <s v="twitpic.com"/>
    <s v="Ranice"/>
    <s v="Cradoc"/>
    <s v="Genderfluid"/>
    <s v="Other"/>
    <s v="98.61.162.250"/>
    <s v="205.178.124.49"/>
    <n v="379"/>
    <n v="379"/>
    <x v="0"/>
    <s v="HAIN"/>
    <x v="354"/>
    <x v="5"/>
    <s v="Packaged Foods"/>
    <s v="$3.51B"/>
    <n v="3510000000"/>
    <n v="267.92"/>
    <n v="-15.11"/>
    <n v="115680825"/>
    <d v="2023-11-29T00:00:00"/>
    <s v="Complete"/>
    <m/>
  </r>
  <r>
    <s v="bduncombeaj"/>
    <s v="flickr.com"/>
    <s v="Brooks"/>
    <s v="Duncombe"/>
    <s v="Female"/>
    <s v="Female"/>
    <s v="233.89.206.135"/>
    <s v="41.233.78.93"/>
    <n v="380"/>
    <n v="380"/>
    <x v="0"/>
    <s v="PYZ"/>
    <x v="355"/>
    <x v="2"/>
    <s v="N/A"/>
    <s v="$95.77M"/>
    <n v="95770000"/>
    <n v="565.44000000000005"/>
    <n v="-12.51"/>
    <n v="113907223"/>
    <d v="2026-11-30T00:00:00"/>
    <s v="Missing"/>
    <m/>
  </r>
  <r>
    <s v="atrimbeyak"/>
    <s v="cdbaby.com"/>
    <s v="Aksel"/>
    <s v="Trimbey"/>
    <s v="Male"/>
    <s v="Male"/>
    <s v="8.130.2.170"/>
    <s v="164.40.62.179"/>
    <n v="381"/>
    <n v="381"/>
    <x v="0"/>
    <s v="NDRM"/>
    <x v="356"/>
    <x v="0"/>
    <s v="Major Pharmaceuticals"/>
    <s v="$766.44M"/>
    <n v="766440000"/>
    <n v="536.76"/>
    <n v="17.63"/>
    <n v="80812922"/>
    <d v="2024-07-07T00:00:00"/>
    <s v="Complete"/>
    <m/>
  </r>
  <r>
    <s v="ahovieal"/>
    <s v="moonfruit.com"/>
    <s v="Abbie"/>
    <s v="Hovie"/>
    <s v="Male"/>
    <s v="Male"/>
    <s v="124.6.73.175"/>
    <s v="240.79.206.233"/>
    <n v="382"/>
    <n v="382"/>
    <x v="0"/>
    <s v="POWI"/>
    <x v="357"/>
    <x v="4"/>
    <s v="Semiconductors"/>
    <s v="$1.89B"/>
    <n v="1890000000"/>
    <n v="783.95"/>
    <n v="-1.33"/>
    <n v="128209681"/>
    <d v="2023-08-21T00:00:00"/>
    <s v="Complete"/>
    <m/>
  </r>
  <r>
    <s v="acrinionam"/>
    <s v="godaddy.com"/>
    <s v="Annabelle"/>
    <s v="Crinion"/>
    <s v="Female"/>
    <s v="Female"/>
    <s v="75.51.105.69"/>
    <s v="209.35.220.201"/>
    <n v="383"/>
    <n v="383"/>
    <x v="0"/>
    <s v="RWLK"/>
    <x v="358"/>
    <x v="0"/>
    <s v="Industrial Specialties"/>
    <s v="$20.84M"/>
    <n v="20840000"/>
    <n v="1492.92"/>
    <n v="-19.53"/>
    <n v="147543939"/>
    <d v="2024-08-29T00:00:00"/>
    <s v="Complete"/>
    <m/>
  </r>
  <r>
    <s v="rhulsean"/>
    <s v="youtube.com"/>
    <s v="Rochelle"/>
    <s v="Hulse"/>
    <s v="Female"/>
    <s v="Female"/>
    <s v="212.90.17.208"/>
    <s v="224.46.205.232"/>
    <n v="384"/>
    <n v="384"/>
    <x v="0"/>
    <s v="RDI"/>
    <x v="359"/>
    <x v="6"/>
    <s v="Movies/Entertainment"/>
    <s v="$367M"/>
    <n v="367000000"/>
    <n v="1275.99"/>
    <n v="13.16"/>
    <n v="115427461"/>
    <d v="2024-10-12T00:00:00"/>
    <s v="Complete"/>
    <m/>
  </r>
  <r>
    <s v="bclarricoatesao"/>
    <s v="ft.com"/>
    <s v="Bobbi"/>
    <s v="Clarricoates"/>
    <s v="Genderqueer"/>
    <s v="Other"/>
    <s v="29.13.51.90"/>
    <s v="104.254.209.20"/>
    <n v="385"/>
    <n v="385"/>
    <x v="0"/>
    <s v="PCTI"/>
    <x v="360"/>
    <x v="4"/>
    <s v="Radio And Television Broadcasting And Communications Equipment"/>
    <s v="$120.74M"/>
    <n v="120740000"/>
    <n v="373.39"/>
    <n v="8.9600000000000009"/>
    <n v="187381222"/>
    <d v="2021-10-02T00:00:00"/>
    <s v="Complete"/>
    <m/>
  </r>
  <r>
    <s v="vlevensap"/>
    <s v="eventbrite.com"/>
    <s v="Viv"/>
    <s v="Levens"/>
    <s v="Female"/>
    <s v="Female"/>
    <s v="4.76.187.48"/>
    <s v="62.250.221.104"/>
    <n v="386"/>
    <n v="386"/>
    <x v="0"/>
    <s v="OESX"/>
    <x v="361"/>
    <x v="11"/>
    <s v="Building Products"/>
    <s v="$38.19M"/>
    <n v="38190000"/>
    <n v="1745.01"/>
    <n v="4.57"/>
    <n v="46921888"/>
    <d v="2024-05-11T00:00:00"/>
    <s v="Complete"/>
    <m/>
  </r>
  <r>
    <s v="rgertaq"/>
    <s v="photobucket.com"/>
    <s v="Reine"/>
    <s v="Gert"/>
    <s v="Female"/>
    <s v="Female"/>
    <s v="154.42.185.32"/>
    <s v="53.148.251.128"/>
    <n v="387"/>
    <n v="387"/>
    <x v="1"/>
    <s v="WBT"/>
    <x v="362"/>
    <x v="4"/>
    <s v="Industrial Machinery/Components"/>
    <s v="$2.62B"/>
    <n v="2620000000"/>
    <n v="1245.42"/>
    <n v="-15.13"/>
    <n v="52974556"/>
    <d v="2021-11-04T00:00:00"/>
    <s v="Complete"/>
    <m/>
  </r>
  <r>
    <s v="tmannoochar"/>
    <s v="drupal.org"/>
    <s v="Tobi"/>
    <s v="Mannooch"/>
    <s v="Female"/>
    <s v="Female"/>
    <s v="12.246.230.201"/>
    <s v="7.83.47.21"/>
    <n v="388"/>
    <n v="388"/>
    <x v="1"/>
    <s v="NXRT"/>
    <x v="363"/>
    <x v="6"/>
    <s v="Real Estate Investment Trusts"/>
    <s v="$536.19M"/>
    <n v="536190000.00000006"/>
    <n v="634.16999999999996"/>
    <n v="5.97"/>
    <n v="20533242"/>
    <d v="2024-09-15T00:00:00"/>
    <s v="Complete"/>
    <m/>
  </r>
  <r>
    <s v="uhubbackas"/>
    <s v="unesco.org"/>
    <s v="Ursula"/>
    <s v="Hubback"/>
    <s v="Female"/>
    <s v="Female"/>
    <s v="222.157.121.177"/>
    <s v="83.248.22.72"/>
    <n v="389"/>
    <n v="389"/>
    <x v="1"/>
    <s v="JONE"/>
    <x v="364"/>
    <x v="9"/>
    <s v="Oil &amp; Gas Production"/>
    <s v="$162.11M"/>
    <n v="162110000"/>
    <n v="1836.29"/>
    <n v="4.22"/>
    <n v="73018825"/>
    <d v="2024-06-28T00:00:00"/>
    <s v="Complete"/>
    <m/>
  </r>
  <r>
    <s v="fbreedyat"/>
    <s v="state.gov"/>
    <s v="Frederich"/>
    <s v="Breedy"/>
    <s v="Male"/>
    <s v="Male"/>
    <s v="80.169.178.249"/>
    <s v="76.31.92.189"/>
    <n v="390"/>
    <n v="390"/>
    <x v="0"/>
    <s v="ASRV"/>
    <x v="365"/>
    <x v="3"/>
    <s v="Major Banks"/>
    <s v="$76.54M"/>
    <n v="76540000"/>
    <n v="1672.95"/>
    <n v="14.45"/>
    <n v="125984991"/>
    <d v="2026-05-24T00:00:00"/>
    <s v="Complete"/>
    <m/>
  </r>
  <r>
    <s v="rcanfieldau"/>
    <s v="mediafire.com"/>
    <s v="Rey"/>
    <s v="Canfield"/>
    <s v="Female"/>
    <s v="Female"/>
    <s v="74.253.130.226"/>
    <s v="28.2.141.205"/>
    <n v="391"/>
    <n v="391"/>
    <x v="1"/>
    <s v="VMO"/>
    <x v="366"/>
    <x v="2"/>
    <s v="N/A"/>
    <s v="$885.83M"/>
    <n v="885830000"/>
    <n v="174.63"/>
    <n v="3.39"/>
    <n v="170368027"/>
    <d v="2025-03-31T00:00:00"/>
    <s v="Missing"/>
    <m/>
  </r>
  <r>
    <s v="rhaymanav"/>
    <s v="bandcamp.com"/>
    <s v="Raffarty"/>
    <s v="Hayman"/>
    <s v="Male"/>
    <s v="Male"/>
    <s v="201.108.189.189"/>
    <s v="212.62.244.255"/>
    <n v="392"/>
    <n v="392"/>
    <x v="1"/>
    <s v="EOS"/>
    <x v="367"/>
    <x v="2"/>
    <s v="N/A"/>
    <s v="$701.96M"/>
    <n v="701960000"/>
    <n v="966.79"/>
    <n v="2.2000000000000002"/>
    <n v="179429061"/>
    <d v="2023-10-13T00:00:00"/>
    <s v="Missing"/>
    <m/>
  </r>
  <r>
    <s v="sturnoraw"/>
    <s v="washingtonpost.com"/>
    <s v="Shanda"/>
    <s v="Turnor"/>
    <s v="Bigender"/>
    <s v="Other"/>
    <s v="4.46.173.156"/>
    <s v="185.195.252.14"/>
    <n v="393"/>
    <n v="393"/>
    <x v="1"/>
    <s v="BIP"/>
    <x v="368"/>
    <x v="6"/>
    <s v="Marine Transportation"/>
    <s v="$10.77B"/>
    <n v="10770000000"/>
    <n v="718"/>
    <n v="-10.39"/>
    <n v="42078343"/>
    <d v="2021-07-30T00:00:00"/>
    <s v="Complete"/>
    <m/>
  </r>
  <r>
    <s v="agofordax"/>
    <s v="technorati.com"/>
    <s v="Aile"/>
    <s v="Goford"/>
    <s v="Female"/>
    <s v="Female"/>
    <s v="12.57.75.181"/>
    <s v="139.220.93.159"/>
    <n v="394"/>
    <n v="394"/>
    <x v="0"/>
    <s v="FSAM"/>
    <x v="369"/>
    <x v="3"/>
    <s v="Investment Managers"/>
    <s v="$172.02M"/>
    <n v="172020000"/>
    <n v="1642.18"/>
    <n v="-1.8"/>
    <n v="189180639"/>
    <d v="2020-05-16T00:00:00"/>
    <s v="Complete"/>
    <m/>
  </r>
  <r>
    <s v="rcristofanoay"/>
    <s v="adobe.com"/>
    <s v="Renaud"/>
    <s v="Cristofano"/>
    <s v="Male"/>
    <s v="Male"/>
    <s v="139.99.180.136"/>
    <s v="220.228.114.95"/>
    <n v="395"/>
    <n v="395"/>
    <x v="0"/>
    <s v="CBSHP"/>
    <x v="370"/>
    <x v="3"/>
    <s v="Major Banks"/>
    <s v="$2.4B"/>
    <n v="2400000000"/>
    <n v="1284.8900000000001"/>
    <n v="5.94"/>
    <n v="97996470"/>
    <d v="2026-08-15T00:00:00"/>
    <s v="Complete"/>
    <m/>
  </r>
  <r>
    <s v="rdobrowskiaz"/>
    <s v="indiatimes.com"/>
    <s v="Reginald"/>
    <s v="Dobrowski"/>
    <s v="Male"/>
    <s v="Male"/>
    <s v="169.20.244.193"/>
    <s v="57.141.91.2"/>
    <n v="396"/>
    <n v="396"/>
    <x v="1"/>
    <s v="GYB"/>
    <x v="371"/>
    <x v="3"/>
    <s v="Finance: Consumer Services"/>
    <s v="N/A"/>
    <n v="0"/>
    <n v="364.35"/>
    <n v="1.89"/>
    <n v="170678396"/>
    <d v="2025-11-04T00:00:00"/>
    <s v="Missing"/>
    <m/>
  </r>
  <r>
    <s v="bdianob0"/>
    <s v="ebay.co.uk"/>
    <s v="Brinn"/>
    <s v="Diano"/>
    <s v="Female"/>
    <s v="Female"/>
    <s v="57.229.78.35"/>
    <s v="145.35.14.87"/>
    <n v="397"/>
    <n v="397"/>
    <x v="1"/>
    <s v="MMM"/>
    <x v="372"/>
    <x v="0"/>
    <s v="Medical/Dental Instruments"/>
    <s v="$127.36B"/>
    <n v="127360000000"/>
    <n v="437.1"/>
    <n v="3.91"/>
    <n v="87905712"/>
    <d v="2020-06-13T00:00:00"/>
    <s v="Complete"/>
    <m/>
  </r>
  <r>
    <s v="htotenb1"/>
    <s v="amazon.de"/>
    <s v="Hobie"/>
    <s v="Toten"/>
    <s v="Male"/>
    <s v="Male"/>
    <s v="52.150.88.34"/>
    <s v="164.75.154.197"/>
    <n v="398"/>
    <n v="398"/>
    <x v="0"/>
    <s v="STMP"/>
    <x v="373"/>
    <x v="7"/>
    <s v="Business Services"/>
    <s v="$2.49B"/>
    <n v="2490000000"/>
    <n v="1183.9100000000001"/>
    <n v="4.3899999999999997"/>
    <n v="88383055"/>
    <d v="2022-08-02T00:00:00"/>
    <s v="Complete"/>
    <m/>
  </r>
  <r>
    <s v="pmacclureb2"/>
    <s v="opera.com"/>
    <s v="Paddy"/>
    <s v="MacClure"/>
    <s v="Male"/>
    <s v="Male"/>
    <s v="106.185.29.102"/>
    <s v="17.24.11.2"/>
    <n v="399"/>
    <n v="399"/>
    <x v="0"/>
    <s v="KEYW"/>
    <x v="374"/>
    <x v="4"/>
    <s v="EDP Services"/>
    <s v="$447.05M"/>
    <n v="447050000"/>
    <n v="1652.59"/>
    <n v="19.55"/>
    <n v="75811928"/>
    <d v="2025-02-12T00:00:00"/>
    <s v="Complete"/>
    <m/>
  </r>
  <r>
    <s v="yholdb3"/>
    <s v="mozilla.com"/>
    <s v="Yoshiko"/>
    <s v="Hold"/>
    <s v="Female"/>
    <s v="Female"/>
    <s v="85.60.86.247"/>
    <s v="17.205.29.79"/>
    <n v="400"/>
    <n v="400"/>
    <x v="1"/>
    <s v="CMRE^B"/>
    <x v="375"/>
    <x v="2"/>
    <s v="N/A"/>
    <s v="N/A"/>
    <n v="0"/>
    <n v="199.54"/>
    <n v="-14.93"/>
    <n v="116757622"/>
    <d v="2025-09-29T00:00:00"/>
    <s v="Missing"/>
    <m/>
  </r>
  <r>
    <s v="acardosob4"/>
    <s v="baidu.com"/>
    <s v="Avictor"/>
    <s v="Cardoso"/>
    <s v="Male"/>
    <s v="Male"/>
    <s v="112.123.48.32"/>
    <s v="59.43.222.243"/>
    <n v="401"/>
    <n v="401"/>
    <x v="1"/>
    <s v="THS"/>
    <x v="376"/>
    <x v="5"/>
    <s v="Packaged Foods"/>
    <s v="$4.61B"/>
    <n v="4610000000"/>
    <n v="1358.37"/>
    <n v="-14.82"/>
    <n v="166938157"/>
    <d v="2021-12-26T00:00:00"/>
    <s v="Complete"/>
    <m/>
  </r>
  <r>
    <s v="rgrenshielsb5"/>
    <s v="webmd.com"/>
    <s v="Ram"/>
    <s v="Grenshiels"/>
    <s v="Male"/>
    <s v="Male"/>
    <s v="140.106.94.5"/>
    <s v="84.139.206.153"/>
    <n v="402"/>
    <n v="402"/>
    <x v="0"/>
    <s v="FULT"/>
    <x v="377"/>
    <x v="3"/>
    <s v="Major Banks"/>
    <s v="$3.33B"/>
    <n v="3330000000"/>
    <n v="1698.18"/>
    <n v="19.52"/>
    <n v="132182960"/>
    <d v="2022-12-30T00:00:00"/>
    <s v="Complete"/>
    <m/>
  </r>
  <r>
    <s v="dmatteonib6"/>
    <s v="omniture.com"/>
    <s v="Domini"/>
    <s v="Matteoni"/>
    <s v="Female"/>
    <s v="Female"/>
    <s v="58.110.105.76"/>
    <s v="239.41.162.5"/>
    <n v="403"/>
    <n v="403"/>
    <x v="0"/>
    <s v="TANNI"/>
    <x v="40"/>
    <x v="11"/>
    <s v="Automotive Aftermarket"/>
    <s v="N/A"/>
    <n v="0"/>
    <n v="1106.94"/>
    <n v="-3.55"/>
    <n v="90040685"/>
    <d v="2026-07-31T00:00:00"/>
    <s v="Missing"/>
    <m/>
  </r>
  <r>
    <s v="dpratorb7"/>
    <s v="icq.com"/>
    <s v="Dominic"/>
    <s v="Prator"/>
    <s v="Male"/>
    <s v="Male"/>
    <s v="164.197.169.192"/>
    <s v="72.157.216.178"/>
    <n v="404"/>
    <n v="404"/>
    <x v="1"/>
    <s v="TPH"/>
    <x v="378"/>
    <x v="1"/>
    <s v="Homebuilding"/>
    <s v="$1.98B"/>
    <n v="1980000000"/>
    <n v="1237.97"/>
    <n v="4.37"/>
    <n v="34030734"/>
    <d v="2026-06-12T00:00:00"/>
    <s v="Complete"/>
    <m/>
  </r>
  <r>
    <s v="brenwickb8"/>
    <s v="ameblo.jp"/>
    <s v="Beilul"/>
    <s v="Renwick"/>
    <s v="Female"/>
    <s v="Female"/>
    <s v="150.211.227.42"/>
    <s v="196.7.157.204"/>
    <n v="405"/>
    <n v="405"/>
    <x v="0"/>
    <s v="FMAO"/>
    <x v="379"/>
    <x v="3"/>
    <s v="Savings Institutions"/>
    <s v="$253.22M"/>
    <n v="253220000"/>
    <n v="1576.63"/>
    <n v="12.46"/>
    <n v="83580309"/>
    <d v="2026-05-23T00:00:00"/>
    <s v="Complete"/>
    <m/>
  </r>
  <r>
    <s v="tribbonb9"/>
    <s v="psu.edu"/>
    <s v="Trudie"/>
    <s v="Ribbon"/>
    <s v="Agender"/>
    <s v="Other"/>
    <s v="216.194.13.212"/>
    <s v="28.73.26.122"/>
    <n v="406"/>
    <n v="406"/>
    <x v="0"/>
    <s v="HMNY"/>
    <x v="380"/>
    <x v="6"/>
    <s v="Other Consumer Services"/>
    <s v="$14.65M"/>
    <n v="14650000"/>
    <n v="1459.91"/>
    <n v="-3.91"/>
    <n v="102410747"/>
    <d v="2025-11-21T00:00:00"/>
    <s v="Complete"/>
    <m/>
  </r>
  <r>
    <s v="vbalwinba"/>
    <s v="google.ca"/>
    <s v="Valentin"/>
    <s v="Balwin"/>
    <s v="Male"/>
    <s v="Male"/>
    <s v="12.21.1.109"/>
    <s v="11.233.57.251"/>
    <n v="407"/>
    <n v="407"/>
    <x v="1"/>
    <s v="AIC"/>
    <x v="381"/>
    <x v="3"/>
    <s v="Finance/Investors Services"/>
    <s v="N/A"/>
    <n v="0"/>
    <n v="1830.34"/>
    <n v="-2.2200000000000002"/>
    <n v="19091585"/>
    <d v="2020-01-29T00:00:00"/>
    <s v="Missing"/>
    <m/>
  </r>
  <r>
    <s v="bheightbb"/>
    <s v="hc360.com"/>
    <s v="Bree"/>
    <s v="Height"/>
    <s v="Female"/>
    <s v="Female"/>
    <s v="28.107.166.18"/>
    <s v="199.229.12.169"/>
    <n v="408"/>
    <n v="408"/>
    <x v="0"/>
    <s v="MDIV"/>
    <x v="382"/>
    <x v="2"/>
    <s v="N/A"/>
    <s v="$887.04M"/>
    <n v="887040000"/>
    <n v="1744.45"/>
    <n v="-16.09"/>
    <n v="35979213"/>
    <d v="2023-05-01T00:00:00"/>
    <s v="Missing"/>
    <m/>
  </r>
  <r>
    <s v="vralstonbc"/>
    <s v="t.co"/>
    <s v="Valina"/>
    <s v="Ralston"/>
    <s v="Female"/>
    <s v="Female"/>
    <s v="164.192.224.122"/>
    <s v="215.106.130.31"/>
    <n v="409"/>
    <n v="409"/>
    <x v="1"/>
    <s v="FBM"/>
    <x v="383"/>
    <x v="6"/>
    <s v="RETAIL: Building Materials"/>
    <s v="$589.4M"/>
    <n v="589400000"/>
    <n v="1062.47"/>
    <n v="-2.52"/>
    <n v="165797719"/>
    <d v="2026-09-05T00:00:00"/>
    <s v="Complete"/>
    <m/>
  </r>
  <r>
    <s v="zworsleybd"/>
    <s v="abc.net.au"/>
    <s v="Zorana"/>
    <s v="Worsley"/>
    <s v="Female"/>
    <s v="Female"/>
    <s v="253.244.242.239"/>
    <s v="122.93.231.121"/>
    <n v="410"/>
    <n v="410"/>
    <x v="0"/>
    <s v="IBCP"/>
    <x v="384"/>
    <x v="3"/>
    <s v="Major Banks"/>
    <s v="$452.26M"/>
    <n v="452260000"/>
    <n v="1328.19"/>
    <n v="6.66"/>
    <n v="137122362"/>
    <d v="2022-09-15T00:00:00"/>
    <s v="Complete"/>
    <m/>
  </r>
  <r>
    <s v="cvanichkinbe"/>
    <s v="networksolutions.com"/>
    <s v="Carola"/>
    <s v="Vanichkin"/>
    <s v="Female"/>
    <s v="Female"/>
    <s v="61.82.193.120"/>
    <s v="33.173.223.156"/>
    <n v="411"/>
    <n v="411"/>
    <x v="1"/>
    <s v="APF"/>
    <x v="385"/>
    <x v="2"/>
    <s v="N/A"/>
    <s v="$224.53M"/>
    <n v="224530000"/>
    <n v="285.01"/>
    <n v="-16.3"/>
    <n v="129580744"/>
    <d v="2022-02-08T00:00:00"/>
    <s v="Missing"/>
    <m/>
  </r>
  <r>
    <s v="avigrassbf"/>
    <s v="alexa.com"/>
    <s v="Analiese"/>
    <s v="Vigrass"/>
    <s v="Female"/>
    <s v="Female"/>
    <s v="202.194.144.72"/>
    <s v="4.199.196.192"/>
    <n v="412"/>
    <n v="412"/>
    <x v="0"/>
    <s v="OHAI"/>
    <x v="386"/>
    <x v="2"/>
    <s v="N/A"/>
    <s v="$24.59M"/>
    <n v="24590000"/>
    <n v="917.91"/>
    <n v="-3.97"/>
    <n v="186832584"/>
    <d v="2024-12-27T00:00:00"/>
    <s v="Missing"/>
    <m/>
  </r>
  <r>
    <s v="ckopacekbg"/>
    <s v="wisc.edu"/>
    <s v="Chick"/>
    <s v="Kopacek"/>
    <s v="Male"/>
    <s v="Male"/>
    <s v="163.94.38.6"/>
    <s v="115.110.56.63"/>
    <n v="413"/>
    <n v="413"/>
    <x v="1"/>
    <s v="ARI"/>
    <x v="387"/>
    <x v="6"/>
    <s v="Real Estate Investment Trusts"/>
    <s v="$2B"/>
    <n v="2000000000"/>
    <n v="1983.17"/>
    <n v="-11.54"/>
    <n v="130761263"/>
    <d v="2021-04-29T00:00:00"/>
    <s v="Complete"/>
    <m/>
  </r>
  <r>
    <s v="tspennockbh"/>
    <s v="webs.com"/>
    <s v="Tootsie"/>
    <s v="Spennock"/>
    <s v="Female"/>
    <s v="Female"/>
    <s v="80.135.219.159"/>
    <s v="135.198.53.194"/>
    <n v="414"/>
    <n v="414"/>
    <x v="0"/>
    <s v="PIO"/>
    <x v="388"/>
    <x v="2"/>
    <s v="N/A"/>
    <s v="$191.36M"/>
    <n v="191360000"/>
    <n v="102.86"/>
    <n v="-4.29"/>
    <n v="96355070"/>
    <d v="2022-07-02T00:00:00"/>
    <s v="Missing"/>
    <m/>
  </r>
  <r>
    <s v="rofearguisebi"/>
    <s v="51.la"/>
    <s v="Raphaela"/>
    <s v="O'Fearguise"/>
    <s v="Female"/>
    <s v="Female"/>
    <s v="254.175.94.213"/>
    <s v="128.253.157.63"/>
    <n v="415"/>
    <n v="415"/>
    <x v="0"/>
    <s v="SPSC"/>
    <x v="389"/>
    <x v="4"/>
    <s v="Computer Software: Prepackaged Software"/>
    <s v="$1.04B"/>
    <n v="1040000000"/>
    <n v="840.33"/>
    <n v="-0.37"/>
    <n v="191683567"/>
    <d v="2025-04-25T00:00:00"/>
    <s v="Complete"/>
    <m/>
  </r>
  <r>
    <s v="ybambrickbj"/>
    <s v="godaddy.com"/>
    <s v="Yule"/>
    <s v="Bambrick"/>
    <s v="Male"/>
    <s v="Male"/>
    <s v="10.182.107.65"/>
    <s v="159.149.162.253"/>
    <n v="416"/>
    <n v="416"/>
    <x v="0"/>
    <s v="TTS"/>
    <x v="390"/>
    <x v="6"/>
    <s v="Home Furnishings"/>
    <s v="$1.12B"/>
    <n v="1120000000"/>
    <n v="716"/>
    <n v="-15.53"/>
    <n v="3934377"/>
    <d v="2023-05-08T00:00:00"/>
    <s v="Complete"/>
    <m/>
  </r>
  <r>
    <s v="astylebk"/>
    <s v="deviantart.com"/>
    <s v="Adelaide"/>
    <s v="Style"/>
    <s v="Female"/>
    <s v="Female"/>
    <s v="46.101.151.167"/>
    <s v="140.90.145.114"/>
    <n v="417"/>
    <n v="417"/>
    <x v="1"/>
    <s v="AXTA"/>
    <x v="391"/>
    <x v="10"/>
    <s v="Paints/Coatings"/>
    <s v="$8.17B"/>
    <n v="8170000000"/>
    <n v="1990.65"/>
    <n v="-9.91"/>
    <n v="133461820"/>
    <d v="2021-04-13T00:00:00"/>
    <s v="Complete"/>
    <m/>
  </r>
  <r>
    <s v="bhagerghambl"/>
    <s v="nsw.gov.au"/>
    <s v="Barbaraanne"/>
    <s v="Hagergham"/>
    <s v="Agender"/>
    <s v="Other"/>
    <s v="2.180.235.115"/>
    <s v="236.123.247.118"/>
    <n v="418"/>
    <n v="418"/>
    <x v="0"/>
    <s v="PULM"/>
    <x v="392"/>
    <x v="0"/>
    <s v="Major Pharmaceuticals"/>
    <s v="$45.78M"/>
    <n v="45780000"/>
    <n v="438.67"/>
    <n v="-6.02"/>
    <n v="96929690"/>
    <d v="2025-12-13T00:00:00"/>
    <s v="Complete"/>
    <m/>
  </r>
  <r>
    <s v="efeyerbm"/>
    <s v="ibm.com"/>
    <s v="Errol"/>
    <s v="Feyer"/>
    <s v="Male"/>
    <s v="Male"/>
    <s v="55.195.42.199"/>
    <s v="196.151.9.66"/>
    <n v="419"/>
    <n v="419"/>
    <x v="0"/>
    <s v="GEC"/>
    <x v="282"/>
    <x v="4"/>
    <s v="Computer Software: Prepackaged Software"/>
    <s v="$80.04M"/>
    <n v="80040000"/>
    <n v="1456.17"/>
    <n v="6.51"/>
    <n v="81877094"/>
    <d v="2025-12-26T00:00:00"/>
    <s v="Complete"/>
    <m/>
  </r>
  <r>
    <s v="wgiddonsbn"/>
    <s v="businesswire.com"/>
    <s v="Whitney"/>
    <s v="Giddons"/>
    <s v="Female"/>
    <s v="Female"/>
    <s v="148.159.81.56"/>
    <s v="46.47.107.238"/>
    <n v="420"/>
    <n v="420"/>
    <x v="0"/>
    <s v="EYEGW"/>
    <x v="393"/>
    <x v="0"/>
    <s v="Major Pharmaceuticals"/>
    <s v="N/A"/>
    <n v="0"/>
    <n v="442.42"/>
    <n v="-16.829999999999998"/>
    <n v="146851254"/>
    <d v="2021-10-04T00:00:00"/>
    <s v="Missing"/>
    <m/>
  </r>
  <r>
    <s v="crugglesbo"/>
    <s v="wikimedia.org"/>
    <s v="Calhoun"/>
    <s v="Ruggles"/>
    <s v="Male"/>
    <s v="Male"/>
    <s v="200.53.164.73"/>
    <s v="0.52.195.109"/>
    <n v="421"/>
    <n v="421"/>
    <x v="0"/>
    <s v="SMSI"/>
    <x v="394"/>
    <x v="4"/>
    <s v="Computer Software: Prepackaged Software"/>
    <s v="$16.06M"/>
    <n v="16059999.999999998"/>
    <n v="1675.52"/>
    <n v="13.57"/>
    <n v="105082102"/>
    <d v="2020-11-25T00:00:00"/>
    <s v="Complete"/>
    <m/>
  </r>
  <r>
    <s v="cjacobsenbp"/>
    <s v="chicagotribune.com"/>
    <s v="Chaddy"/>
    <s v="Jacobsen"/>
    <s v="Male"/>
    <s v="Male"/>
    <s v="62.248.247.25"/>
    <s v="165.34.122.246"/>
    <n v="422"/>
    <n v="422"/>
    <x v="1"/>
    <s v="PE"/>
    <x v="395"/>
    <x v="9"/>
    <s v="Oil &amp; Gas Production"/>
    <s v="$8.13B"/>
    <n v="8130000000.000001"/>
    <n v="332.13"/>
    <n v="6.83"/>
    <n v="34228349"/>
    <d v="2020-12-21T00:00:00"/>
    <s v="Complete"/>
    <m/>
  </r>
  <r>
    <s v="mcopcuttbq"/>
    <s v="paypal.com"/>
    <s v="Melonie"/>
    <s v="Copcutt"/>
    <s v="Female"/>
    <s v="Female"/>
    <s v="217.56.142.113"/>
    <s v="46.1.12.22"/>
    <n v="423"/>
    <n v="423"/>
    <x v="1"/>
    <s v="BBY"/>
    <x v="396"/>
    <x v="6"/>
    <s v="Consumer Electronics/Video Chains"/>
    <s v="$16.97B"/>
    <n v="16969999999.999998"/>
    <n v="1041.68"/>
    <n v="0.88"/>
    <n v="62240153"/>
    <d v="2026-12-18T00:00:00"/>
    <s v="Complete"/>
    <m/>
  </r>
  <r>
    <s v="weulerbr"/>
    <s v="people.com.cn"/>
    <s v="Wynn"/>
    <s v="Euler"/>
    <s v="Female"/>
    <s v="Female"/>
    <s v="226.115.33.37"/>
    <s v="12.170.74.254"/>
    <n v="424"/>
    <n v="424"/>
    <x v="0"/>
    <s v="MTEX"/>
    <x v="397"/>
    <x v="11"/>
    <s v="Specialty Chemicals"/>
    <s v="$36.87M"/>
    <n v="36870000"/>
    <n v="1824.24"/>
    <n v="-5.31"/>
    <n v="41299599"/>
    <d v="2021-01-07T00:00:00"/>
    <s v="Complete"/>
    <m/>
  </r>
  <r>
    <s v="esimonetonbs"/>
    <s v="sciencedirect.com"/>
    <s v="Eugenia"/>
    <s v="Simoneton"/>
    <s v="Female"/>
    <s v="Female"/>
    <s v="203.211.129.124"/>
    <s v="112.11.205.118"/>
    <n v="425"/>
    <n v="425"/>
    <x v="0"/>
    <s v="ECPG"/>
    <x v="398"/>
    <x v="3"/>
    <s v="Finance Companies"/>
    <s v="$996.04M"/>
    <n v="996040000"/>
    <n v="946.88"/>
    <n v="-2.1"/>
    <n v="125665593"/>
    <d v="2020-04-01T00:00:00"/>
    <s v="Complete"/>
    <m/>
  </r>
  <r>
    <s v="mbrittenbt"/>
    <s v="ocn.ne.jp"/>
    <s v="Meade"/>
    <s v="Britten"/>
    <s v="Male"/>
    <s v="Male"/>
    <s v="104.117.42.141"/>
    <s v="192.246.117.156"/>
    <n v="426"/>
    <n v="426"/>
    <x v="1"/>
    <s v="AGX"/>
    <x v="399"/>
    <x v="10"/>
    <s v="Engineering &amp; Construction"/>
    <s v="$947.48M"/>
    <n v="947480000"/>
    <n v="1067.47"/>
    <n v="-8.69"/>
    <n v="47206823"/>
    <d v="2022-04-01T00:00:00"/>
    <s v="Complete"/>
    <m/>
  </r>
  <r>
    <s v="jciottoibu"/>
    <s v="dell.com"/>
    <s v="Jillana"/>
    <s v="Ciottoi"/>
    <s v="Female"/>
    <s v="Female"/>
    <s v="108.93.205.99"/>
    <s v="161.132.43.97"/>
    <n v="427"/>
    <n v="427"/>
    <x v="1"/>
    <s v="QEP"/>
    <x v="81"/>
    <x v="9"/>
    <s v="Oil &amp; Gas Production"/>
    <s v="$2.18B"/>
    <n v="2180000000"/>
    <n v="943.29"/>
    <n v="2.42"/>
    <n v="99393664"/>
    <d v="2020-11-30T00:00:00"/>
    <s v="Complete"/>
    <m/>
  </r>
  <r>
    <s v="msaurabv"/>
    <s v="ycombinator.com"/>
    <s v="Matt"/>
    <s v="Saura"/>
    <s v="Male"/>
    <s v="Male"/>
    <s v="3.225.88.56"/>
    <s v="85.97.189.231"/>
    <n v="428"/>
    <n v="428"/>
    <x v="1"/>
    <s v="IR"/>
    <x v="160"/>
    <x v="1"/>
    <s v="Auto Parts:O.E.M."/>
    <s v="$23.64B"/>
    <n v="23640000000"/>
    <n v="1121.92"/>
    <n v="-12.3"/>
    <n v="59215703"/>
    <d v="2020-01-07T00:00:00"/>
    <s v="Complete"/>
    <m/>
  </r>
  <r>
    <s v="hhannbw"/>
    <s v="ucoz.com"/>
    <s v="Heather"/>
    <s v="Hann"/>
    <s v="Female"/>
    <s v="Female"/>
    <s v="220.20.194.1"/>
    <s v="135.181.60.22"/>
    <n v="429"/>
    <n v="429"/>
    <x v="1"/>
    <s v="SCHW^C"/>
    <x v="400"/>
    <x v="2"/>
    <s v="N/A"/>
    <s v="N/A"/>
    <n v="0"/>
    <n v="324.04000000000002"/>
    <n v="3.54"/>
    <n v="190067085"/>
    <d v="2024-05-27T00:00:00"/>
    <s v="Missing"/>
    <m/>
  </r>
  <r>
    <s v="bdickingsbx"/>
    <s v="opera.com"/>
    <s v="Boonie"/>
    <s v="Dickings"/>
    <s v="Male"/>
    <s v="Male"/>
    <s v="2.4.43.92"/>
    <s v="161.214.211.68"/>
    <n v="430"/>
    <n v="430"/>
    <x v="1"/>
    <s v="NFX"/>
    <x v="401"/>
    <x v="9"/>
    <s v="Oil &amp; Gas Production"/>
    <s v="$5.84B"/>
    <n v="5840000000"/>
    <n v="1002.06"/>
    <n v="-9.65"/>
    <n v="20391427"/>
    <d v="2026-10-03T00:00:00"/>
    <s v="Complete"/>
    <m/>
  </r>
  <r>
    <s v="cogilvieby"/>
    <s v="java.com"/>
    <s v="Codie"/>
    <s v="Ogilvie"/>
    <s v="Genderfluid"/>
    <s v="Other"/>
    <s v="251.32.145.236"/>
    <s v="196.82.137.134"/>
    <n v="431"/>
    <n v="431"/>
    <x v="1"/>
    <s v="COH"/>
    <x v="402"/>
    <x v="5"/>
    <s v="Apparel"/>
    <s v="$13B"/>
    <n v="13000000000"/>
    <n v="1287.8"/>
    <n v="-0.59"/>
    <n v="193765243"/>
    <d v="2024-04-10T00:00:00"/>
    <s v="Complete"/>
    <m/>
  </r>
  <r>
    <s v="ascneiderbz"/>
    <s v="wikia.com"/>
    <s v="Adams"/>
    <s v="Scneider"/>
    <s v="Male"/>
    <s v="Male"/>
    <s v="211.3.170.23"/>
    <s v="19.87.68.204"/>
    <n v="432"/>
    <n v="432"/>
    <x v="1"/>
    <s v="CMC"/>
    <x v="403"/>
    <x v="10"/>
    <s v="Steel/Iron Ore"/>
    <s v="$2.17B"/>
    <n v="2170000000"/>
    <n v="108.88"/>
    <n v="0.71"/>
    <n v="11340720"/>
    <d v="2025-12-10T00:00:00"/>
    <s v="Complete"/>
    <m/>
  </r>
  <r>
    <s v="kpedriellic0"/>
    <s v="icio.us"/>
    <s v="Kelvin"/>
    <s v="Pedrielli"/>
    <s v="Male"/>
    <s v="Male"/>
    <s v="221.177.36.40"/>
    <s v="201.75.231.223"/>
    <n v="433"/>
    <n v="433"/>
    <x v="1"/>
    <s v="CI"/>
    <x v="404"/>
    <x v="0"/>
    <s v="Medical Specialities"/>
    <s v="$43.29B"/>
    <n v="43290000000"/>
    <n v="809.56"/>
    <n v="1.02"/>
    <n v="90132494"/>
    <d v="2024-12-21T00:00:00"/>
    <s v="Complete"/>
    <m/>
  </r>
  <r>
    <s v="mtallentc1"/>
    <s v="foxnews.com"/>
    <s v="Maridel"/>
    <s v="Tallent"/>
    <s v="Female"/>
    <s v="Female"/>
    <s v="19.89.211.181"/>
    <s v="10.180.184.93"/>
    <n v="434"/>
    <n v="434"/>
    <x v="1"/>
    <s v="ERF"/>
    <x v="405"/>
    <x v="9"/>
    <s v="Oil &amp; Gas Production"/>
    <s v="$1.95B"/>
    <n v="1950000000"/>
    <n v="1154.6300000000001"/>
    <n v="8.0399999999999991"/>
    <n v="60900612"/>
    <d v="2026-07-27T00:00:00"/>
    <s v="Complete"/>
    <m/>
  </r>
  <r>
    <s v="gcotelardc2"/>
    <s v="miibeian.gov.cn"/>
    <s v="Grove"/>
    <s v="Cotelard"/>
    <s v="Male"/>
    <s v="Male"/>
    <s v="169.56.122.96"/>
    <s v="253.111.179.201"/>
    <n v="435"/>
    <n v="435"/>
    <x v="0"/>
    <s v="ATHX"/>
    <x v="406"/>
    <x v="0"/>
    <s v="Major Pharmaceuticals"/>
    <s v="$158.07M"/>
    <n v="158070000"/>
    <n v="1999.16"/>
    <n v="-19.899999999999999"/>
    <n v="96827835"/>
    <d v="2026-08-07T00:00:00"/>
    <s v="Complete"/>
    <m/>
  </r>
  <r>
    <s v="lskentelburyc3"/>
    <s v="gmpg.org"/>
    <s v="Lilith"/>
    <s v="Skentelbury"/>
    <s v="Female"/>
    <s v="Female"/>
    <s v="45.53.114.84"/>
    <s v="90.204.232.214"/>
    <n v="436"/>
    <n v="436"/>
    <x v="1"/>
    <s v="FCE.A"/>
    <x v="407"/>
    <x v="2"/>
    <s v="N/A"/>
    <s v="N/A"/>
    <n v="0"/>
    <n v="261.47000000000003"/>
    <n v="4.93"/>
    <n v="156625431"/>
    <d v="2022-06-11T00:00:00"/>
    <s v="Missing"/>
    <m/>
  </r>
  <r>
    <s v="dtantic4"/>
    <s v="cnn.com"/>
    <s v="Dorotea"/>
    <s v="Tanti"/>
    <s v="Female"/>
    <s v="Female"/>
    <s v="207.122.200.123"/>
    <s v="88.110.21.130"/>
    <n v="437"/>
    <n v="437"/>
    <x v="0"/>
    <s v="CRDS"/>
    <x v="408"/>
    <x v="4"/>
    <s v="Computer peripheral equipment"/>
    <s v="$2.32M"/>
    <n v="2320000"/>
    <n v="453"/>
    <n v="7.19"/>
    <n v="83137898"/>
    <d v="2024-12-16T00:00:00"/>
    <s v="Complete"/>
    <m/>
  </r>
  <r>
    <s v="kprandoc5"/>
    <s v="sitemeter.com"/>
    <s v="Kristoffer"/>
    <s v="Prando"/>
    <s v="Male"/>
    <s v="Male"/>
    <s v="214.149.173.95"/>
    <s v="214.225.179.88"/>
    <n v="438"/>
    <n v="438"/>
    <x v="1"/>
    <s v="VAC"/>
    <x v="409"/>
    <x v="3"/>
    <s v="Real Estate"/>
    <s v="$3.28B"/>
    <n v="3280000000"/>
    <n v="1297.5899999999999"/>
    <n v="18.04"/>
    <n v="23934221"/>
    <d v="2023-08-25T00:00:00"/>
    <s v="Complete"/>
    <m/>
  </r>
  <r>
    <s v="sjanningc6"/>
    <s v="howstuffworks.com"/>
    <s v="Susannah"/>
    <s v="Janning"/>
    <s v="Female"/>
    <s v="Female"/>
    <s v="22.237.177.66"/>
    <s v="75.176.17.210"/>
    <n v="439"/>
    <n v="439"/>
    <x v="1"/>
    <s v="SMLP"/>
    <x v="334"/>
    <x v="8"/>
    <s v="Natural Gas Distribution"/>
    <s v="$1.7B"/>
    <n v="1700000000"/>
    <n v="647.07000000000005"/>
    <n v="-6.72"/>
    <n v="116737498"/>
    <d v="2025-09-18T00:00:00"/>
    <s v="Complete"/>
    <m/>
  </r>
  <r>
    <s v="jsurgeonerc7"/>
    <s v="woothemes.com"/>
    <s v="Jaye"/>
    <s v="Surgeoner"/>
    <s v="Male"/>
    <s v="Male"/>
    <s v="152.37.92.79"/>
    <s v="156.217.94.137"/>
    <n v="440"/>
    <n v="440"/>
    <x v="1"/>
    <s v="STI^E"/>
    <x v="410"/>
    <x v="2"/>
    <s v="N/A"/>
    <s v="N/A"/>
    <n v="0"/>
    <n v="1340.28"/>
    <n v="-12.12"/>
    <n v="66026382"/>
    <d v="2020-03-10T00:00:00"/>
    <s v="Missing"/>
    <m/>
  </r>
  <r>
    <s v="lperinc8"/>
    <s v="timesonline.co.uk"/>
    <s v="Leonard"/>
    <s v="Perin"/>
    <s v="Male"/>
    <s v="Male"/>
    <s v="105.136.51.142"/>
    <s v="225.51.108.165"/>
    <n v="441"/>
    <n v="441"/>
    <x v="0"/>
    <s v="FSLR"/>
    <x v="411"/>
    <x v="4"/>
    <s v="Semiconductors"/>
    <s v="$3.74B"/>
    <n v="3740000000"/>
    <n v="49.93"/>
    <n v="-15.01"/>
    <n v="195169821"/>
    <d v="2025-05-25T00:00:00"/>
    <s v="Complete"/>
    <m/>
  </r>
  <r>
    <s v="wneesamc9"/>
    <s v="over-blog.com"/>
    <s v="Wendi"/>
    <s v="Neesam"/>
    <s v="Female"/>
    <s v="Female"/>
    <s v="147.182.23.213"/>
    <s v="79.136.36.15"/>
    <n v="442"/>
    <n v="442"/>
    <x v="1"/>
    <s v="EMES"/>
    <x v="412"/>
    <x v="10"/>
    <s v="Mining &amp; Quarrying of Nonmetallic Minerals (No Fuels)"/>
    <s v="$264.33M"/>
    <n v="264329999.99999997"/>
    <n v="1527.07"/>
    <n v="5.3"/>
    <n v="181042186"/>
    <d v="2023-01-02T00:00:00"/>
    <s v="Complete"/>
    <m/>
  </r>
  <r>
    <s v="sjosefsonca"/>
    <s v="amazon.co.uk"/>
    <s v="Storm"/>
    <s v="Josefson"/>
    <s v="Female"/>
    <s v="Female"/>
    <s v="169.248.6.32"/>
    <s v="192.121.250.16"/>
    <n v="443"/>
    <n v="443"/>
    <x v="0"/>
    <s v="STRS"/>
    <x v="413"/>
    <x v="6"/>
    <s v="Homebuilding"/>
    <s v="$227.14M"/>
    <n v="227140000"/>
    <n v="1358.36"/>
    <n v="17.52"/>
    <n v="5602159"/>
    <d v="2024-12-17T00:00:00"/>
    <s v="Complete"/>
    <m/>
  </r>
  <r>
    <s v="msheppeycb"/>
    <s v="engadget.com"/>
    <s v="Monroe"/>
    <s v="Sheppey"/>
    <s v="Male"/>
    <s v="Male"/>
    <s v="83.173.70.215"/>
    <s v="6.94.220.121"/>
    <n v="444"/>
    <n v="444"/>
    <x v="0"/>
    <s v="SPOK"/>
    <x v="414"/>
    <x v="8"/>
    <s v="Telecommunications Equipment"/>
    <s v="$371.61M"/>
    <n v="371610000"/>
    <n v="274.07"/>
    <n v="-19.2"/>
    <n v="2433838"/>
    <d v="2025-03-27T00:00:00"/>
    <s v="Complete"/>
    <m/>
  </r>
  <r>
    <s v="akubatschcc"/>
    <s v="pcworld.com"/>
    <s v="Arthur"/>
    <s v="Kubatsch"/>
    <s v="Male"/>
    <s v="Male"/>
    <s v="239.95.90.233"/>
    <s v="206.206.175.93"/>
    <n v="445"/>
    <n v="445"/>
    <x v="0"/>
    <s v="TVIX"/>
    <x v="415"/>
    <x v="3"/>
    <s v="Investment Bankers/Brokers/Service"/>
    <s v="$198.29M"/>
    <n v="198290000"/>
    <n v="461.55"/>
    <n v="2.89"/>
    <n v="29354348"/>
    <d v="2026-12-01T00:00:00"/>
    <s v="Complete"/>
    <m/>
  </r>
  <r>
    <s v="gkyndcd"/>
    <s v="samsung.com"/>
    <s v="Glori"/>
    <s v="Kynd"/>
    <s v="Genderqueer"/>
    <s v="Other"/>
    <s v="21.1.253.175"/>
    <s v="101.119.57.118"/>
    <n v="446"/>
    <n v="446"/>
    <x v="1"/>
    <s v="WPXP"/>
    <x v="416"/>
    <x v="9"/>
    <s v="Oil &amp; Gas Production"/>
    <s v="N/A"/>
    <n v="0"/>
    <n v="1597.42"/>
    <n v="14.1"/>
    <n v="104797684"/>
    <d v="2024-03-31T00:00:00"/>
    <s v="Missing"/>
    <m/>
  </r>
  <r>
    <s v="apeterkence"/>
    <s v="wiley.com"/>
    <s v="Allene"/>
    <s v="Peterken"/>
    <s v="Female"/>
    <s v="Female"/>
    <s v="73.9.181.158"/>
    <s v="122.190.62.97"/>
    <n v="447"/>
    <n v="447"/>
    <x v="1"/>
    <s v="AGN"/>
    <x v="417"/>
    <x v="0"/>
    <s v="Major Pharmaceuticals"/>
    <s v="$79.09B"/>
    <n v="79090000000"/>
    <n v="43.77"/>
    <n v="4.9800000000000004"/>
    <n v="85361147"/>
    <d v="2020-08-22T00:00:00"/>
    <s v="Complete"/>
    <m/>
  </r>
  <r>
    <s v="chushcf"/>
    <s v="xinhuanet.com"/>
    <s v="Carolin"/>
    <s v="Hush"/>
    <s v="Female"/>
    <s v="Female"/>
    <s v="87.120.100.88"/>
    <s v="138.96.47.160"/>
    <n v="448"/>
    <n v="448"/>
    <x v="1"/>
    <s v="AIB"/>
    <x v="418"/>
    <x v="2"/>
    <s v="N/A"/>
    <s v="N/A"/>
    <n v="0"/>
    <n v="1452.05"/>
    <n v="-15.12"/>
    <n v="80097343"/>
    <d v="2022-06-19T00:00:00"/>
    <s v="Missing"/>
    <m/>
  </r>
  <r>
    <s v="fpinckneycg"/>
    <s v="cbsnews.com"/>
    <s v="Finlay"/>
    <s v="Pinckney"/>
    <s v="Male"/>
    <s v="Male"/>
    <s v="160.97.244.61"/>
    <s v="195.160.164.197"/>
    <n v="449"/>
    <n v="449"/>
    <x v="1"/>
    <s v="ECA"/>
    <x v="419"/>
    <x v="9"/>
    <s v="Oil &amp; Gas Production"/>
    <s v="$8.55B"/>
    <n v="8550000000.000001"/>
    <n v="1487.72"/>
    <n v="-12.15"/>
    <n v="124314201"/>
    <d v="2024-06-20T00:00:00"/>
    <s v="Complete"/>
    <m/>
  </r>
  <r>
    <s v="jharsentch"/>
    <s v="tripadvisor.com"/>
    <s v="Janka"/>
    <s v="Harsent"/>
    <s v="Female"/>
    <s v="Female"/>
    <s v="160.49.162.89"/>
    <s v="234.163.233.32"/>
    <n v="450"/>
    <n v="450"/>
    <x v="1"/>
    <s v="UAL"/>
    <x v="261"/>
    <x v="12"/>
    <s v="Air Freight/Delivery Services"/>
    <s v="$23.78B"/>
    <n v="23780000000"/>
    <n v="351.45"/>
    <n v="7.23"/>
    <n v="10928831"/>
    <d v="2022-05-15T00:00:00"/>
    <s v="Complete"/>
    <m/>
  </r>
  <r>
    <s v="bskyppeci"/>
    <s v="miibeian.gov.cn"/>
    <s v="Blinnie"/>
    <s v="Skyppe"/>
    <s v="Female"/>
    <s v="Female"/>
    <s v="133.180.171.48"/>
    <s v="253.148.169.100"/>
    <n v="451"/>
    <n v="451"/>
    <x v="0"/>
    <s v="ORIT"/>
    <x v="420"/>
    <x v="3"/>
    <s v="Major Banks"/>
    <s v="$791.4M"/>
    <n v="791400000"/>
    <n v="1934.59"/>
    <n v="-8.67"/>
    <n v="13472231"/>
    <d v="2021-07-11T00:00:00"/>
    <s v="Complete"/>
    <m/>
  </r>
  <r>
    <s v="lreiskcj"/>
    <s v="mashable.com"/>
    <s v="Linc"/>
    <s v="Reisk"/>
    <s v="Male"/>
    <s v="Male"/>
    <s v="231.226.134.231"/>
    <s v="63.193.5.29"/>
    <n v="452"/>
    <n v="452"/>
    <x v="0"/>
    <s v="TIVO"/>
    <x v="421"/>
    <x v="7"/>
    <s v="Multi-Sector Companies"/>
    <s v="$2.25B"/>
    <n v="2250000000"/>
    <n v="1660.51"/>
    <n v="-14.25"/>
    <n v="175370241"/>
    <d v="2021-02-07T00:00:00"/>
    <s v="Complete"/>
    <m/>
  </r>
  <r>
    <s v="dstuddeardck"/>
    <s v="blog.com"/>
    <s v="Davie"/>
    <s v="Studdeard"/>
    <s v="Male"/>
    <s v="Male"/>
    <s v="56.38.187.250"/>
    <s v="71.78.242.17"/>
    <n v="453"/>
    <n v="453"/>
    <x v="1"/>
    <s v="IGR"/>
    <x v="422"/>
    <x v="2"/>
    <s v="N/A"/>
    <s v="$908.24M"/>
    <n v="908240000"/>
    <n v="454.84"/>
    <n v="-13.03"/>
    <n v="75288773"/>
    <d v="2023-11-25T00:00:00"/>
    <s v="Missing"/>
    <m/>
  </r>
  <r>
    <s v="ftrewarthacl"/>
    <s v="cnbc.com"/>
    <s v="Forester"/>
    <s v="Trewartha"/>
    <s v="Male"/>
    <s v="Male"/>
    <s v="228.251.230.74"/>
    <s v="155.163.41.189"/>
    <n v="454"/>
    <n v="454"/>
    <x v="1"/>
    <s v="GWR"/>
    <x v="423"/>
    <x v="12"/>
    <s v="Railroads"/>
    <s v="$4.18B"/>
    <n v="4179999999.9999995"/>
    <n v="580.78"/>
    <n v="-15.78"/>
    <n v="79487020"/>
    <d v="2021-09-12T00:00:00"/>
    <s v="Complete"/>
    <m/>
  </r>
  <r>
    <s v="chindsbergcm"/>
    <s v="nymag.com"/>
    <s v="Crawford"/>
    <s v="Hindsberg"/>
    <s v="Male"/>
    <s v="Male"/>
    <s v="53.30.136.100"/>
    <s v="26.1.94.239"/>
    <n v="455"/>
    <n v="455"/>
    <x v="1"/>
    <s v="KRC^H"/>
    <x v="424"/>
    <x v="2"/>
    <s v="N/A"/>
    <s v="N/A"/>
    <n v="0"/>
    <n v="1965.6"/>
    <n v="17.14"/>
    <n v="48717191"/>
    <d v="2023-09-01T00:00:00"/>
    <s v="Missing"/>
    <m/>
  </r>
  <r>
    <s v="ashankcn"/>
    <s v="github.io"/>
    <s v="Armin"/>
    <s v="Shank"/>
    <s v="Male"/>
    <s v="Male"/>
    <s v="135.34.11.233"/>
    <s v="123.247.253.151"/>
    <n v="456"/>
    <n v="456"/>
    <x v="1"/>
    <s v="COTV"/>
    <x v="425"/>
    <x v="7"/>
    <s v="Business Services"/>
    <s v="$3.5B"/>
    <n v="3500000000"/>
    <n v="1800.93"/>
    <n v="-9.25"/>
    <n v="161039362"/>
    <d v="2020-10-02T00:00:00"/>
    <s v="Complete"/>
    <m/>
  </r>
  <r>
    <s v="ksebrightco"/>
    <s v="china.com.cn"/>
    <s v="Kimberlyn"/>
    <s v="Sebright"/>
    <s v="Female"/>
    <s v="Female"/>
    <s v="224.93.133.133"/>
    <s v="154.99.201.27"/>
    <n v="457"/>
    <n v="457"/>
    <x v="1"/>
    <s v="TNP"/>
    <x v="426"/>
    <x v="12"/>
    <s v="Marine Transportation"/>
    <s v="$366.58M"/>
    <n v="366580000"/>
    <n v="1443.41"/>
    <n v="-1.28"/>
    <n v="94754140"/>
    <d v="2023-09-09T00:00:00"/>
    <s v="Complete"/>
    <m/>
  </r>
  <r>
    <s v="rdroogancp"/>
    <s v="wordpress.org"/>
    <s v="Rockwell"/>
    <s v="Droogan"/>
    <s v="Male"/>
    <s v="Male"/>
    <s v="240.31.92.93"/>
    <s v="87.79.159.168"/>
    <n v="458"/>
    <n v="458"/>
    <x v="0"/>
    <s v="CPTAG"/>
    <x v="427"/>
    <x v="2"/>
    <s v="N/A"/>
    <s v="N/A"/>
    <n v="0"/>
    <n v="1399.05"/>
    <n v="-5.82"/>
    <n v="44936557"/>
    <d v="2020-03-10T00:00:00"/>
    <s v="Missing"/>
    <m/>
  </r>
  <r>
    <s v="tkornelcq"/>
    <s v="ameblo.jp"/>
    <s v="Terri"/>
    <s v="Kornel"/>
    <s v="Female"/>
    <s v="Female"/>
    <s v="241.192.36.185"/>
    <s v="36.197.168.199"/>
    <n v="459"/>
    <n v="459"/>
    <x v="0"/>
    <s v="VICR"/>
    <x v="428"/>
    <x v="1"/>
    <s v="Industrial Machinery/Components"/>
    <s v="$756.67M"/>
    <n v="756670000"/>
    <n v="384.27"/>
    <n v="4.95"/>
    <n v="28302020"/>
    <d v="2025-09-05T00:00:00"/>
    <s v="Complete"/>
    <m/>
  </r>
  <r>
    <s v="sbendincr"/>
    <s v="altervista.org"/>
    <s v="Shepherd"/>
    <s v="Bendin"/>
    <s v="Male"/>
    <s v="Male"/>
    <s v="130.13.178.236"/>
    <s v="214.178.99.125"/>
    <n v="460"/>
    <n v="460"/>
    <x v="1"/>
    <s v="CMRE^B"/>
    <x v="375"/>
    <x v="2"/>
    <s v="N/A"/>
    <s v="N/A"/>
    <n v="0"/>
    <n v="952.84"/>
    <n v="16.09"/>
    <n v="224555"/>
    <d v="2022-08-03T00:00:00"/>
    <s v="Missing"/>
    <m/>
  </r>
  <r>
    <s v="gizakovcs"/>
    <s v="sina.com.cn"/>
    <s v="Gael"/>
    <s v="Izakov"/>
    <s v="Male"/>
    <s v="Male"/>
    <s v="254.119.192.182"/>
    <s v="201.26.1.126"/>
    <n v="461"/>
    <n v="461"/>
    <x v="1"/>
    <s v="LXU"/>
    <x v="22"/>
    <x v="10"/>
    <s v="Major Chemicals"/>
    <s v="$295.41M"/>
    <n v="295410000"/>
    <n v="1512.04"/>
    <n v="2.4300000000000002"/>
    <n v="85931965"/>
    <d v="2022-08-03T00:00:00"/>
    <s v="Complete"/>
    <m/>
  </r>
  <r>
    <s v="sbatchct"/>
    <s v="ftc.gov"/>
    <s v="Seth"/>
    <s v="Batch"/>
    <s v="Male"/>
    <s v="Male"/>
    <s v="179.108.29.142"/>
    <s v="72.19.40.247"/>
    <n v="462"/>
    <n v="462"/>
    <x v="1"/>
    <s v="HAL"/>
    <x v="429"/>
    <x v="9"/>
    <s v="Oilfield Services/Equipment"/>
    <s v="$38.42B"/>
    <n v="38420000000"/>
    <n v="604.69000000000005"/>
    <n v="5.83"/>
    <n v="79344750"/>
    <d v="2024-09-26T00:00:00"/>
    <s v="Complete"/>
    <m/>
  </r>
  <r>
    <s v="swahlbergcu"/>
    <s v="mozilla.com"/>
    <s v="Salem"/>
    <s v="Wahlberg"/>
    <s v="Male"/>
    <s v="Male"/>
    <s v="150.138.249.39"/>
    <s v="212.63.97.190"/>
    <n v="463"/>
    <n v="463"/>
    <x v="0"/>
    <s v="CNSL"/>
    <x v="430"/>
    <x v="8"/>
    <s v="Telecommunications Equipment"/>
    <s v="$1.09B"/>
    <n v="1090000000"/>
    <n v="622.30999999999995"/>
    <n v="-1.41"/>
    <n v="34110871"/>
    <d v="2024-07-26T00:00:00"/>
    <s v="Complete"/>
    <m/>
  </r>
  <r>
    <s v="reldincv"/>
    <s v="reference.com"/>
    <s v="Raina"/>
    <s v="Eldin"/>
    <s v="Female"/>
    <s v="Female"/>
    <s v="34.141.141.52"/>
    <s v="183.93.57.194"/>
    <n v="464"/>
    <n v="464"/>
    <x v="0"/>
    <s v="JASO"/>
    <x v="272"/>
    <x v="4"/>
    <s v="Semiconductors"/>
    <s v="$301.6M"/>
    <n v="301600000"/>
    <n v="1299.08"/>
    <n v="0.66"/>
    <n v="104126248"/>
    <d v="2024-12-31T00:00:00"/>
    <s v="Complete"/>
    <m/>
  </r>
  <r>
    <s v="zplankcw"/>
    <s v="miibeian.gov.cn"/>
    <s v="Zorine"/>
    <s v="Plank"/>
    <s v="Female"/>
    <s v="Female"/>
    <s v="132.154.11.111"/>
    <s v="131.153.224.35"/>
    <n v="465"/>
    <n v="465"/>
    <x v="1"/>
    <s v="BFR"/>
    <x v="431"/>
    <x v="3"/>
    <s v="Commercial Banks"/>
    <s v="$3.47B"/>
    <n v="3470000000"/>
    <n v="1851.12"/>
    <n v="2.84"/>
    <n v="49134280"/>
    <d v="2021-07-21T00:00:00"/>
    <s v="Complete"/>
    <m/>
  </r>
  <r>
    <s v="fvispocx"/>
    <s v="1688.com"/>
    <s v="Farly"/>
    <s v="Vispo"/>
    <s v="Male"/>
    <s v="Male"/>
    <s v="129.140.69.126"/>
    <s v="14.91.75.204"/>
    <n v="466"/>
    <n v="466"/>
    <x v="1"/>
    <s v="TGT"/>
    <x v="432"/>
    <x v="6"/>
    <s v="Department/Specialty Retail Stores"/>
    <s v="$29.03B"/>
    <n v="29030000000"/>
    <n v="991.71"/>
    <n v="2.46"/>
    <n v="190369679"/>
    <d v="2020-07-03T00:00:00"/>
    <s v="Complete"/>
    <m/>
  </r>
  <r>
    <s v="ctawncy"/>
    <s v="yandex.ru"/>
    <s v="Corissa"/>
    <s v="Tawn"/>
    <s v="Female"/>
    <s v="Female"/>
    <s v="1.81.253.191"/>
    <s v="12.144.62.154"/>
    <n v="467"/>
    <n v="467"/>
    <x v="1"/>
    <s v="BLX"/>
    <x v="433"/>
    <x v="3"/>
    <s v="Commercial Banks"/>
    <s v="$1.1B"/>
    <n v="1100000000"/>
    <n v="1518.69"/>
    <n v="17.43"/>
    <n v="120505412"/>
    <d v="2026-06-13T00:00:00"/>
    <s v="Complete"/>
    <m/>
  </r>
  <r>
    <s v="amacgianycz"/>
    <s v="cpanel.net"/>
    <s v="Alexine"/>
    <s v="MacGiany"/>
    <s v="Female"/>
    <s v="Female"/>
    <s v="204.160.172.233"/>
    <s v="27.109.210.22"/>
    <n v="468"/>
    <n v="468"/>
    <x v="1"/>
    <s v="UTL"/>
    <x v="434"/>
    <x v="8"/>
    <s v="Power Generation"/>
    <s v="$710.24M"/>
    <n v="710240000"/>
    <n v="1275.3499999999999"/>
    <n v="-5.27"/>
    <n v="134100712"/>
    <d v="2024-04-03T00:00:00"/>
    <s v="Complete"/>
    <m/>
  </r>
  <r>
    <s v="sprentyd0"/>
    <s v="ted.com"/>
    <s v="Salim"/>
    <s v="Prenty"/>
    <s v="Male"/>
    <s v="Male"/>
    <s v="213.250.81.169"/>
    <s v="187.74.60.167"/>
    <n v="469"/>
    <n v="469"/>
    <x v="0"/>
    <s v="WILC"/>
    <x v="435"/>
    <x v="5"/>
    <s v="Food Distributors"/>
    <s v="$92.42M"/>
    <n v="92420000"/>
    <n v="374.44"/>
    <n v="-6.94"/>
    <n v="48200536"/>
    <d v="2026-03-17T00:00:00"/>
    <s v="Complete"/>
    <m/>
  </r>
  <r>
    <s v="nhurryd1"/>
    <s v="cnbc.com"/>
    <s v="Nonnah"/>
    <s v="Hurry"/>
    <s v="Female"/>
    <s v="Female"/>
    <s v="72.242.206.122"/>
    <s v="143.167.188.223"/>
    <n v="470"/>
    <n v="470"/>
    <x v="0"/>
    <s v="IDSY"/>
    <x v="436"/>
    <x v="11"/>
    <s v="Telecommunications Equipment"/>
    <s v="$87.7M"/>
    <n v="87700000"/>
    <n v="823.8"/>
    <n v="9.5299999999999994"/>
    <n v="127085015"/>
    <d v="2023-03-26T00:00:00"/>
    <s v="Complete"/>
    <m/>
  </r>
  <r>
    <s v="acrouxd2"/>
    <s v="xrea.com"/>
    <s v="Allyson"/>
    <s v="Croux"/>
    <s v="Female"/>
    <s v="Female"/>
    <s v="202.117.24.53"/>
    <s v="33.5.87.7"/>
    <n v="471"/>
    <n v="471"/>
    <x v="1"/>
    <s v="LII"/>
    <x v="93"/>
    <x v="1"/>
    <s v="Industrial Machinery/Components"/>
    <s v="$8.05B"/>
    <n v="8050000000.000001"/>
    <n v="547.72"/>
    <n v="-5.08"/>
    <n v="21483925"/>
    <d v="2024-01-10T00:00:00"/>
    <s v="Complete"/>
    <m/>
  </r>
  <r>
    <s v="jstopforthd3"/>
    <s v="over-blog.com"/>
    <s v="Jonell"/>
    <s v="Stopforth"/>
    <s v="Female"/>
    <s v="Female"/>
    <s v="107.81.193.39"/>
    <s v="159.2.39.5"/>
    <n v="472"/>
    <n v="472"/>
    <x v="0"/>
    <s v="CASI"/>
    <x v="111"/>
    <x v="0"/>
    <s v="Biotechnology: Biological Products (No Diagnostic Substances)"/>
    <s v="$55.38M"/>
    <n v="55380000"/>
    <n v="1758.47"/>
    <n v="0.01"/>
    <n v="80006768"/>
    <d v="2021-06-07T00:00:00"/>
    <s v="Complete"/>
    <m/>
  </r>
  <r>
    <s v="mgussied4"/>
    <s v="google.com.hk"/>
    <s v="Merry"/>
    <s v="Gussie"/>
    <s v="Female"/>
    <s v="Female"/>
    <s v="38.201.248.41"/>
    <s v="98.61.217.217"/>
    <n v="473"/>
    <n v="473"/>
    <x v="1"/>
    <s v="MS^K"/>
    <x v="437"/>
    <x v="2"/>
    <s v="N/A"/>
    <s v="N/A"/>
    <n v="0"/>
    <n v="1518.93"/>
    <n v="6"/>
    <n v="112591235"/>
    <d v="2026-06-21T00:00:00"/>
    <s v="Missing"/>
    <m/>
  </r>
  <r>
    <s v="bslaynyd5"/>
    <s v="senate.gov"/>
    <s v="Barnabas"/>
    <s v="Slayny"/>
    <s v="Male"/>
    <s v="Male"/>
    <s v="138.66.164.62"/>
    <s v="127.26.30.220"/>
    <n v="474"/>
    <n v="474"/>
    <x v="0"/>
    <s v="GTIM"/>
    <x v="438"/>
    <x v="6"/>
    <s v="Restaurants"/>
    <s v="$41.81M"/>
    <n v="41810000"/>
    <n v="1620.05"/>
    <n v="-5.18"/>
    <n v="75769816"/>
    <d v="2025-03-21T00:00:00"/>
    <s v="Complete"/>
    <m/>
  </r>
  <r>
    <s v="sosinind6"/>
    <s v="springer.com"/>
    <s v="Stanford"/>
    <s v="Osinin"/>
    <s v="Male"/>
    <s v="Male"/>
    <s v="154.220.79.99"/>
    <s v="192.218.242.158"/>
    <n v="475"/>
    <n v="475"/>
    <x v="0"/>
    <s v="FYX"/>
    <x v="439"/>
    <x v="2"/>
    <s v="N/A"/>
    <s v="$488.7M"/>
    <n v="488700000"/>
    <n v="579.48"/>
    <n v="-4.62"/>
    <n v="162013799"/>
    <d v="2021-04-19T00:00:00"/>
    <s v="Missing"/>
    <m/>
  </r>
  <r>
    <s v="llowndsbroughd7"/>
    <s v="e-recht24.de"/>
    <s v="Lynna"/>
    <s v="Lowndsbrough"/>
    <s v="Female"/>
    <s v="Female"/>
    <s v="149.180.13.163"/>
    <s v="197.96.150.101"/>
    <n v="476"/>
    <n v="476"/>
    <x v="0"/>
    <s v="IGF"/>
    <x v="440"/>
    <x v="2"/>
    <s v="N/A"/>
    <s v="$1.71B"/>
    <n v="1710000000"/>
    <n v="106.73"/>
    <n v="9.17"/>
    <n v="24827419"/>
    <d v="2022-07-23T00:00:00"/>
    <s v="Missing"/>
    <m/>
  </r>
  <r>
    <s v="wmccrostied8"/>
    <s v="liveinternet.ru"/>
    <s v="Wood"/>
    <s v="McCrostie"/>
    <s v="Male"/>
    <s v="Male"/>
    <s v="128.80.43.232"/>
    <s v="237.188.188.255"/>
    <n v="477"/>
    <n v="477"/>
    <x v="0"/>
    <s v="SHSP"/>
    <x v="441"/>
    <x v="4"/>
    <s v="Computer Software: Prepackaged Software"/>
    <s v="$37.65M"/>
    <n v="37650000"/>
    <n v="1981.86"/>
    <n v="12.44"/>
    <n v="20500904"/>
    <d v="2023-03-10T00:00:00"/>
    <s v="Complete"/>
    <m/>
  </r>
  <r>
    <s v="loddyd9"/>
    <s v="bravesites.com"/>
    <s v="Lennard"/>
    <s v="Oddy"/>
    <s v="Bigender"/>
    <s v="Other"/>
    <s v="118.163.255.218"/>
    <s v="184.228.241.22"/>
    <n v="478"/>
    <n v="478"/>
    <x v="0"/>
    <s v="HDNG"/>
    <x v="442"/>
    <x v="1"/>
    <s v="Industrial Machinery/Components"/>
    <s v="$162.72M"/>
    <n v="162720000"/>
    <n v="1772.59"/>
    <n v="-1.81"/>
    <n v="94749412"/>
    <d v="2025-12-20T00:00:00"/>
    <s v="Complete"/>
    <m/>
  </r>
  <r>
    <s v="aparrottda"/>
    <s v="theguardian.com"/>
    <s v="Adele"/>
    <s v="Parrott"/>
    <s v="Female"/>
    <s v="Female"/>
    <s v="102.110.57.175"/>
    <s v="210.57.75.128"/>
    <n v="479"/>
    <n v="479"/>
    <x v="0"/>
    <s v="CSPI"/>
    <x v="443"/>
    <x v="4"/>
    <s v="EDP Services"/>
    <s v="$42.78M"/>
    <n v="42780000"/>
    <n v="705.66"/>
    <n v="-7.33"/>
    <n v="70867334"/>
    <d v="2024-07-25T00:00:00"/>
    <s v="Complete"/>
    <m/>
  </r>
  <r>
    <s v="dgantzdb"/>
    <s v="nyu.edu"/>
    <s v="Dennet"/>
    <s v="Gantz"/>
    <s v="Male"/>
    <s v="Male"/>
    <s v="233.129.229.66"/>
    <s v="41.32.144.209"/>
    <n v="480"/>
    <n v="480"/>
    <x v="0"/>
    <s v="BCOR"/>
    <x v="444"/>
    <x v="4"/>
    <s v="EDP Services"/>
    <s v="$909.02M"/>
    <n v="909020000"/>
    <n v="1779.14"/>
    <n v="5.43"/>
    <n v="168950470"/>
    <d v="2022-10-06T00:00:00"/>
    <s v="Complete"/>
    <m/>
  </r>
  <r>
    <s v="svanyushkindc"/>
    <s v="yellowbook.com"/>
    <s v="Skip"/>
    <s v="Vanyushkin"/>
    <s v="Non-binary"/>
    <s v="Other"/>
    <s v="22.167.154.35"/>
    <s v="246.97.51.97"/>
    <n v="481"/>
    <n v="481"/>
    <x v="1"/>
    <s v="VR"/>
    <x v="445"/>
    <x v="3"/>
    <s v="Property-Casualty Insurers"/>
    <s v="$4.21B"/>
    <n v="4210000000"/>
    <n v="1727.71"/>
    <n v="-16.73"/>
    <n v="130556488"/>
    <d v="2021-01-06T00:00:00"/>
    <s v="Complete"/>
    <m/>
  </r>
  <r>
    <s v="jscafedd"/>
    <s v="google.com"/>
    <s v="Jaynell"/>
    <s v="Scafe"/>
    <s v="Female"/>
    <s v="Female"/>
    <s v="166.222.69.252"/>
    <s v="137.86.158.66"/>
    <n v="482"/>
    <n v="482"/>
    <x v="0"/>
    <s v="PACW"/>
    <x v="446"/>
    <x v="3"/>
    <s v="Major Banks"/>
    <s v="$5.87B"/>
    <n v="5870000000"/>
    <n v="1926.96"/>
    <n v="-14.5"/>
    <n v="114379857"/>
    <d v="2025-04-16T00:00:00"/>
    <s v="Complete"/>
    <m/>
  </r>
  <r>
    <s v="hroysonde"/>
    <s v="nps.gov"/>
    <s v="Had"/>
    <s v="Royson"/>
    <s v="Male"/>
    <s v="Male"/>
    <s v="157.229.57.68"/>
    <s v="177.248.223.54"/>
    <n v="483"/>
    <n v="483"/>
    <x v="0"/>
    <s v="SBNYW"/>
    <x v="447"/>
    <x v="3"/>
    <s v="Major Banks"/>
    <s v="N/A"/>
    <n v="0"/>
    <n v="1971.41"/>
    <n v="-6.83"/>
    <n v="14822691"/>
    <d v="2024-08-13T00:00:00"/>
    <s v="Missing"/>
    <m/>
  </r>
  <r>
    <s v="lkuschadf"/>
    <s v="arizona.edu"/>
    <s v="Linnea"/>
    <s v="Kuscha"/>
    <s v="Female"/>
    <s v="Female"/>
    <s v="2.42.4.27"/>
    <s v="217.121.236.124"/>
    <n v="484"/>
    <n v="484"/>
    <x v="1"/>
    <s v="JHA"/>
    <x v="448"/>
    <x v="2"/>
    <s v="N/A"/>
    <s v="$296.92M"/>
    <n v="296920000"/>
    <n v="714.55"/>
    <n v="-4.41"/>
    <n v="98089107"/>
    <d v="2022-11-21T00:00:00"/>
    <s v="Missing"/>
    <m/>
  </r>
  <r>
    <s v="slinneydg"/>
    <s v="uol.com.br"/>
    <s v="Stefa"/>
    <s v="Linney"/>
    <s v="Female"/>
    <s v="Female"/>
    <s v="255.151.192.241"/>
    <s v="201.128.40.154"/>
    <n v="485"/>
    <n v="485"/>
    <x v="0"/>
    <s v="ESLT"/>
    <x v="449"/>
    <x v="1"/>
    <s v="Military/Government/Technical"/>
    <s v="$5.29B"/>
    <n v="5290000000"/>
    <n v="964.43"/>
    <n v="7.91"/>
    <n v="117153612"/>
    <d v="2026-07-06T00:00:00"/>
    <s v="Complete"/>
    <m/>
  </r>
  <r>
    <s v="tzealeydh"/>
    <s v="mlb.com"/>
    <s v="Truman"/>
    <s v="Zealey"/>
    <s v="Male"/>
    <s v="Male"/>
    <s v="226.19.12.229"/>
    <s v="47.38.164.237"/>
    <n v="486"/>
    <n v="486"/>
    <x v="1"/>
    <s v="BMI"/>
    <x v="450"/>
    <x v="1"/>
    <s v="Industrial Machinery/Components"/>
    <s v="$1.16B"/>
    <n v="1160000000"/>
    <n v="1523.04"/>
    <n v="5.61"/>
    <n v="197770792"/>
    <d v="2021-08-17T00:00:00"/>
    <s v="Complete"/>
    <m/>
  </r>
  <r>
    <s v="fkliemkedi"/>
    <s v="mashable.com"/>
    <s v="Felicio"/>
    <s v="Kliemke"/>
    <s v="Male"/>
    <s v="Male"/>
    <s v="31.16.217.76"/>
    <s v="177.105.232.248"/>
    <n v="487"/>
    <n v="487"/>
    <x v="0"/>
    <s v="BCPC"/>
    <x v="332"/>
    <x v="10"/>
    <s v="Major Chemicals"/>
    <s v="$2.56B"/>
    <n v="2560000000"/>
    <n v="818.37"/>
    <n v="4.4800000000000004"/>
    <n v="3535197"/>
    <d v="2020-08-30T00:00:00"/>
    <s v="Complete"/>
    <m/>
  </r>
  <r>
    <s v="isarvardj"/>
    <s v="sourceforge.net"/>
    <s v="Ilse"/>
    <s v="Sarvar"/>
    <s v="Female"/>
    <s v="Female"/>
    <s v="185.177.167.71"/>
    <s v="46.101.177.238"/>
    <n v="488"/>
    <n v="488"/>
    <x v="1"/>
    <s v="OSG"/>
    <x v="451"/>
    <x v="12"/>
    <s v="Marine Transportation"/>
    <s v="$192.45M"/>
    <n v="192450000"/>
    <n v="1175.8399999999999"/>
    <n v="-0.42"/>
    <n v="53550454"/>
    <d v="2022-11-17T00:00:00"/>
    <s v="Complete"/>
    <m/>
  </r>
  <r>
    <s v="pstanforddk"/>
    <s v="flavors.me"/>
    <s v="Patten"/>
    <s v="Stanford"/>
    <s v="Male"/>
    <s v="Male"/>
    <s v="191.188.236.243"/>
    <s v="61.110.206.109"/>
    <n v="489"/>
    <n v="489"/>
    <x v="0"/>
    <s v="FEUZ"/>
    <x v="452"/>
    <x v="2"/>
    <s v="N/A"/>
    <s v="$9.76M"/>
    <n v="9760000"/>
    <n v="638.5"/>
    <n v="-6.84"/>
    <n v="134197011"/>
    <d v="2021-07-07T00:00:00"/>
    <s v="Missing"/>
    <m/>
  </r>
  <r>
    <s v="pandreuzzidl"/>
    <s v="columbia.edu"/>
    <s v="Patten"/>
    <s v="Andreuzzi"/>
    <s v="Male"/>
    <s v="Male"/>
    <s v="177.109.88.177"/>
    <s v="85.11.111.50"/>
    <n v="490"/>
    <n v="490"/>
    <x v="0"/>
    <s v="IPCC"/>
    <x v="453"/>
    <x v="3"/>
    <s v="Property-Casualty Insurers"/>
    <s v="$1.05B"/>
    <n v="1050000000"/>
    <n v="796.73"/>
    <n v="15.78"/>
    <n v="62879088"/>
    <d v="2021-03-09T00:00:00"/>
    <s v="Complete"/>
    <m/>
  </r>
  <r>
    <s v="kgiannonidm"/>
    <s v="spotify.com"/>
    <s v="Konstantin"/>
    <s v="Giannoni"/>
    <s v="Male"/>
    <s v="Male"/>
    <s v="233.63.184.75"/>
    <s v="110.115.38.184"/>
    <n v="491"/>
    <n v="491"/>
    <x v="0"/>
    <s v="SRPT"/>
    <x v="454"/>
    <x v="0"/>
    <s v="Major Pharmaceuticals"/>
    <s v="$1.78B"/>
    <n v="1780000000"/>
    <n v="1995.79"/>
    <n v="17.04"/>
    <n v="35792662"/>
    <d v="2020-12-13T00:00:00"/>
    <s v="Complete"/>
    <m/>
  </r>
  <r>
    <s v="rblythdn"/>
    <s v="wikispaces.com"/>
    <s v="Rolland"/>
    <s v="Blyth"/>
    <s v="Male"/>
    <s v="Male"/>
    <s v="109.77.162.183"/>
    <s v="241.248.182.16"/>
    <n v="492"/>
    <n v="492"/>
    <x v="1"/>
    <s v="COF^D"/>
    <x v="455"/>
    <x v="2"/>
    <s v="N/A"/>
    <s v="N/A"/>
    <n v="0"/>
    <n v="1160.51"/>
    <n v="18.45"/>
    <n v="91930993"/>
    <d v="2021-03-03T00:00:00"/>
    <s v="Missing"/>
    <m/>
  </r>
  <r>
    <s v="wlurrimando"/>
    <s v="123-reg.co.uk"/>
    <s v="Wolfie"/>
    <s v="Lurriman"/>
    <s v="Male"/>
    <s v="Male"/>
    <s v="253.141.199.226"/>
    <s v="183.180.22.119"/>
    <n v="493"/>
    <n v="493"/>
    <x v="1"/>
    <s v="HJV"/>
    <x v="287"/>
    <x v="3"/>
    <s v="Finance: Consumer Services"/>
    <s v="N/A"/>
    <n v="0"/>
    <n v="1267.54"/>
    <n v="-10.61"/>
    <n v="6966169"/>
    <d v="2025-06-23T00:00:00"/>
    <s v="Missing"/>
    <m/>
  </r>
  <r>
    <s v="nbakhrushindp"/>
    <s v="wired.com"/>
    <s v="Nalani"/>
    <s v="Bakhrushin"/>
    <s v="Genderqueer"/>
    <s v="Other"/>
    <s v="6.122.241.15"/>
    <s v="250.104.245.19"/>
    <n v="494"/>
    <n v="494"/>
    <x v="0"/>
    <s v="SPEX"/>
    <x v="456"/>
    <x v="7"/>
    <s v="Multi-Sector Companies"/>
    <s v="$4.5M"/>
    <n v="4500000"/>
    <n v="131.80000000000001"/>
    <n v="18.05"/>
    <n v="156263252"/>
    <d v="2025-11-20T00:00:00"/>
    <s v="Complete"/>
    <m/>
  </r>
  <r>
    <s v="sbreretondq"/>
    <s v="smh.com.au"/>
    <s v="Sigismundo"/>
    <s v="Brereton"/>
    <s v="Male"/>
    <s v="Male"/>
    <s v="7.75.243.35"/>
    <s v="86.219.6.91"/>
    <n v="495"/>
    <n v="495"/>
    <x v="1"/>
    <s v="WRB"/>
    <x v="457"/>
    <x v="3"/>
    <s v="Property-Casualty Insurers"/>
    <s v="$8.51B"/>
    <n v="8510000000"/>
    <n v="497.05"/>
    <n v="2.1"/>
    <n v="95791910"/>
    <d v="2024-05-03T00:00:00"/>
    <s v="Complete"/>
    <m/>
  </r>
  <r>
    <s v="callmonddr"/>
    <s v="ustream.tv"/>
    <s v="Catie"/>
    <s v="Allmond"/>
    <s v="Female"/>
    <s v="Female"/>
    <s v="116.48.215.209"/>
    <s v="253.161.86.71"/>
    <n v="496"/>
    <n v="496"/>
    <x v="0"/>
    <s v="CGIX"/>
    <x v="458"/>
    <x v="0"/>
    <s v="Medical Specialities"/>
    <s v="$72.13M"/>
    <n v="72130000"/>
    <n v="401.33"/>
    <n v="-6.2"/>
    <n v="75085378"/>
    <d v="2026-10-11T00:00:00"/>
    <s v="Complete"/>
    <m/>
  </r>
  <r>
    <s v="sjadods"/>
    <s v="amazonaws.com"/>
    <s v="Sarena"/>
    <s v="Jado"/>
    <s v="Female"/>
    <s v="Female"/>
    <s v="126.85.149.25"/>
    <s v="21.22.109.125"/>
    <n v="497"/>
    <n v="497"/>
    <x v="1"/>
    <s v="WLH"/>
    <x v="459"/>
    <x v="1"/>
    <s v="Homebuilding"/>
    <s v="$719.19M"/>
    <n v="719190000"/>
    <n v="1507.27"/>
    <n v="8.81"/>
    <n v="66794701"/>
    <d v="2024-11-07T00:00:00"/>
    <s v="Complete"/>
    <m/>
  </r>
  <r>
    <s v="bmccaskilldt"/>
    <s v="intel.com"/>
    <s v="Berti"/>
    <s v="McCaskill"/>
    <s v="Male"/>
    <s v="Male"/>
    <s v="172.86.191.9"/>
    <s v="234.140.147.2"/>
    <n v="498"/>
    <n v="498"/>
    <x v="0"/>
    <s v="IDXX"/>
    <x v="460"/>
    <x v="0"/>
    <s v="Biotechnology: In Vitro &amp; In Vivo Diagnostic Substances"/>
    <s v="$14.16B"/>
    <n v="14160000000"/>
    <n v="250.57"/>
    <n v="8.15"/>
    <n v="25809202"/>
    <d v="2022-04-04T00:00:00"/>
    <s v="Complete"/>
    <m/>
  </r>
  <r>
    <s v="jsemperdu"/>
    <s v="youku.com"/>
    <s v="Jessalyn"/>
    <s v="Semper"/>
    <s v="Female"/>
    <s v="Female"/>
    <s v="181.111.204.44"/>
    <s v="5.193.28.145"/>
    <n v="499"/>
    <n v="499"/>
    <x v="0"/>
    <s v="HMTA"/>
    <x v="461"/>
    <x v="3"/>
    <s v="Major Banks"/>
    <s v="$60.41M"/>
    <n v="60410000"/>
    <n v="245.28"/>
    <n v="-0.61"/>
    <n v="86396768"/>
    <d v="2021-05-11T00:00:00"/>
    <s v="Complete"/>
    <m/>
  </r>
  <r>
    <s v="sfaersdv"/>
    <s v="bbc.co.uk"/>
    <s v="Sam"/>
    <s v="Faers"/>
    <s v="Female"/>
    <s v="Female"/>
    <s v="46.163.166.100"/>
    <s v="31.66.154.88"/>
    <n v="500"/>
    <n v="500"/>
    <x v="0"/>
    <s v="CMLS"/>
    <x v="462"/>
    <x v="6"/>
    <s v="Broadcasting"/>
    <s v="$14.07M"/>
    <n v="14070000"/>
    <n v="429.96"/>
    <n v="-3.12"/>
    <n v="98114797"/>
    <d v="2025-01-20T00:00:00"/>
    <s v="Complete"/>
    <m/>
  </r>
  <r>
    <s v="giglesiasdw"/>
    <s v="pagesperso-orange.fr"/>
    <s v="Genvieve"/>
    <s v="Iglesias"/>
    <s v="Female"/>
    <s v="Female"/>
    <s v="49.25.103.166"/>
    <s v="30.234.86.40"/>
    <n v="501"/>
    <n v="501"/>
    <x v="0"/>
    <s v="INGN"/>
    <x v="463"/>
    <x v="0"/>
    <s v="Industrial Specialties"/>
    <s v="$1.9B"/>
    <n v="1900000000"/>
    <n v="494.64"/>
    <n v="6.06"/>
    <n v="173952598"/>
    <d v="2025-04-19T00:00:00"/>
    <s v="Complete"/>
    <m/>
  </r>
  <r>
    <s v="dfredadx"/>
    <s v="t-online.de"/>
    <s v="Davide"/>
    <s v="Freda"/>
    <s v="Male"/>
    <s v="Male"/>
    <s v="44.37.16.185"/>
    <s v="132.170.115.126"/>
    <n v="502"/>
    <n v="502"/>
    <x v="0"/>
    <s v="ADMP"/>
    <x v="464"/>
    <x v="0"/>
    <s v="Major Pharmaceuticals"/>
    <s v="$143.33M"/>
    <n v="143330000"/>
    <n v="183.94"/>
    <n v="-11.61"/>
    <n v="4749352"/>
    <d v="2022-01-29T00:00:00"/>
    <s v="Complete"/>
    <m/>
  </r>
  <r>
    <s v="cstartedy"/>
    <s v="exblog.jp"/>
    <s v="Catlin"/>
    <s v="Starte"/>
    <s v="Female"/>
    <s v="Female"/>
    <s v="242.89.98.124"/>
    <s v="208.2.86.69"/>
    <n v="503"/>
    <n v="503"/>
    <x v="0"/>
    <s v="CERC"/>
    <x v="465"/>
    <x v="0"/>
    <s v="Major Pharmaceuticals"/>
    <s v="$7.18M"/>
    <n v="7180000"/>
    <n v="349.79"/>
    <n v="-11.48"/>
    <n v="153740727"/>
    <d v="2022-04-22T00:00:00"/>
    <s v="Complete"/>
    <m/>
  </r>
  <r>
    <s v="whubbucksdz"/>
    <s v="buzzfeed.com"/>
    <s v="Willard"/>
    <s v="Hubbucks"/>
    <s v="Male"/>
    <s v="Male"/>
    <s v="78.12.16.60"/>
    <s v="224.83.95.28"/>
    <n v="504"/>
    <n v="504"/>
    <x v="1"/>
    <s v="LKSD"/>
    <x v="466"/>
    <x v="7"/>
    <s v="Publishing"/>
    <s v="$742.65M"/>
    <n v="742650000"/>
    <n v="919.51"/>
    <n v="7.75"/>
    <n v="7144668"/>
    <d v="2020-07-05T00:00:00"/>
    <s v="Complete"/>
    <m/>
  </r>
  <r>
    <s v="onilgese0"/>
    <s v="goo.gl"/>
    <s v="Ollie"/>
    <s v="Nilges"/>
    <s v="Male"/>
    <s v="Male"/>
    <s v="73.120.97.175"/>
    <s v="167.12.216.14"/>
    <n v="505"/>
    <n v="505"/>
    <x v="1"/>
    <s v="PPP"/>
    <x v="467"/>
    <x v="10"/>
    <s v="Precious Metals"/>
    <s v="$64.88M"/>
    <n v="64879999.999999993"/>
    <n v="292.70999999999998"/>
    <n v="16.28"/>
    <n v="97835740"/>
    <d v="2023-06-18T00:00:00"/>
    <s v="Complete"/>
    <m/>
  </r>
  <r>
    <s v="gblaguee1"/>
    <s v="last.fm"/>
    <s v="Granville"/>
    <s v="Blague"/>
    <s v="Male"/>
    <s v="Male"/>
    <s v="105.73.134.110"/>
    <s v="249.157.144.142"/>
    <n v="506"/>
    <n v="506"/>
    <x v="0"/>
    <s v="ABCO"/>
    <x v="468"/>
    <x v="6"/>
    <s v="Other Consumer Services"/>
    <s v="$2.09B"/>
    <n v="2089999999.9999998"/>
    <n v="1831.04"/>
    <n v="5.89"/>
    <n v="111507209"/>
    <d v="2021-04-22T00:00:00"/>
    <s v="Complete"/>
    <m/>
  </r>
  <r>
    <s v="dstutte2"/>
    <s v="aol.com"/>
    <s v="Derek"/>
    <s v="Stutt"/>
    <s v="Male"/>
    <s v="Male"/>
    <s v="172.66.222.155"/>
    <s v="73.185.144.205"/>
    <n v="507"/>
    <n v="507"/>
    <x v="0"/>
    <s v="AMBCW"/>
    <x v="469"/>
    <x v="3"/>
    <s v="Property-Casualty Insurers"/>
    <s v="N/A"/>
    <n v="0"/>
    <n v="48.44"/>
    <n v="2.66"/>
    <n v="40932709"/>
    <d v="2026-10-28T00:00:00"/>
    <s v="Missing"/>
    <m/>
  </r>
  <r>
    <s v="nmendenhalle3"/>
    <s v="engadget.com"/>
    <s v="Nikita"/>
    <s v="Mendenhall"/>
    <s v="Male"/>
    <s v="Male"/>
    <s v="170.54.236.19"/>
    <s v="74.248.194.55"/>
    <n v="508"/>
    <n v="508"/>
    <x v="0"/>
    <s v="IROQ"/>
    <x v="470"/>
    <x v="3"/>
    <s v="Savings Institutions"/>
    <s v="$77.63M"/>
    <n v="77630000"/>
    <n v="1618.56"/>
    <n v="14.13"/>
    <n v="131419398"/>
    <d v="2022-01-27T00:00:00"/>
    <s v="Complete"/>
    <m/>
  </r>
  <r>
    <s v="fhortope4"/>
    <s v="cmu.edu"/>
    <s v="Faye"/>
    <s v="Hortop"/>
    <s v="Female"/>
    <s v="Female"/>
    <s v="126.239.30.7"/>
    <s v="138.253.153.97"/>
    <n v="509"/>
    <n v="509"/>
    <x v="1"/>
    <s v="OB"/>
    <x v="471"/>
    <x v="3"/>
    <s v="Property-Casualty Insurers"/>
    <s v="$1.72B"/>
    <n v="1720000000"/>
    <n v="367.62"/>
    <n v="-13.07"/>
    <n v="6859300"/>
    <d v="2026-09-28T00:00:00"/>
    <s v="Complete"/>
    <m/>
  </r>
  <r>
    <s v="gonearye5"/>
    <s v="deliciousdays.com"/>
    <s v="Garrett"/>
    <s v="O'Neary"/>
    <s v="Male"/>
    <s v="Male"/>
    <s v="139.127.120.241"/>
    <s v="148.74.151.219"/>
    <n v="510"/>
    <n v="510"/>
    <x v="0"/>
    <s v="SPOK"/>
    <x v="414"/>
    <x v="8"/>
    <s v="Telecommunications Equipment"/>
    <s v="$371.61M"/>
    <n v="371610000"/>
    <n v="1198.24"/>
    <n v="-19.05"/>
    <n v="161935506"/>
    <d v="2021-08-01T00:00:00"/>
    <s v="Complete"/>
    <m/>
  </r>
  <r>
    <s v="rmaskewe6"/>
    <s v="alibaba.com"/>
    <s v="Rosemaria"/>
    <s v="Maskew"/>
    <s v="Female"/>
    <s v="Female"/>
    <s v="238.204.156.123"/>
    <s v="222.83.66.71"/>
    <n v="511"/>
    <n v="511"/>
    <x v="0"/>
    <s v="CHSCM"/>
    <x v="472"/>
    <x v="6"/>
    <s v="Farming/Seeds/Milling"/>
    <s v="$542.67M"/>
    <n v="542670000"/>
    <n v="1814.63"/>
    <n v="3.85"/>
    <n v="66175095"/>
    <d v="2020-04-30T00:00:00"/>
    <s v="Complete"/>
    <m/>
  </r>
  <r>
    <s v="cthorsbye7"/>
    <s v="vk.com"/>
    <s v="Christalle"/>
    <s v="Thorsby"/>
    <s v="Female"/>
    <s v="Female"/>
    <s v="200.60.117.206"/>
    <s v="72.103.197.10"/>
    <n v="512"/>
    <n v="512"/>
    <x v="1"/>
    <s v="CMA.WS"/>
    <x v="473"/>
    <x v="2"/>
    <s v="N/A"/>
    <s v="N/A"/>
    <n v="0"/>
    <n v="645.4"/>
    <n v="-18.66"/>
    <n v="146127701"/>
    <d v="2023-11-21T00:00:00"/>
    <s v="Missing"/>
    <m/>
  </r>
  <r>
    <s v="inutbeane8"/>
    <s v="wired.com"/>
    <s v="Iormina"/>
    <s v="Nutbean"/>
    <s v="Female"/>
    <s v="Female"/>
    <s v="152.187.213.110"/>
    <s v="219.232.37.214"/>
    <n v="513"/>
    <n v="513"/>
    <x v="0"/>
    <s v="ACXM"/>
    <x v="474"/>
    <x v="4"/>
    <s v="EDP Services"/>
    <s v="$2.06B"/>
    <n v="2060000000"/>
    <n v="585.22"/>
    <n v="6.24"/>
    <n v="53006342"/>
    <d v="2023-07-24T00:00:00"/>
    <s v="Complete"/>
    <m/>
  </r>
  <r>
    <s v="gsuermeiere9"/>
    <s v="narod.ru"/>
    <s v="Gabbie"/>
    <s v="Suermeier"/>
    <s v="Female"/>
    <s v="Female"/>
    <s v="28.123.108.213"/>
    <s v="113.132.13.203"/>
    <n v="514"/>
    <n v="514"/>
    <x v="1"/>
    <s v="SLB"/>
    <x v="475"/>
    <x v="9"/>
    <s v="Oilfield Services/Equipment"/>
    <s v="$95.29B"/>
    <n v="95290000000"/>
    <n v="1251.94"/>
    <n v="-13.46"/>
    <n v="82164637"/>
    <d v="2023-05-16T00:00:00"/>
    <s v="Complete"/>
    <m/>
  </r>
  <r>
    <s v="goslerea"/>
    <s v="ycombinator.com"/>
    <s v="Greg"/>
    <s v="Osler"/>
    <s v="Male"/>
    <s v="Male"/>
    <s v="130.24.249.50"/>
    <s v="78.244.211.69"/>
    <n v="515"/>
    <n v="515"/>
    <x v="1"/>
    <s v="SAN^B"/>
    <x v="325"/>
    <x v="2"/>
    <s v="N/A"/>
    <s v="N/A"/>
    <n v="0"/>
    <n v="1587.22"/>
    <n v="12.56"/>
    <n v="30743414"/>
    <d v="2023-11-20T00:00:00"/>
    <s v="Missing"/>
    <m/>
  </r>
  <r>
    <s v="dhazzardeb"/>
    <s v="prweb.com"/>
    <s v="Danella"/>
    <s v="Hazzard"/>
    <s v="Female"/>
    <s v="Female"/>
    <s v="205.208.131.158"/>
    <s v="110.198.183.117"/>
    <n v="516"/>
    <n v="516"/>
    <x v="0"/>
    <s v="PCOM"/>
    <x v="476"/>
    <x v="7"/>
    <s v="Business Services"/>
    <s v="$126.39M"/>
    <n v="126390000"/>
    <n v="1184.6300000000001"/>
    <n v="8.08"/>
    <n v="74443833"/>
    <d v="2023-03-03T00:00:00"/>
    <s v="Complete"/>
    <m/>
  </r>
  <r>
    <s v="dastlesec"/>
    <s v="foxnews.com"/>
    <s v="Deni"/>
    <s v="Astles"/>
    <s v="Female"/>
    <s v="Female"/>
    <s v="0.137.135.194"/>
    <s v="177.195.21.222"/>
    <n v="517"/>
    <n v="517"/>
    <x v="1"/>
    <s v="TISI"/>
    <x v="48"/>
    <x v="6"/>
    <s v="Other Consumer Services"/>
    <s v="$751.34M"/>
    <n v="751340000"/>
    <n v="114.54"/>
    <n v="10.67"/>
    <n v="188665582"/>
    <d v="2023-02-23T00:00:00"/>
    <s v="Complete"/>
    <m/>
  </r>
  <r>
    <s v="ttwelvesed"/>
    <s v="liveinternet.ru"/>
    <s v="Torrin"/>
    <s v="Twelves"/>
    <s v="Genderfluid"/>
    <s v="Other"/>
    <s v="78.234.254.155"/>
    <s v="52.77.187.14"/>
    <n v="518"/>
    <n v="518"/>
    <x v="0"/>
    <s v="PNQI"/>
    <x v="477"/>
    <x v="2"/>
    <s v="N/A"/>
    <s v="$388.09M"/>
    <n v="388090000"/>
    <n v="1292"/>
    <n v="7.06"/>
    <n v="119557670"/>
    <d v="2024-08-19T00:00:00"/>
    <s v="Missing"/>
    <m/>
  </r>
  <r>
    <s v="dcossingtonee"/>
    <s v="census.gov"/>
    <s v="Dennie"/>
    <s v="Cossington"/>
    <s v="Female"/>
    <s v="Female"/>
    <s v="113.126.212.20"/>
    <s v="168.78.2.195"/>
    <n v="519"/>
    <n v="519"/>
    <x v="1"/>
    <s v="MYD"/>
    <x v="478"/>
    <x v="2"/>
    <s v="N/A"/>
    <s v="$703.23M"/>
    <n v="703230000"/>
    <n v="1674.29"/>
    <n v="-8.69"/>
    <n v="17796687"/>
    <d v="2025-07-13T00:00:00"/>
    <s v="Missing"/>
    <m/>
  </r>
  <r>
    <s v="btroreyef"/>
    <s v="drupal.org"/>
    <s v="Berget"/>
    <s v="Trorey"/>
    <s v="Female"/>
    <s v="Female"/>
    <s v="52.168.146.145"/>
    <s v="222.22.133.54"/>
    <n v="520"/>
    <n v="520"/>
    <x v="1"/>
    <s v="KORS"/>
    <x v="479"/>
    <x v="5"/>
    <s v="Apparel"/>
    <s v="$5.39B"/>
    <n v="5390000000"/>
    <n v="1961.75"/>
    <n v="11.82"/>
    <n v="78973286"/>
    <d v="2024-02-11T00:00:00"/>
    <s v="Complete"/>
    <m/>
  </r>
  <r>
    <s v="podareeg"/>
    <s v="about.com"/>
    <s v="Phillip"/>
    <s v="O'Dare"/>
    <s v="Male"/>
    <s v="Male"/>
    <s v="121.145.214.212"/>
    <s v="44.217.99.210"/>
    <n v="521"/>
    <n v="521"/>
    <x v="0"/>
    <s v="TCBIW"/>
    <x v="480"/>
    <x v="3"/>
    <s v="Major Banks"/>
    <s v="N/A"/>
    <n v="0"/>
    <n v="528.39"/>
    <n v="-1.49"/>
    <n v="137003107"/>
    <d v="2020-02-17T00:00:00"/>
    <s v="Missing"/>
    <m/>
  </r>
  <r>
    <s v="iphillpeh"/>
    <s v="ning.com"/>
    <s v="Iggy"/>
    <s v="Phillp"/>
    <s v="Male"/>
    <s v="Male"/>
    <s v="148.95.244.6"/>
    <s v="25.233.167.2"/>
    <n v="522"/>
    <n v="522"/>
    <x v="0"/>
    <s v="JRVR"/>
    <x v="481"/>
    <x v="3"/>
    <s v="Property-Casualty Insurers"/>
    <s v="$1.18B"/>
    <n v="1180000000"/>
    <n v="662.58"/>
    <n v="18.23"/>
    <n v="100762091"/>
    <d v="2026-01-05T00:00:00"/>
    <s v="Complete"/>
    <m/>
  </r>
  <r>
    <s v="jpendleberryei"/>
    <s v="army.mil"/>
    <s v="Jessamine"/>
    <s v="Pendleberry"/>
    <s v="Female"/>
    <s v="Female"/>
    <s v="127.49.202.155"/>
    <s v="18.88.242.164"/>
    <n v="523"/>
    <n v="523"/>
    <x v="1"/>
    <s v="NUV"/>
    <x v="482"/>
    <x v="2"/>
    <s v="N/A"/>
    <s v="$2.09B"/>
    <n v="2089999999.9999998"/>
    <n v="813.94"/>
    <n v="-2.0699999999999998"/>
    <n v="136859935"/>
    <d v="2022-07-13T00:00:00"/>
    <s v="Missing"/>
    <m/>
  </r>
  <r>
    <s v="adowdenej"/>
    <s v="fc2.com"/>
    <s v="Audry"/>
    <s v="Dowden"/>
    <s v="Female"/>
    <s v="Female"/>
    <s v="125.31.108.200"/>
    <s v="9.3.33.159"/>
    <n v="524"/>
    <n v="524"/>
    <x v="1"/>
    <s v="LBF"/>
    <x v="483"/>
    <x v="2"/>
    <s v="N/A"/>
    <s v="$56.46M"/>
    <n v="56460000"/>
    <n v="1993.15"/>
    <n v="17.79"/>
    <n v="62851365"/>
    <d v="2026-07-15T00:00:00"/>
    <s v="Missing"/>
    <m/>
  </r>
  <r>
    <s v="csherlandek"/>
    <s v="reddit.com"/>
    <s v="Clark"/>
    <s v="Sherland"/>
    <s v="Male"/>
    <s v="Male"/>
    <s v="60.229.217.184"/>
    <s v="199.96.208.78"/>
    <n v="525"/>
    <n v="525"/>
    <x v="1"/>
    <s v="SMM"/>
    <x v="484"/>
    <x v="2"/>
    <s v="N/A"/>
    <s v="$199.02M"/>
    <n v="199020000"/>
    <n v="636.04999999999995"/>
    <n v="-7.87"/>
    <n v="69821774"/>
    <d v="2021-11-29T00:00:00"/>
    <s v="Missing"/>
    <m/>
  </r>
  <r>
    <s v="hedgellerel"/>
    <s v="loc.gov"/>
    <s v="Harry"/>
    <s v="Edgeller"/>
    <s v="Male"/>
    <s v="Male"/>
    <s v="55.168.67.64"/>
    <s v="183.142.59.6"/>
    <n v="526"/>
    <n v="526"/>
    <x v="1"/>
    <s v="GIS"/>
    <x v="10"/>
    <x v="5"/>
    <s v="Packaged Foods"/>
    <s v="$32.9B"/>
    <n v="32900000000"/>
    <n v="897.38"/>
    <n v="8.41"/>
    <n v="146262282"/>
    <d v="2021-05-16T00:00:00"/>
    <s v="Complete"/>
    <m/>
  </r>
  <r>
    <s v="landertonem"/>
    <s v="unesco.org"/>
    <s v="Lona"/>
    <s v="Anderton"/>
    <s v="Female"/>
    <s v="Female"/>
    <s v="27.30.3.249"/>
    <s v="35.93.27.202"/>
    <n v="527"/>
    <n v="527"/>
    <x v="1"/>
    <s v="SVU"/>
    <x v="485"/>
    <x v="5"/>
    <s v="Food Distributors"/>
    <s v="$864.67M"/>
    <n v="864670000"/>
    <n v="7.44"/>
    <n v="-11.34"/>
    <n v="85095189"/>
    <d v="2022-06-15T00:00:00"/>
    <s v="Complete"/>
    <m/>
  </r>
  <r>
    <s v="hsampsonen"/>
    <s v="addthis.com"/>
    <s v="Hermann"/>
    <s v="Sampson"/>
    <s v="Male"/>
    <s v="Male"/>
    <s v="214.66.154.235"/>
    <s v="31.163.217.203"/>
    <n v="528"/>
    <n v="528"/>
    <x v="1"/>
    <s v="TU"/>
    <x v="486"/>
    <x v="8"/>
    <s v="Telecommunications Equipment"/>
    <s v="$20.42B"/>
    <n v="20420000000"/>
    <n v="1343.81"/>
    <n v="-16.7"/>
    <n v="80496665"/>
    <d v="2025-03-13T00:00:00"/>
    <s v="Complete"/>
    <m/>
  </r>
  <r>
    <s v="hcrankshaweo"/>
    <s v="mit.edu"/>
    <s v="Hatti"/>
    <s v="Crankshaw"/>
    <s v="Female"/>
    <s v="Female"/>
    <s v="243.218.208.2"/>
    <s v="116.69.75.124"/>
    <n v="529"/>
    <n v="529"/>
    <x v="0"/>
    <s v="VIA"/>
    <x v="210"/>
    <x v="6"/>
    <s v="Television Services"/>
    <s v="$15.55B"/>
    <n v="15550000000"/>
    <n v="1588.31"/>
    <n v="-14.1"/>
    <n v="123273270"/>
    <d v="2020-01-17T00:00:00"/>
    <s v="Complete"/>
    <m/>
  </r>
  <r>
    <s v="eilesep"/>
    <s v="twitter.com"/>
    <s v="Emmett"/>
    <s v="Iles"/>
    <s v="Male"/>
    <s v="Male"/>
    <s v="249.247.44.141"/>
    <s v="241.125.49.93"/>
    <n v="530"/>
    <n v="530"/>
    <x v="0"/>
    <s v="CRESY"/>
    <x v="487"/>
    <x v="3"/>
    <s v="Real Estate"/>
    <s v="$951.53M"/>
    <n v="951530000"/>
    <n v="516.45000000000005"/>
    <n v="-8.2200000000000006"/>
    <n v="148686893"/>
    <d v="2026-11-04T00:00:00"/>
    <s v="Complete"/>
    <m/>
  </r>
  <r>
    <s v="bfeatonbyeq"/>
    <s v="facebook.com"/>
    <s v="Byram"/>
    <s v="Featonby"/>
    <s v="Male"/>
    <s v="Male"/>
    <s v="67.154.76.17"/>
    <s v="153.221.36.220"/>
    <n v="531"/>
    <n v="531"/>
    <x v="1"/>
    <s v="VVC"/>
    <x v="488"/>
    <x v="8"/>
    <s v="Natural Gas Distribution"/>
    <s v="$5.15B"/>
    <n v="5150000000"/>
    <n v="1118.32"/>
    <n v="4.83"/>
    <n v="115494250"/>
    <d v="2022-11-12T00:00:00"/>
    <s v="Complete"/>
    <m/>
  </r>
  <r>
    <s v="hantoonser"/>
    <s v="wired.com"/>
    <s v="Hogan"/>
    <s v="Antoons"/>
    <s v="Bigender"/>
    <s v="Other"/>
    <s v="55.152.80.100"/>
    <s v="249.205.198.57"/>
    <n v="532"/>
    <n v="532"/>
    <x v="0"/>
    <s v="AVID"/>
    <x v="489"/>
    <x v="4"/>
    <s v="Computer Software: Prepackaged Software"/>
    <s v="$205.59M"/>
    <n v="205590000"/>
    <n v="385.83"/>
    <n v="-17.440000000000001"/>
    <n v="113569287"/>
    <d v="2023-08-08T00:00:00"/>
    <s v="Complete"/>
    <m/>
  </r>
  <r>
    <s v="wnowelles"/>
    <s v="soundcloud.com"/>
    <s v="Wilhelm"/>
    <s v="Nowell"/>
    <s v="Polygender"/>
    <s v="Other"/>
    <s v="40.58.61.201"/>
    <s v="195.87.202.186"/>
    <n v="533"/>
    <n v="533"/>
    <x v="0"/>
    <s v="DIOD"/>
    <x v="490"/>
    <x v="4"/>
    <s v="Semiconductors"/>
    <s v="$1.22B"/>
    <n v="1220000000"/>
    <n v="81.459999999999994"/>
    <n v="5.18"/>
    <n v="34933162"/>
    <d v="2022-08-02T00:00:00"/>
    <s v="Complete"/>
    <m/>
  </r>
  <r>
    <s v="jingmanet"/>
    <s v="constantcontact.com"/>
    <s v="Josiah"/>
    <s v="Ingman"/>
    <s v="Male"/>
    <s v="Male"/>
    <s v="197.76.110.15"/>
    <s v="32.192.38.151"/>
    <n v="534"/>
    <n v="534"/>
    <x v="1"/>
    <s v="STZ.B"/>
    <x v="491"/>
    <x v="2"/>
    <s v="N/A"/>
    <s v="N/A"/>
    <n v="0"/>
    <n v="771.39"/>
    <n v="4.99"/>
    <n v="182078028"/>
    <d v="2025-06-11T00:00:00"/>
    <s v="Missing"/>
    <m/>
  </r>
  <r>
    <s v="tbickelleu"/>
    <s v="nature.com"/>
    <s v="Torie"/>
    <s v="Bickell"/>
    <s v="Female"/>
    <s v="Female"/>
    <s v="170.33.175.202"/>
    <s v="169.199.246.63"/>
    <n v="535"/>
    <n v="535"/>
    <x v="1"/>
    <s v="PSB^T"/>
    <x v="492"/>
    <x v="2"/>
    <s v="N/A"/>
    <s v="N/A"/>
    <n v="0"/>
    <n v="639.41999999999996"/>
    <n v="-0.45"/>
    <n v="22250981"/>
    <d v="2020-12-07T00:00:00"/>
    <s v="Missing"/>
    <m/>
  </r>
  <r>
    <s v="bblownev"/>
    <s v="omniture.com"/>
    <s v="Barbaraanne"/>
    <s v="Blown"/>
    <s v="Female"/>
    <s v="Female"/>
    <s v="64.138.76.180"/>
    <s v="44.4.164.131"/>
    <n v="536"/>
    <n v="536"/>
    <x v="1"/>
    <s v="LUB"/>
    <x v="493"/>
    <x v="6"/>
    <s v="Restaurants"/>
    <s v="$88.73M"/>
    <n v="88730000"/>
    <n v="1201.28"/>
    <n v="-17.46"/>
    <n v="532255"/>
    <d v="2022-09-18T00:00:00"/>
    <s v="Complete"/>
    <m/>
  </r>
  <r>
    <s v="awoodersonew"/>
    <s v="etsy.com"/>
    <s v="Alice"/>
    <s v="Wooderson"/>
    <s v="Female"/>
    <s v="Female"/>
    <s v="148.98.173.121"/>
    <s v="109.144.221.112"/>
    <n v="537"/>
    <n v="537"/>
    <x v="0"/>
    <s v="ABUS"/>
    <x v="494"/>
    <x v="0"/>
    <s v="Major Pharmaceuticals"/>
    <s v="$198.09M"/>
    <n v="198090000"/>
    <n v="673.15"/>
    <n v="13.84"/>
    <n v="80763821"/>
    <d v="2024-11-29T00:00:00"/>
    <s v="Complete"/>
    <m/>
  </r>
  <r>
    <s v="ghuotex"/>
    <s v="google.co.jp"/>
    <s v="Gerard"/>
    <s v="Huot"/>
    <s v="Genderfluid"/>
    <s v="Other"/>
    <s v="179.42.181.174"/>
    <s v="100.28.90.46"/>
    <n v="538"/>
    <n v="538"/>
    <x v="0"/>
    <s v="RGEN"/>
    <x v="495"/>
    <x v="0"/>
    <s v="Biotechnology: Biological Products (No Diagnostic Substances)"/>
    <s v="$1.3B"/>
    <n v="1300000000"/>
    <n v="1926.78"/>
    <n v="5.71"/>
    <n v="180388587"/>
    <d v="2022-04-13T00:00:00"/>
    <s v="Complete"/>
    <m/>
  </r>
  <r>
    <s v="jdruhaney"/>
    <s v="shareasale.com"/>
    <s v="Jasen"/>
    <s v="Druhan"/>
    <s v="Male"/>
    <s v="Male"/>
    <s v="210.139.246.200"/>
    <s v="119.244.220.74"/>
    <n v="539"/>
    <n v="539"/>
    <x v="0"/>
    <s v="DWLV"/>
    <x v="496"/>
    <x v="2"/>
    <s v="N/A"/>
    <s v="$4.2M"/>
    <n v="4200000"/>
    <n v="1191.3599999999999"/>
    <n v="-12.01"/>
    <n v="154693676"/>
    <d v="2022-09-25T00:00:00"/>
    <s v="Missing"/>
    <m/>
  </r>
  <r>
    <s v="edimitrijevicez"/>
    <s v="yellowpages.com"/>
    <s v="Erina"/>
    <s v="Dimitrijevic"/>
    <s v="Female"/>
    <s v="Female"/>
    <s v="144.214.31.6"/>
    <s v="59.228.210.148"/>
    <n v="540"/>
    <n v="540"/>
    <x v="1"/>
    <s v="DLB"/>
    <x v="497"/>
    <x v="7"/>
    <s v="Multi-Sector Companies"/>
    <s v="$5.04B"/>
    <n v="5040000000"/>
    <n v="1362.97"/>
    <n v="5.84"/>
    <n v="104228257"/>
    <d v="2020-07-29T00:00:00"/>
    <s v="Complete"/>
    <m/>
  </r>
  <r>
    <s v="cpettegref0"/>
    <s v="google.nl"/>
    <s v="Chiarra"/>
    <s v="Pettegre"/>
    <s v="Female"/>
    <s v="Female"/>
    <s v="130.85.27.63"/>
    <s v="128.21.72.89"/>
    <n v="541"/>
    <n v="541"/>
    <x v="1"/>
    <s v="TI"/>
    <x v="498"/>
    <x v="6"/>
    <s v="Telecommunications Equipment"/>
    <s v="$19.89B"/>
    <n v="19890000000"/>
    <n v="16.64"/>
    <n v="-16.84"/>
    <n v="149883506"/>
    <d v="2023-07-01T00:00:00"/>
    <s v="Complete"/>
    <m/>
  </r>
  <r>
    <s v="wachromovf1"/>
    <s v="sogou.com"/>
    <s v="Waverley"/>
    <s v="Achromov"/>
    <s v="Male"/>
    <s v="Male"/>
    <s v="104.164.131.188"/>
    <s v="208.111.130.157"/>
    <n v="542"/>
    <n v="542"/>
    <x v="0"/>
    <s v="MRTN"/>
    <x v="499"/>
    <x v="12"/>
    <s v="Trucking Freight/Courier Services"/>
    <s v="$905.46M"/>
    <n v="905460000"/>
    <n v="1206"/>
    <n v="2.12"/>
    <n v="42194593"/>
    <d v="2025-03-07T00:00:00"/>
    <s v="Complete"/>
    <m/>
  </r>
  <r>
    <s v="hsodenf2"/>
    <s v="examiner.com"/>
    <s v="Hilde"/>
    <s v="Soden"/>
    <s v="Female"/>
    <s v="Female"/>
    <s v="148.242.71.219"/>
    <s v="18.106.82.13"/>
    <n v="543"/>
    <n v="543"/>
    <x v="0"/>
    <s v="GERN"/>
    <x v="500"/>
    <x v="0"/>
    <s v="Major Pharmaceuticals"/>
    <s v="$420.22M"/>
    <n v="420220000"/>
    <n v="887"/>
    <n v="-4.33"/>
    <n v="44100064"/>
    <d v="2022-01-11T00:00:00"/>
    <s v="Complete"/>
    <m/>
  </r>
  <r>
    <s v="xthrelkeldf3"/>
    <s v="macromedia.com"/>
    <s v="Xenos"/>
    <s v="Threlkeld"/>
    <s v="Male"/>
    <s v="Male"/>
    <s v="106.122.91.1"/>
    <s v="76.160.111.225"/>
    <n v="544"/>
    <n v="544"/>
    <x v="1"/>
    <s v="CEA"/>
    <x v="501"/>
    <x v="12"/>
    <s v="Air Freight/Delivery Services"/>
    <s v="$8.42B"/>
    <n v="8420000000"/>
    <n v="679.5"/>
    <n v="13.68"/>
    <n v="120079380"/>
    <d v="2020-01-31T00:00:00"/>
    <s v="Complete"/>
    <m/>
  </r>
  <r>
    <s v="cligertwoodf4"/>
    <s v="ocn.ne.jp"/>
    <s v="Connor"/>
    <s v="Ligertwood"/>
    <s v="Male"/>
    <s v="Male"/>
    <s v="49.98.170.148"/>
    <s v="74.184.169.199"/>
    <n v="545"/>
    <n v="545"/>
    <x v="1"/>
    <s v="LCI"/>
    <x v="502"/>
    <x v="0"/>
    <s v="Major Pharmaceuticals"/>
    <s v="$688.77M"/>
    <n v="688770000"/>
    <n v="905.38"/>
    <n v="-11.45"/>
    <n v="196653773"/>
    <d v="2025-03-26T00:00:00"/>
    <s v="Complete"/>
    <m/>
  </r>
  <r>
    <s v="rminoguef5"/>
    <s v="chron.com"/>
    <s v="Ronald"/>
    <s v="Minogue"/>
    <s v="Male"/>
    <s v="Male"/>
    <s v="68.24.167.78"/>
    <s v="169.55.18.66"/>
    <n v="546"/>
    <n v="546"/>
    <x v="1"/>
    <s v="BW"/>
    <x v="503"/>
    <x v="1"/>
    <s v="Building Products"/>
    <s v="$558.63M"/>
    <n v="558630000"/>
    <n v="723.88"/>
    <n v="-13.38"/>
    <n v="140303708"/>
    <d v="2021-06-05T00:00:00"/>
    <s v="Complete"/>
    <m/>
  </r>
  <r>
    <s v="aminghellaf6"/>
    <s v="elpais.com"/>
    <s v="Ahmad"/>
    <s v="Minghella"/>
    <s v="Male"/>
    <s v="Male"/>
    <s v="187.68.47.203"/>
    <s v="236.31.128.109"/>
    <n v="547"/>
    <n v="547"/>
    <x v="1"/>
    <s v="BLK"/>
    <x v="504"/>
    <x v="3"/>
    <s v="Investment Bankers/Brokers/Service"/>
    <s v="$67.98B"/>
    <n v="67980000000.000008"/>
    <n v="1354.38"/>
    <n v="2.35"/>
    <n v="193133002"/>
    <d v="2020-04-23T00:00:00"/>
    <s v="Complete"/>
    <m/>
  </r>
  <r>
    <s v="mritchleyf7"/>
    <s v="lycos.com"/>
    <s v="Mattie"/>
    <s v="Ritchley"/>
    <s v="Male"/>
    <s v="Male"/>
    <s v="133.181.141.162"/>
    <s v="244.47.75.126"/>
    <n v="548"/>
    <n v="548"/>
    <x v="0"/>
    <s v="PID"/>
    <x v="505"/>
    <x v="2"/>
    <s v="N/A"/>
    <s v="$802.72M"/>
    <n v="802720000"/>
    <n v="834.24"/>
    <n v="-5.46"/>
    <n v="61969719"/>
    <d v="2022-01-14T00:00:00"/>
    <s v="Missing"/>
    <m/>
  </r>
  <r>
    <s v="gantonovicf8"/>
    <s v="paypal.com"/>
    <s v="Geordie"/>
    <s v="Antonovic"/>
    <s v="Male"/>
    <s v="Male"/>
    <s v="223.63.173.59"/>
    <s v="109.2.66.245"/>
    <n v="549"/>
    <n v="549"/>
    <x v="1"/>
    <s v="GSK"/>
    <x v="506"/>
    <x v="0"/>
    <s v="Major Pharmaceuticals"/>
    <s v="$107.75B"/>
    <n v="107750000000"/>
    <n v="1609.39"/>
    <n v="12.55"/>
    <n v="192637079"/>
    <d v="2023-04-04T00:00:00"/>
    <s v="Complete"/>
    <m/>
  </r>
  <r>
    <s v="dmarielf9"/>
    <s v="goo.ne.jp"/>
    <s v="Dalston"/>
    <s v="Mariel"/>
    <s v="Male"/>
    <s v="Male"/>
    <s v="143.43.227.66"/>
    <s v="90.57.116.49"/>
    <n v="550"/>
    <n v="550"/>
    <x v="0"/>
    <s v="SIEN"/>
    <x v="507"/>
    <x v="0"/>
    <s v="Industrial Specialties"/>
    <s v="$154.26M"/>
    <n v="154260000"/>
    <n v="760.73"/>
    <n v="18.18"/>
    <n v="164845617"/>
    <d v="2021-02-16T00:00:00"/>
    <s v="Complete"/>
    <m/>
  </r>
  <r>
    <s v="gfuzzensfa"/>
    <s v="springer.com"/>
    <s v="Garold"/>
    <s v="Fuzzens"/>
    <s v="Male"/>
    <s v="Male"/>
    <s v="229.64.196.230"/>
    <s v="243.6.195.184"/>
    <n v="551"/>
    <n v="551"/>
    <x v="0"/>
    <s v="CRWS"/>
    <x v="508"/>
    <x v="10"/>
    <s v="Textiles"/>
    <s v="$71.74M"/>
    <n v="71740000"/>
    <n v="447.15"/>
    <n v="-0.74"/>
    <n v="130196939"/>
    <d v="2026-06-09T00:00:00"/>
    <s v="Complete"/>
    <m/>
  </r>
  <r>
    <s v="zpiertonfb"/>
    <s v="wp.com"/>
    <s v="Zitella"/>
    <s v="Pierton"/>
    <s v="Female"/>
    <s v="Female"/>
    <s v="85.211.159.41"/>
    <s v="144.75.211.149"/>
    <n v="552"/>
    <n v="552"/>
    <x v="0"/>
    <s v="NWBI"/>
    <x v="509"/>
    <x v="3"/>
    <s v="Major Banks"/>
    <s v="$1.65B"/>
    <n v="1650000000"/>
    <n v="1169.53"/>
    <n v="18.579999999999998"/>
    <n v="158622035"/>
    <d v="2026-01-30T00:00:00"/>
    <s v="Complete"/>
    <m/>
  </r>
  <r>
    <s v="gmacdearmidfc"/>
    <s v="whitehouse.gov"/>
    <s v="Gualterio"/>
    <s v="MacDearmid"/>
    <s v="Male"/>
    <s v="Male"/>
    <s v="158.183.152.244"/>
    <s v="242.4.61.247"/>
    <n v="553"/>
    <n v="553"/>
    <x v="0"/>
    <s v="ZG"/>
    <x v="510"/>
    <x v="7"/>
    <s v="Business Services"/>
    <s v="$8.39B"/>
    <n v="8390000000.000001"/>
    <n v="1547.02"/>
    <n v="-7.92"/>
    <n v="129219315"/>
    <d v="2026-10-15T00:00:00"/>
    <s v="Complete"/>
    <m/>
  </r>
  <r>
    <s v="mterrellfd"/>
    <s v="baidu.com"/>
    <s v="Mitchell"/>
    <s v="Terrell"/>
    <s v="Male"/>
    <s v="Male"/>
    <s v="159.8.119.207"/>
    <s v="234.234.165.209"/>
    <n v="554"/>
    <n v="554"/>
    <x v="1"/>
    <s v="HTGC"/>
    <x v="511"/>
    <x v="2"/>
    <s v="N/A"/>
    <s v="$1.1B"/>
    <n v="1100000000"/>
    <n v="1989.14"/>
    <n v="-17.78"/>
    <n v="72338803"/>
    <d v="2020-08-30T00:00:00"/>
    <s v="Missing"/>
    <m/>
  </r>
  <r>
    <s v="kgostickfe"/>
    <s v="addthis.com"/>
    <s v="Kilian"/>
    <s v="Gostick"/>
    <s v="Male"/>
    <s v="Male"/>
    <s v="180.129.204.131"/>
    <s v="85.101.162.241"/>
    <n v="555"/>
    <n v="555"/>
    <x v="1"/>
    <s v="BME"/>
    <x v="512"/>
    <x v="2"/>
    <s v="N/A"/>
    <s v="$305.71M"/>
    <n v="305710000"/>
    <n v="1345.43"/>
    <n v="8.6300000000000008"/>
    <n v="114585751"/>
    <d v="2021-05-07T00:00:00"/>
    <s v="Missing"/>
    <m/>
  </r>
  <r>
    <s v="areevesff"/>
    <s v="dagondesign.com"/>
    <s v="Abbe"/>
    <s v="Reeves"/>
    <s v="Male"/>
    <s v="Male"/>
    <s v="232.154.66.40"/>
    <s v="210.71.107.193"/>
    <n v="556"/>
    <n v="556"/>
    <x v="1"/>
    <s v="IHC"/>
    <x v="513"/>
    <x v="3"/>
    <s v="Life Insurance"/>
    <s v="$330.01M"/>
    <n v="330010000"/>
    <n v="1312.56"/>
    <n v="-7.62"/>
    <n v="50048221"/>
    <d v="2025-07-17T00:00:00"/>
    <s v="Complete"/>
    <m/>
  </r>
  <r>
    <s v="rthrelfallfg"/>
    <s v="sitemeter.com"/>
    <s v="Rikki"/>
    <s v="Threlfall"/>
    <s v="Female"/>
    <s v="Female"/>
    <s v="74.13.117.121"/>
    <s v="42.6.154.254"/>
    <n v="557"/>
    <n v="557"/>
    <x v="1"/>
    <s v="TXT"/>
    <x v="514"/>
    <x v="1"/>
    <s v="Aerospace"/>
    <s v="$12.7B"/>
    <n v="12700000000"/>
    <n v="528.54999999999995"/>
    <n v="16.47"/>
    <n v="88264532"/>
    <d v="2024-12-08T00:00:00"/>
    <s v="Complete"/>
    <m/>
  </r>
  <r>
    <s v="dfennafh"/>
    <s v="t-online.de"/>
    <s v="Delano"/>
    <s v="Fenna"/>
    <s v="Male"/>
    <s v="Male"/>
    <s v="215.190.217.122"/>
    <s v="33.159.211.12"/>
    <n v="558"/>
    <n v="558"/>
    <x v="1"/>
    <s v="PAG"/>
    <x v="515"/>
    <x v="11"/>
    <s v="Automotive Aftermarket"/>
    <s v="$3.56B"/>
    <n v="3560000000"/>
    <n v="1973.49"/>
    <n v="-2.72"/>
    <n v="51422290"/>
    <d v="2026-01-19T00:00:00"/>
    <s v="Complete"/>
    <m/>
  </r>
  <r>
    <s v="jskippingsfi"/>
    <s v="intel.com"/>
    <s v="Joy"/>
    <s v="Skippings"/>
    <s v="Female"/>
    <s v="Female"/>
    <s v="108.168.252.180"/>
    <s v="243.50.212.116"/>
    <n v="559"/>
    <n v="559"/>
    <x v="1"/>
    <s v="PG"/>
    <x v="516"/>
    <x v="10"/>
    <s v="Package Goods/Cosmetics"/>
    <s v="$229.32B"/>
    <n v="229320000000"/>
    <n v="1160.17"/>
    <n v="-1.5"/>
    <n v="89076818"/>
    <d v="2023-07-01T00:00:00"/>
    <s v="Complete"/>
    <m/>
  </r>
  <r>
    <s v="ecoldhamfj"/>
    <s v="homestead.com"/>
    <s v="Eugene"/>
    <s v="Coldham"/>
    <s v="Male"/>
    <s v="Male"/>
    <s v="230.177.159.173"/>
    <s v="45.117.207.144"/>
    <n v="560"/>
    <n v="560"/>
    <x v="0"/>
    <s v="PMBC"/>
    <x v="517"/>
    <x v="3"/>
    <s v="Major Banks"/>
    <s v="$198.16M"/>
    <n v="198160000"/>
    <n v="25.25"/>
    <n v="-9.08"/>
    <n v="11761725"/>
    <d v="2024-02-28T00:00:00"/>
    <s v="Complete"/>
    <m/>
  </r>
  <r>
    <s v="horganerfk"/>
    <s v="mapy.cz"/>
    <s v="Hamel"/>
    <s v="Organer"/>
    <s v="Male"/>
    <s v="Male"/>
    <s v="240.108.90.216"/>
    <s v="114.80.237.1"/>
    <n v="561"/>
    <n v="561"/>
    <x v="0"/>
    <s v="RGSE"/>
    <x v="518"/>
    <x v="10"/>
    <s v="Engineering &amp; Construction"/>
    <s v="$6.14M"/>
    <n v="6140000"/>
    <n v="1050.6199999999999"/>
    <n v="3.9"/>
    <n v="48993888"/>
    <d v="2025-09-26T00:00:00"/>
    <s v="Complete"/>
    <m/>
  </r>
  <r>
    <s v="idelosfl"/>
    <s v="google.fr"/>
    <s v="Iain"/>
    <s v="Delos"/>
    <s v="Male"/>
    <s v="Male"/>
    <s v="141.71.118.209"/>
    <s v="143.101.23.150"/>
    <n v="562"/>
    <n v="562"/>
    <x v="0"/>
    <s v="AVHI"/>
    <x v="519"/>
    <x v="1"/>
    <s v="Homebuilding"/>
    <s v="$410.69M"/>
    <n v="410690000"/>
    <n v="323.24"/>
    <n v="-10.97"/>
    <n v="100359266"/>
    <d v="2022-06-29T00:00:00"/>
    <s v="Complete"/>
    <m/>
  </r>
  <r>
    <s v="ghughesdonfm"/>
    <s v="sphinn.com"/>
    <s v="Gunther"/>
    <s v="Hughesdon"/>
    <s v="Male"/>
    <s v="Male"/>
    <s v="98.11.248.73"/>
    <s v="202.235.197.176"/>
    <n v="563"/>
    <n v="563"/>
    <x v="1"/>
    <s v="HT^D"/>
    <x v="70"/>
    <x v="2"/>
    <s v="N/A"/>
    <s v="N/A"/>
    <n v="0"/>
    <n v="1702.18"/>
    <n v="14.95"/>
    <n v="161461346"/>
    <d v="2021-12-11T00:00:00"/>
    <s v="Missing"/>
    <m/>
  </r>
  <r>
    <s v="sjarrelfn"/>
    <s v="t-online.de"/>
    <s v="Sam"/>
    <s v="Jarrel"/>
    <s v="Male"/>
    <s v="Male"/>
    <s v="104.7.221.209"/>
    <s v="165.171.218.183"/>
    <n v="564"/>
    <n v="564"/>
    <x v="0"/>
    <s v="LLIT"/>
    <x v="520"/>
    <x v="0"/>
    <s v="Medical/Dental Instruments"/>
    <s v="$20.95M"/>
    <n v="20950000"/>
    <n v="1728.24"/>
    <n v="-1.2"/>
    <n v="65243963"/>
    <d v="2022-01-26T00:00:00"/>
    <s v="Complete"/>
    <m/>
  </r>
  <r>
    <s v="svassarfo"/>
    <s v="hp.com"/>
    <s v="Sula"/>
    <s v="Vassar"/>
    <s v="Female"/>
    <s v="Female"/>
    <s v="138.17.35.253"/>
    <s v="171.6.69.103"/>
    <n v="565"/>
    <n v="565"/>
    <x v="1"/>
    <s v="NXP"/>
    <x v="521"/>
    <x v="2"/>
    <s v="N/A"/>
    <s v="$239.77M"/>
    <n v="239770000"/>
    <n v="702.63"/>
    <n v="8.81"/>
    <n v="158709358"/>
    <d v="2022-08-27T00:00:00"/>
    <s v="Missing"/>
    <m/>
  </r>
  <r>
    <s v="kleaderfp"/>
    <s v="wikipedia.org"/>
    <s v="Klara"/>
    <s v="Leader"/>
    <s v="Female"/>
    <s v="Female"/>
    <s v="188.136.148.37"/>
    <s v="59.133.164.140"/>
    <n v="566"/>
    <n v="566"/>
    <x v="0"/>
    <s v="WAFDW"/>
    <x v="522"/>
    <x v="3"/>
    <s v="Major Banks"/>
    <s v="N/A"/>
    <n v="0"/>
    <n v="863.27"/>
    <n v="-5.13"/>
    <n v="169643457"/>
    <d v="2020-08-10T00:00:00"/>
    <s v="Missing"/>
    <m/>
  </r>
  <r>
    <s v="nblanpeinfq"/>
    <s v="latimes.com"/>
    <s v="Niall"/>
    <s v="Blanpein"/>
    <s v="Genderfluid"/>
    <s v="Other"/>
    <s v="206.118.185.188"/>
    <s v="231.194.209.56"/>
    <n v="567"/>
    <n v="567"/>
    <x v="0"/>
    <s v="ENTA"/>
    <x v="523"/>
    <x v="0"/>
    <s v="Major Pharmaceuticals"/>
    <s v="$647.69M"/>
    <n v="647690000"/>
    <n v="1741.66"/>
    <n v="5.12"/>
    <n v="189706155"/>
    <d v="2024-06-05T00:00:00"/>
    <s v="Complete"/>
    <m/>
  </r>
  <r>
    <s v="kedgertonfr"/>
    <s v="instagram.com"/>
    <s v="Kirbie"/>
    <s v="Edgerton"/>
    <s v="Female"/>
    <s v="Female"/>
    <s v="229.137.174.29"/>
    <s v="28.174.127.154"/>
    <n v="568"/>
    <n v="568"/>
    <x v="0"/>
    <s v="CEMI"/>
    <x v="30"/>
    <x v="0"/>
    <s v="Major Pharmaceuticals"/>
    <s v="$73.79M"/>
    <n v="73790000"/>
    <n v="389.84"/>
    <n v="-1.44"/>
    <n v="63638363"/>
    <d v="2025-01-22T00:00:00"/>
    <s v="Complete"/>
    <m/>
  </r>
  <r>
    <s v="gstanningfs"/>
    <s v="examiner.com"/>
    <s v="Gusty"/>
    <s v="Stanning"/>
    <s v="Female"/>
    <s v="Female"/>
    <s v="22.81.194.147"/>
    <s v="66.122.71.71"/>
    <n v="569"/>
    <n v="569"/>
    <x v="0"/>
    <s v="VIRT"/>
    <x v="524"/>
    <x v="3"/>
    <s v="Investment Bankers/Brokers/Service"/>
    <s v="$2.38B"/>
    <n v="2380000000"/>
    <n v="104.95"/>
    <n v="15.81"/>
    <n v="67582167"/>
    <d v="2020-12-09T00:00:00"/>
    <s v="Complete"/>
    <m/>
  </r>
  <r>
    <s v="amacneiceft"/>
    <s v="miitbeian.gov.cn"/>
    <s v="Arnuad"/>
    <s v="MacNeice"/>
    <s v="Male"/>
    <s v="Male"/>
    <s v="120.19.30.179"/>
    <s v="223.232.138.188"/>
    <n v="570"/>
    <n v="570"/>
    <x v="0"/>
    <s v="MBUU"/>
    <x v="525"/>
    <x v="1"/>
    <s v="Marine Transportation"/>
    <s v="$444.68M"/>
    <n v="444680000"/>
    <n v="1004.84"/>
    <n v="0.22"/>
    <n v="129089197"/>
    <d v="2021-10-31T00:00:00"/>
    <s v="Complete"/>
    <m/>
  </r>
  <r>
    <s v="opalfreefu"/>
    <s v="altervista.org"/>
    <s v="Olag"/>
    <s v="Palfree"/>
    <s v="Agender"/>
    <s v="Other"/>
    <s v="11.16.182.229"/>
    <s v="108.147.179.208"/>
    <n v="571"/>
    <n v="571"/>
    <x v="0"/>
    <s v="ATRA"/>
    <x v="526"/>
    <x v="0"/>
    <s v="Biotechnology: Biological Products (No Diagnostic Substances)"/>
    <s v="$371.14M"/>
    <n v="371140000"/>
    <n v="1254.6400000000001"/>
    <n v="-17.579999999999998"/>
    <n v="138214657"/>
    <d v="2025-02-24T00:00:00"/>
    <s v="Complete"/>
    <m/>
  </r>
  <r>
    <s v="lovanesianfv"/>
    <s v="mapquest.com"/>
    <s v="Levey"/>
    <s v="Ovanesian"/>
    <s v="Male"/>
    <s v="Male"/>
    <s v="35.46.119.21"/>
    <s v="131.249.157.2"/>
    <n v="572"/>
    <n v="572"/>
    <x v="1"/>
    <s v="MDP"/>
    <x v="527"/>
    <x v="6"/>
    <s v="Newspapers/Magazines"/>
    <s v="$2.65B"/>
    <n v="2650000000"/>
    <n v="1861.86"/>
    <n v="4.34"/>
    <n v="48148697"/>
    <d v="2025-04-05T00:00:00"/>
    <s v="Complete"/>
    <m/>
  </r>
  <r>
    <s v="gogilbyfw"/>
    <s v="t.co"/>
    <s v="Gare"/>
    <s v="Ogilby"/>
    <s v="Male"/>
    <s v="Male"/>
    <s v="102.215.32.20"/>
    <s v="216.152.233.218"/>
    <n v="573"/>
    <n v="573"/>
    <x v="1"/>
    <s v="ATO"/>
    <x v="528"/>
    <x v="8"/>
    <s v="Oil/Gas Transmission"/>
    <s v="$9.01B"/>
    <n v="9010000000"/>
    <n v="353.75"/>
    <n v="3.45"/>
    <n v="53535227"/>
    <d v="2020-11-14T00:00:00"/>
    <s v="Complete"/>
    <m/>
  </r>
  <r>
    <s v="obarfffx"/>
    <s v="admin.ch"/>
    <s v="Orran"/>
    <s v="Barff"/>
    <s v="Male"/>
    <s v="Male"/>
    <s v="167.190.190.86"/>
    <s v="97.17.224.6"/>
    <n v="574"/>
    <n v="574"/>
    <x v="1"/>
    <s v="MSGN"/>
    <x v="529"/>
    <x v="6"/>
    <s v="Television Services"/>
    <s v="$1.66B"/>
    <n v="1660000000"/>
    <n v="1254.79"/>
    <n v="19.48"/>
    <n v="182982761"/>
    <d v="2022-04-21T00:00:00"/>
    <s v="Complete"/>
    <m/>
  </r>
  <r>
    <s v="rconnahfy"/>
    <s v="printfriendly.com"/>
    <s v="Rich"/>
    <s v="Connah"/>
    <s v="Male"/>
    <s v="Male"/>
    <s v="192.183.168.39"/>
    <s v="87.154.189.192"/>
    <n v="575"/>
    <n v="575"/>
    <x v="1"/>
    <s v="WSM"/>
    <x v="530"/>
    <x v="6"/>
    <s v="Home Furnishings"/>
    <s v="$4.16B"/>
    <n v="4160000000"/>
    <n v="1584.78"/>
    <n v="3.27"/>
    <n v="558076"/>
    <d v="2021-10-31T00:00:00"/>
    <s v="Complete"/>
    <m/>
  </r>
  <r>
    <s v="pmarranfz"/>
    <s v="yahoo.com"/>
    <s v="Priscilla"/>
    <s v="Marran"/>
    <s v="Female"/>
    <s v="Female"/>
    <s v="120.119.169.44"/>
    <s v="206.21.16.49"/>
    <n v="576"/>
    <n v="576"/>
    <x v="1"/>
    <s v="TPH"/>
    <x v="378"/>
    <x v="1"/>
    <s v="Homebuilding"/>
    <s v="$1.98B"/>
    <n v="1980000000"/>
    <n v="1685.83"/>
    <n v="-4.49"/>
    <n v="103078820"/>
    <d v="2020-03-27T00:00:00"/>
    <s v="Complete"/>
    <m/>
  </r>
  <r>
    <s v="afroweng0"/>
    <s v="facebook.com"/>
    <s v="Aymer"/>
    <s v="Frowen"/>
    <s v="Male"/>
    <s v="Male"/>
    <s v="102.220.104.245"/>
    <s v="85.22.90.228"/>
    <n v="577"/>
    <n v="577"/>
    <x v="0"/>
    <s v="STBA"/>
    <x v="531"/>
    <x v="3"/>
    <s v="Major Banks"/>
    <s v="$1.24B"/>
    <n v="1240000000"/>
    <n v="1322.86"/>
    <n v="7.84"/>
    <n v="48082471"/>
    <d v="2026-05-09T00:00:00"/>
    <s v="Complete"/>
    <m/>
  </r>
  <r>
    <s v="hniesingg1"/>
    <s v="state.gov"/>
    <s v="Harold"/>
    <s v="Niesing"/>
    <s v="Male"/>
    <s v="Male"/>
    <s v="82.29.222.7"/>
    <s v="229.182.195.124"/>
    <n v="578"/>
    <n v="578"/>
    <x v="1"/>
    <s v="FHY"/>
    <x v="532"/>
    <x v="2"/>
    <s v="N/A"/>
    <s v="$112.34M"/>
    <n v="112340000"/>
    <n v="1910.6"/>
    <n v="-4.0999999999999996"/>
    <n v="134562388"/>
    <d v="2021-10-27T00:00:00"/>
    <s v="Missing"/>
    <m/>
  </r>
  <r>
    <s v="btinseyg2"/>
    <s v="wsj.com"/>
    <s v="Bondie"/>
    <s v="Tinsey"/>
    <s v="Male"/>
    <s v="Male"/>
    <s v="186.112.40.9"/>
    <s v="139.202.71.231"/>
    <n v="579"/>
    <n v="579"/>
    <x v="1"/>
    <s v="PNC.WS"/>
    <x v="533"/>
    <x v="2"/>
    <s v="N/A"/>
    <s v="N/A"/>
    <n v="0"/>
    <n v="998.42"/>
    <n v="17.91"/>
    <n v="131667895"/>
    <d v="2025-05-25T00:00:00"/>
    <s v="Missing"/>
    <m/>
  </r>
  <r>
    <s v="mmuslimg3"/>
    <s v="imgur.com"/>
    <s v="Manon"/>
    <s v="Muslim"/>
    <s v="Female"/>
    <s v="Female"/>
    <s v="219.14.31.128"/>
    <s v="79.246.38.31"/>
    <n v="580"/>
    <n v="580"/>
    <x v="0"/>
    <s v="SRET"/>
    <x v="534"/>
    <x v="2"/>
    <s v="N/A"/>
    <s v="$3.09M"/>
    <n v="3090000"/>
    <n v="1246.21"/>
    <n v="15.8"/>
    <n v="16246588"/>
    <d v="2021-02-23T00:00:00"/>
    <s v="Missing"/>
    <m/>
  </r>
  <r>
    <s v="gwebbeng4"/>
    <s v="xinhuanet.com"/>
    <s v="Gordy"/>
    <s v="Webben"/>
    <s v="Male"/>
    <s v="Male"/>
    <s v="251.68.161.80"/>
    <s v="207.67.92.82"/>
    <n v="581"/>
    <n v="581"/>
    <x v="1"/>
    <s v="RFTA"/>
    <x v="275"/>
    <x v="6"/>
    <s v="Real Estate Investment Trusts"/>
    <s v="N/A"/>
    <n v="0"/>
    <n v="1611.2"/>
    <n v="-14.96"/>
    <n v="98523570"/>
    <d v="2026-07-30T00:00:00"/>
    <s v="Missing"/>
    <m/>
  </r>
  <r>
    <s v="oheishamg5"/>
    <s v="plala.or.jp"/>
    <s v="Olenolin"/>
    <s v="Heisham"/>
    <s v="Male"/>
    <s v="Male"/>
    <s v="45.184.165.90"/>
    <s v="219.63.60.37"/>
    <n v="582"/>
    <n v="582"/>
    <x v="0"/>
    <s v="TAST"/>
    <x v="535"/>
    <x v="6"/>
    <s v="Restaurants"/>
    <s v="$450.72M"/>
    <n v="450720000"/>
    <n v="410.15"/>
    <n v="16.850000000000001"/>
    <n v="6905288"/>
    <d v="2021-05-11T00:00:00"/>
    <s v="Complete"/>
    <m/>
  </r>
  <r>
    <s v="rbananeg6"/>
    <s v="si.edu"/>
    <s v="Roma"/>
    <s v="Banane"/>
    <s v="Male"/>
    <s v="Male"/>
    <s v="221.220.198.208"/>
    <s v="163.222.144.228"/>
    <n v="583"/>
    <n v="583"/>
    <x v="1"/>
    <s v="RSO^A"/>
    <x v="536"/>
    <x v="2"/>
    <s v="N/A"/>
    <s v="N/A"/>
    <n v="0"/>
    <n v="1990.85"/>
    <n v="-16.88"/>
    <n v="99591625"/>
    <d v="2026-11-10T00:00:00"/>
    <s v="Missing"/>
    <m/>
  </r>
  <r>
    <s v="tprobyg7"/>
    <s v="ucla.edu"/>
    <s v="Tally"/>
    <s v="Proby"/>
    <s v="Agender"/>
    <s v="Other"/>
    <s v="246.50.104.217"/>
    <s v="112.208.77.112"/>
    <n v="584"/>
    <n v="584"/>
    <x v="1"/>
    <s v="CDI"/>
    <x v="537"/>
    <x v="4"/>
    <s v="Professional Services"/>
    <s v="$108.41M"/>
    <n v="108410000"/>
    <n v="746.34"/>
    <n v="6.04"/>
    <n v="32030403"/>
    <d v="2022-05-31T00:00:00"/>
    <s v="Complete"/>
    <m/>
  </r>
  <r>
    <s v="akarusg8"/>
    <s v="tripod.com"/>
    <s v="Alane"/>
    <s v="Karus"/>
    <s v="Female"/>
    <s v="Female"/>
    <s v="159.51.44.117"/>
    <s v="72.223.92.69"/>
    <n v="585"/>
    <n v="585"/>
    <x v="1"/>
    <s v="TWTR"/>
    <x v="538"/>
    <x v="4"/>
    <s v="Computer Software: Programming, Data Processing"/>
    <s v="$12.18B"/>
    <n v="12180000000"/>
    <n v="278.04000000000002"/>
    <n v="10.47"/>
    <n v="168759131"/>
    <d v="2023-02-28T00:00:00"/>
    <s v="Complete"/>
    <m/>
  </r>
  <r>
    <s v="lwilcocksg9"/>
    <s v="google.ca"/>
    <s v="Lynnea"/>
    <s v="Wilcocks"/>
    <s v="Female"/>
    <s v="Female"/>
    <s v="109.217.52.17"/>
    <s v="10.12.59.130"/>
    <n v="586"/>
    <n v="586"/>
    <x v="1"/>
    <s v="CSTM"/>
    <x v="539"/>
    <x v="10"/>
    <s v="Metal Fabrications"/>
    <s v="$702.12M"/>
    <n v="702120000"/>
    <n v="710"/>
    <n v="13.91"/>
    <n v="72275514"/>
    <d v="2021-11-10T00:00:00"/>
    <s v="Complete"/>
    <m/>
  </r>
  <r>
    <s v="jdillistonga"/>
    <s v="goo.ne.jp"/>
    <s v="Jorey"/>
    <s v="Dilliston"/>
    <s v="Female"/>
    <s v="Female"/>
    <s v="51.49.103.227"/>
    <s v="247.205.253.113"/>
    <n v="587"/>
    <n v="587"/>
    <x v="0"/>
    <s v="VEAC"/>
    <x v="540"/>
    <x v="3"/>
    <s v="Business Services"/>
    <s v="$674.13M"/>
    <n v="674130000"/>
    <n v="612.66"/>
    <n v="-18.57"/>
    <n v="131530249"/>
    <d v="2021-11-02T00:00:00"/>
    <s v="Complete"/>
    <m/>
  </r>
  <r>
    <s v="cistedgb"/>
    <s v="webnode.com"/>
    <s v="Conrado"/>
    <s v="Isted"/>
    <s v="Polygender"/>
    <s v="Other"/>
    <s v="240.192.87.172"/>
    <s v="72.149.14.135"/>
    <n v="588"/>
    <n v="588"/>
    <x v="0"/>
    <s v="TBK"/>
    <x v="248"/>
    <x v="3"/>
    <s v="Major Banks"/>
    <s v="$428.18M"/>
    <n v="428180000"/>
    <n v="286.58"/>
    <n v="-3.18"/>
    <n v="83645491"/>
    <d v="2020-02-05T00:00:00"/>
    <s v="Complete"/>
    <m/>
  </r>
  <r>
    <s v="ghugillgc"/>
    <s v="telegraph.co.uk"/>
    <s v="Goddart"/>
    <s v="Hugill"/>
    <s v="Agender"/>
    <s v="Other"/>
    <s v="239.141.194.97"/>
    <s v="113.217.145.6"/>
    <n v="589"/>
    <n v="589"/>
    <x v="0"/>
    <s v="NXEOU"/>
    <x v="106"/>
    <x v="11"/>
    <s v="Specialty Chemicals"/>
    <s v="N/A"/>
    <n v="0"/>
    <n v="102.7"/>
    <n v="17.2"/>
    <n v="95031781"/>
    <d v="2022-08-14T00:00:00"/>
    <s v="Missing"/>
    <m/>
  </r>
  <r>
    <s v="twyeldgd"/>
    <s v="squarespace.com"/>
    <s v="Thelma"/>
    <s v="Wyeld"/>
    <s v="Female"/>
    <s v="Female"/>
    <s v="179.197.87.232"/>
    <s v="63.220.103.115"/>
    <n v="590"/>
    <n v="590"/>
    <x v="0"/>
    <s v="PLAY"/>
    <x v="541"/>
    <x v="6"/>
    <s v="Restaurants"/>
    <s v="$2.84B"/>
    <n v="2840000000"/>
    <n v="895.36"/>
    <n v="-3.06"/>
    <n v="94522891"/>
    <d v="2021-02-28T00:00:00"/>
    <s v="Complete"/>
    <m/>
  </r>
  <r>
    <s v="ldeeksge"/>
    <s v="odnoklassniki.ru"/>
    <s v="Lacey"/>
    <s v="Deeks"/>
    <s v="Female"/>
    <s v="Female"/>
    <s v="205.30.226.135"/>
    <s v="222.209.177.17"/>
    <n v="591"/>
    <n v="591"/>
    <x v="1"/>
    <s v="MHF"/>
    <x v="542"/>
    <x v="2"/>
    <s v="N/A"/>
    <s v="$160.52M"/>
    <n v="160520000"/>
    <n v="267.91000000000003"/>
    <n v="-19.55"/>
    <n v="153778216"/>
    <d v="2020-06-22T00:00:00"/>
    <s v="Missing"/>
    <m/>
  </r>
  <r>
    <s v="cduetschegf"/>
    <s v="gravatar.com"/>
    <s v="Charlotte"/>
    <s v="Duetsche"/>
    <s v="Female"/>
    <s v="Female"/>
    <s v="116.86.237.185"/>
    <s v="8.188.153.182"/>
    <n v="592"/>
    <n v="592"/>
    <x v="1"/>
    <s v="IBP"/>
    <x v="543"/>
    <x v="10"/>
    <s v="Homebuilding"/>
    <s v="$1.7B"/>
    <n v="1700000000"/>
    <n v="1055.1500000000001"/>
    <n v="-15.26"/>
    <n v="161715719"/>
    <d v="2021-09-30T00:00:00"/>
    <s v="Complete"/>
    <m/>
  </r>
  <r>
    <s v="jdunstallgg"/>
    <s v="unesco.org"/>
    <s v="Jenn"/>
    <s v="Dunstall"/>
    <s v="Female"/>
    <s v="Female"/>
    <s v="177.135.2.233"/>
    <s v="88.4.180.16"/>
    <n v="593"/>
    <n v="593"/>
    <x v="1"/>
    <s v="XRF"/>
    <x v="544"/>
    <x v="3"/>
    <s v="Finance: Consumer Services"/>
    <s v="$441.95M"/>
    <n v="441950000"/>
    <n v="155.66"/>
    <n v="6.68"/>
    <n v="168083367"/>
    <d v="2026-12-28T00:00:00"/>
    <s v="Complete"/>
    <m/>
  </r>
  <r>
    <s v="dswalwellgh"/>
    <s v="pagesperso-orange.fr"/>
    <s v="Delmer"/>
    <s v="Swalwell"/>
    <s v="Male"/>
    <s v="Male"/>
    <s v="15.85.224.89"/>
    <s v="37.253.49.236"/>
    <n v="594"/>
    <n v="594"/>
    <x v="0"/>
    <s v="SNHY"/>
    <x v="545"/>
    <x v="1"/>
    <s v="Metal Fabrications"/>
    <s v="$1.17B"/>
    <n v="1170000000"/>
    <n v="164.52"/>
    <n v="-6.02"/>
    <n v="94392242"/>
    <d v="2022-01-28T00:00:00"/>
    <s v="Complete"/>
    <m/>
  </r>
  <r>
    <s v="jpleasantsgi"/>
    <s v="de.vu"/>
    <s v="Jobey"/>
    <s v="Pleasants"/>
    <s v="Female"/>
    <s v="Female"/>
    <s v="243.143.106.24"/>
    <s v="87.109.247.182"/>
    <n v="595"/>
    <n v="595"/>
    <x v="1"/>
    <s v="DO"/>
    <x v="546"/>
    <x v="9"/>
    <s v="Oil &amp; Gas Production"/>
    <s v="$1.61B"/>
    <n v="1610000000"/>
    <n v="1235.3800000000001"/>
    <n v="17.63"/>
    <n v="48282641"/>
    <d v="2024-01-22T00:00:00"/>
    <s v="Complete"/>
    <m/>
  </r>
  <r>
    <s v="tniessgj"/>
    <s v="123-reg.co.uk"/>
    <s v="Tomlin"/>
    <s v="Niess"/>
    <s v="Male"/>
    <s v="Male"/>
    <s v="35.216.1.201"/>
    <s v="168.245.25.84"/>
    <n v="596"/>
    <n v="596"/>
    <x v="0"/>
    <s v="SCAC"/>
    <x v="80"/>
    <x v="3"/>
    <s v="Business Services"/>
    <s v="$315.63M"/>
    <n v="315630000"/>
    <n v="781.74"/>
    <n v="3.75"/>
    <n v="58637209"/>
    <d v="2020-06-12T00:00:00"/>
    <s v="Complete"/>
    <m/>
  </r>
  <r>
    <s v="foscroftgk"/>
    <s v="tuttocitta.it"/>
    <s v="Ferdinand"/>
    <s v="Oscroft"/>
    <s v="Male"/>
    <s v="Male"/>
    <s v="252.32.159.113"/>
    <s v="134.110.154.227"/>
    <n v="597"/>
    <n v="597"/>
    <x v="1"/>
    <s v="IGI"/>
    <x v="547"/>
    <x v="2"/>
    <s v="N/A"/>
    <s v="$225.71M"/>
    <n v="225710000"/>
    <n v="334.28"/>
    <n v="-16.64"/>
    <n v="53799256"/>
    <d v="2026-09-29T00:00:00"/>
    <s v="Missing"/>
    <m/>
  </r>
  <r>
    <s v="dtolchardegl"/>
    <s v="cbc.ca"/>
    <s v="Dehlia"/>
    <s v="Tolcharde"/>
    <s v="Genderqueer"/>
    <s v="Other"/>
    <s v="86.242.213.55"/>
    <s v="177.72.180.101"/>
    <n v="598"/>
    <n v="598"/>
    <x v="0"/>
    <s v="FCEF"/>
    <x v="548"/>
    <x v="2"/>
    <s v="N/A"/>
    <s v="$28.08M"/>
    <n v="28080000"/>
    <n v="655.37"/>
    <n v="-19.8"/>
    <n v="70448989"/>
    <d v="2024-10-04T00:00:00"/>
    <s v="Missing"/>
    <m/>
  </r>
  <r>
    <s v="sdyergm"/>
    <s v="jalbum.net"/>
    <s v="Sven"/>
    <s v="Dyer"/>
    <s v="Bigender"/>
    <s v="Other"/>
    <s v="159.84.174.172"/>
    <s v="224.194.231.140"/>
    <n v="599"/>
    <n v="599"/>
    <x v="1"/>
    <s v="NUM"/>
    <x v="549"/>
    <x v="2"/>
    <s v="N/A"/>
    <s v="$286.36M"/>
    <n v="286360000"/>
    <n v="995.97"/>
    <n v="-15.22"/>
    <n v="185072896"/>
    <d v="2025-10-09T00:00:00"/>
    <s v="Missing"/>
    <m/>
  </r>
  <r>
    <s v="jschohiergn"/>
    <s v="cnet.com"/>
    <s v="Jesse"/>
    <s v="Schohier"/>
    <s v="Agender"/>
    <s v="Other"/>
    <s v="213.241.160.168"/>
    <s v="200.36.22.174"/>
    <n v="600"/>
    <n v="600"/>
    <x v="0"/>
    <s v="KE"/>
    <x v="550"/>
    <x v="4"/>
    <s v="Electrical Products"/>
    <s v="$496.43M"/>
    <n v="496430000"/>
    <n v="1149.83"/>
    <n v="15.35"/>
    <n v="125316724"/>
    <d v="2022-03-19T00:00:00"/>
    <s v="Complete"/>
    <m/>
  </r>
  <r>
    <s v="rgemelligo"/>
    <s v="liveinternet.ru"/>
    <s v="Rhys"/>
    <s v="Gemelli"/>
    <s v="Male"/>
    <s v="Male"/>
    <s v="109.132.123.18"/>
    <s v="189.64.170.253"/>
    <n v="601"/>
    <n v="601"/>
    <x v="1"/>
    <s v="BGT"/>
    <x v="551"/>
    <x v="2"/>
    <s v="N/A"/>
    <s v="$334.83M"/>
    <n v="334830000"/>
    <n v="1002.62"/>
    <n v="-5.14"/>
    <n v="92462943"/>
    <d v="2020-05-20T00:00:00"/>
    <s v="Missing"/>
    <m/>
  </r>
  <r>
    <s v="gbunneygp"/>
    <s v="wp.com"/>
    <s v="Giuditta"/>
    <s v="Bunney"/>
    <s v="Non-binary"/>
    <s v="Other"/>
    <s v="233.13.193.250"/>
    <s v="34.113.142.216"/>
    <n v="602"/>
    <n v="602"/>
    <x v="0"/>
    <s v="FDT"/>
    <x v="552"/>
    <x v="2"/>
    <s v="N/A"/>
    <s v="$458.32M"/>
    <n v="458320000"/>
    <n v="891.62"/>
    <n v="0.04"/>
    <n v="173031615"/>
    <d v="2024-03-08T00:00:00"/>
    <s v="Missing"/>
    <m/>
  </r>
  <r>
    <s v="jbeiderbeckegq"/>
    <s v="shareasale.com"/>
    <s v="Joletta"/>
    <s v="Beiderbecke"/>
    <s v="Female"/>
    <s v="Female"/>
    <s v="17.31.81.61"/>
    <s v="131.199.13.117"/>
    <n v="603"/>
    <n v="603"/>
    <x v="1"/>
    <s v="GES"/>
    <x v="553"/>
    <x v="5"/>
    <s v="Apparel"/>
    <s v="$974.73M"/>
    <n v="974730000"/>
    <n v="1862.12"/>
    <n v="-7.81"/>
    <n v="173088034"/>
    <d v="2022-07-23T00:00:00"/>
    <s v="Complete"/>
    <m/>
  </r>
  <r>
    <s v="dmcghiegr"/>
    <s v="ucsd.edu"/>
    <s v="Danella"/>
    <s v="McGhie"/>
    <s v="Female"/>
    <s v="Female"/>
    <s v="95.54.127.159"/>
    <s v="205.80.240.114"/>
    <n v="604"/>
    <n v="604"/>
    <x v="1"/>
    <s v="CODI"/>
    <x v="554"/>
    <x v="11"/>
    <s v="Home Furnishings"/>
    <s v="$1.02B"/>
    <n v="1020000000"/>
    <n v="700.48"/>
    <n v="-3.62"/>
    <n v="90693718"/>
    <d v="2025-12-09T00:00:00"/>
    <s v="Complete"/>
    <m/>
  </r>
  <r>
    <s v="mguildgs"/>
    <s v="hatena.ne.jp"/>
    <s v="Menard"/>
    <s v="Guild"/>
    <s v="Male"/>
    <s v="Male"/>
    <s v="28.37.72.7"/>
    <s v="22.64.123.131"/>
    <n v="605"/>
    <n v="605"/>
    <x v="0"/>
    <s v="HTLF"/>
    <x v="555"/>
    <x v="3"/>
    <s v="Major Banks"/>
    <s v="$1.25B"/>
    <n v="1250000000"/>
    <n v="382.14"/>
    <n v="-0.59"/>
    <n v="135733768"/>
    <d v="2024-11-16T00:00:00"/>
    <s v="Complete"/>
    <m/>
  </r>
  <r>
    <s v="dshippardgt"/>
    <s v="macromedia.com"/>
    <s v="Dniren"/>
    <s v="Shippard"/>
    <s v="Female"/>
    <s v="Female"/>
    <s v="50.10.123.66"/>
    <s v="178.73.91.175"/>
    <n v="606"/>
    <n v="606"/>
    <x v="0"/>
    <s v="SRCLP"/>
    <x v="556"/>
    <x v="10"/>
    <s v="Environmental Services"/>
    <s v="N/A"/>
    <n v="0"/>
    <n v="1030.8699999999999"/>
    <n v="-10.7"/>
    <n v="21513420"/>
    <d v="2024-09-17T00:00:00"/>
    <s v="Missing"/>
    <m/>
  </r>
  <r>
    <s v="cladsongu"/>
    <s v="umn.edu"/>
    <s v="Claudia"/>
    <s v="Ladson"/>
    <s v="Female"/>
    <s v="Female"/>
    <s v="138.53.61.215"/>
    <s v="209.254.203.128"/>
    <n v="607"/>
    <n v="607"/>
    <x v="0"/>
    <s v="OFED"/>
    <x v="557"/>
    <x v="3"/>
    <s v="Savings Institutions"/>
    <s v="$161.77M"/>
    <n v="161770000"/>
    <n v="790.52"/>
    <n v="4.3600000000000003"/>
    <n v="98277015"/>
    <d v="2021-08-23T00:00:00"/>
    <s v="Complete"/>
    <m/>
  </r>
  <r>
    <s v="aswindallgv"/>
    <s v="51.la"/>
    <s v="Aurelia"/>
    <s v="Swindall"/>
    <s v="Female"/>
    <s v="Female"/>
    <s v="33.102.92.76"/>
    <s v="84.120.71.29"/>
    <n v="608"/>
    <n v="608"/>
    <x v="0"/>
    <s v="WNEB"/>
    <x v="558"/>
    <x v="3"/>
    <s v="Savings Institutions"/>
    <s v="$332.53M"/>
    <n v="332530000"/>
    <n v="555.52"/>
    <n v="1.58"/>
    <n v="199751386"/>
    <d v="2026-03-29T00:00:00"/>
    <s v="Complete"/>
    <m/>
  </r>
  <r>
    <s v="rratterygw"/>
    <s v="pen.io"/>
    <s v="Reuven"/>
    <s v="Rattery"/>
    <s v="Male"/>
    <s v="Male"/>
    <s v="107.20.197.154"/>
    <s v="193.14.15.99"/>
    <n v="609"/>
    <n v="609"/>
    <x v="1"/>
    <s v="PBT"/>
    <x v="338"/>
    <x v="9"/>
    <s v="Oil &amp; Gas Production"/>
    <s v="$426.47M"/>
    <n v="426470000"/>
    <n v="378.35"/>
    <n v="13"/>
    <n v="39176221"/>
    <d v="2022-12-24T00:00:00"/>
    <s v="Complete"/>
    <m/>
  </r>
  <r>
    <s v="jpettigrewgx"/>
    <s v="arizona.edu"/>
    <s v="Julio"/>
    <s v="Pettigrew"/>
    <s v="Male"/>
    <s v="Male"/>
    <s v="60.241.85.134"/>
    <s v="250.135.84.228"/>
    <n v="610"/>
    <n v="610"/>
    <x v="0"/>
    <s v="LSXMK"/>
    <x v="559"/>
    <x v="6"/>
    <s v="Broadcasting"/>
    <s v="$13.88B"/>
    <n v="13880000000"/>
    <n v="981.7"/>
    <n v="-15.26"/>
    <n v="58070519"/>
    <d v="2024-01-07T00:00:00"/>
    <s v="Complete"/>
    <m/>
  </r>
  <r>
    <s v="mlehucquetgy"/>
    <s v="va.gov"/>
    <s v="Marietta"/>
    <s v="Le Hucquet"/>
    <s v="Female"/>
    <s v="Female"/>
    <s v="185.68.241.51"/>
    <s v="226.68.91.210"/>
    <n v="611"/>
    <n v="611"/>
    <x v="0"/>
    <s v="BNSO"/>
    <x v="560"/>
    <x v="1"/>
    <s v="Industrial Machinery/Components"/>
    <s v="$12.63M"/>
    <n v="12630000"/>
    <n v="1942.49"/>
    <n v="-15.86"/>
    <n v="192114183"/>
    <d v="2025-03-07T00:00:00"/>
    <s v="Complete"/>
    <m/>
  </r>
  <r>
    <s v="ihearseygz"/>
    <s v="yellowbook.com"/>
    <s v="Ives"/>
    <s v="Hearsey"/>
    <s v="Genderqueer"/>
    <s v="Other"/>
    <s v="121.146.19.155"/>
    <s v="40.108.192.118"/>
    <n v="612"/>
    <n v="612"/>
    <x v="0"/>
    <s v="OSUR"/>
    <x v="561"/>
    <x v="0"/>
    <s v="Medical/Dental Instruments"/>
    <s v="$862.98M"/>
    <n v="862980000"/>
    <n v="1659.14"/>
    <n v="-6.25"/>
    <n v="185402244"/>
    <d v="2021-07-24T00:00:00"/>
    <s v="Complete"/>
    <m/>
  </r>
  <r>
    <s v="emackaileh0"/>
    <s v="pagesperso-orange.fr"/>
    <s v="Esra"/>
    <s v="MacKaile"/>
    <s v="Male"/>
    <s v="Male"/>
    <s v="212.12.202.146"/>
    <s v="58.65.55.164"/>
    <n v="613"/>
    <n v="613"/>
    <x v="1"/>
    <s v="SR"/>
    <x v="562"/>
    <x v="8"/>
    <s v="Oil/Gas Transmission"/>
    <s v="$3.49B"/>
    <n v="3490000000"/>
    <n v="1061.3"/>
    <n v="-8.14"/>
    <n v="63843562"/>
    <d v="2021-01-21T00:00:00"/>
    <s v="Complete"/>
    <m/>
  </r>
  <r>
    <s v="kvakhrushevh1"/>
    <s v="webeden.co.uk"/>
    <s v="Killie"/>
    <s v="Vakhrushev"/>
    <s v="Male"/>
    <s v="Male"/>
    <s v="221.31.147.22"/>
    <s v="203.174.49.157"/>
    <n v="614"/>
    <n v="614"/>
    <x v="1"/>
    <s v="VEDL"/>
    <x v="563"/>
    <x v="1"/>
    <s v="Metal Fabrications"/>
    <s v="$10.79B"/>
    <n v="10790000000"/>
    <n v="386.32"/>
    <n v="5.97"/>
    <n v="175257884"/>
    <d v="2025-11-15T00:00:00"/>
    <s v="Complete"/>
    <m/>
  </r>
  <r>
    <s v="seakleh2"/>
    <s v="archive.org"/>
    <s v="Shelba"/>
    <s v="Eakle"/>
    <s v="Female"/>
    <s v="Female"/>
    <s v="186.117.113.191"/>
    <s v="40.225.37.154"/>
    <n v="615"/>
    <n v="615"/>
    <x v="0"/>
    <s v="FRED"/>
    <x v="564"/>
    <x v="6"/>
    <s v="Department/Specialty Retail Stores"/>
    <s v="$408.67M"/>
    <n v="408670000"/>
    <n v="1400.25"/>
    <n v="10.7"/>
    <n v="171123761"/>
    <d v="2025-10-24T00:00:00"/>
    <s v="Complete"/>
    <m/>
  </r>
  <r>
    <s v="sclynmansh3"/>
    <s v="google.de"/>
    <s v="Sunny"/>
    <s v="Clynmans"/>
    <s v="Male"/>
    <s v="Male"/>
    <s v="239.16.115.178"/>
    <s v="21.169.65.149"/>
    <n v="616"/>
    <n v="616"/>
    <x v="1"/>
    <s v="EMR"/>
    <x v="565"/>
    <x v="9"/>
    <s v="Consumer Electronics/Appliances"/>
    <s v="$39.11B"/>
    <n v="39110000000"/>
    <n v="1000.93"/>
    <n v="11.03"/>
    <n v="17800825"/>
    <d v="2022-06-25T00:00:00"/>
    <s v="Complete"/>
    <m/>
  </r>
  <r>
    <s v="rpollackh4"/>
    <s v="npr.org"/>
    <s v="Rachel"/>
    <s v="Pollack"/>
    <s v="Female"/>
    <s v="Female"/>
    <s v="127.31.159.125"/>
    <s v="18.146.175.43"/>
    <n v="617"/>
    <n v="617"/>
    <x v="1"/>
    <s v="BHLB"/>
    <x v="566"/>
    <x v="3"/>
    <s v="Banks"/>
    <s v="$1.5B"/>
    <n v="1500000000"/>
    <n v="108.2"/>
    <n v="5.39"/>
    <n v="66202568"/>
    <d v="2021-11-15T00:00:00"/>
    <s v="Complete"/>
    <m/>
  </r>
  <r>
    <s v="ctwisth5"/>
    <s v="reuters.com"/>
    <s v="Cash"/>
    <s v="Twist"/>
    <s v="Agender"/>
    <s v="Other"/>
    <s v="110.223.246.251"/>
    <s v="54.237.179.242"/>
    <n v="618"/>
    <n v="618"/>
    <x v="0"/>
    <s v="INVA"/>
    <x v="567"/>
    <x v="0"/>
    <s v="Major Pharmaceuticals"/>
    <s v="$1.31B"/>
    <n v="1310000000"/>
    <n v="1175.31"/>
    <n v="-16.87"/>
    <n v="152316759"/>
    <d v="2026-12-15T00:00:00"/>
    <s v="Complete"/>
    <m/>
  </r>
  <r>
    <s v="adreweryh6"/>
    <s v="stanford.edu"/>
    <s v="Ardene"/>
    <s v="Drewery"/>
    <s v="Female"/>
    <s v="Female"/>
    <s v="135.80.2.115"/>
    <s v="184.255.174.96"/>
    <n v="619"/>
    <n v="619"/>
    <x v="1"/>
    <s v="MIY"/>
    <x v="568"/>
    <x v="2"/>
    <s v="N/A"/>
    <s v="$415.87M"/>
    <n v="415870000"/>
    <n v="467.48"/>
    <n v="8.9600000000000009"/>
    <n v="168245510"/>
    <d v="2021-03-16T00:00:00"/>
    <s v="Missing"/>
    <m/>
  </r>
  <r>
    <s v="llongboneh7"/>
    <s v="hubpages.com"/>
    <s v="Lindsay"/>
    <s v="Longbone"/>
    <s v="Agender"/>
    <s v="Other"/>
    <s v="242.107.20.42"/>
    <s v="185.168.179.224"/>
    <n v="620"/>
    <n v="620"/>
    <x v="0"/>
    <s v="GFNSL"/>
    <x v="100"/>
    <x v="4"/>
    <s v="Diversified Commercial Services"/>
    <s v="N/A"/>
    <n v="0"/>
    <n v="863.47"/>
    <n v="-3.59"/>
    <n v="187156222"/>
    <d v="2022-12-12T00:00:00"/>
    <s v="Missing"/>
    <m/>
  </r>
  <r>
    <s v="ccoenh8"/>
    <s v="cmu.edu"/>
    <s v="Carleton"/>
    <s v="Coen"/>
    <s v="Male"/>
    <s v="Male"/>
    <s v="171.152.9.101"/>
    <s v="248.40.64.106"/>
    <n v="621"/>
    <n v="621"/>
    <x v="0"/>
    <s v="VIDI"/>
    <x v="569"/>
    <x v="2"/>
    <s v="N/A"/>
    <s v="N/A"/>
    <n v="0"/>
    <n v="1600.84"/>
    <n v="9.89"/>
    <n v="179059269"/>
    <d v="2026-03-15T00:00:00"/>
    <s v="Missing"/>
    <m/>
  </r>
  <r>
    <s v="kgingerh9"/>
    <s v="mayoclinic.com"/>
    <s v="Karly"/>
    <s v="Ginger"/>
    <s v="Female"/>
    <s v="Female"/>
    <s v="178.190.30.22"/>
    <s v="112.37.36.11"/>
    <n v="622"/>
    <n v="622"/>
    <x v="1"/>
    <s v="PHM"/>
    <x v="570"/>
    <x v="1"/>
    <s v="Homebuilding"/>
    <s v="$7.58B"/>
    <n v="7580000000"/>
    <n v="1066.8900000000001"/>
    <n v="6.8"/>
    <n v="92915569"/>
    <d v="2024-07-01T00:00:00"/>
    <s v="Complete"/>
    <m/>
  </r>
  <r>
    <s v="ipartrickha"/>
    <s v="pen.io"/>
    <s v="Iggy"/>
    <s v="Partrick"/>
    <s v="Male"/>
    <s v="Male"/>
    <s v="27.41.177.167"/>
    <s v="212.100.52.212"/>
    <n v="623"/>
    <n v="623"/>
    <x v="1"/>
    <s v="BHK"/>
    <x v="571"/>
    <x v="2"/>
    <s v="N/A"/>
    <s v="$741.61M"/>
    <n v="741610000"/>
    <n v="1210.33"/>
    <n v="8.3699999999999992"/>
    <n v="12719776"/>
    <d v="2020-08-01T00:00:00"/>
    <s v="Missing"/>
    <m/>
  </r>
  <r>
    <s v="mwesleyhb"/>
    <s v="furl.net"/>
    <s v="Monah"/>
    <s v="Wesley"/>
    <s v="Agender"/>
    <s v="Other"/>
    <s v="250.5.197.16"/>
    <s v="191.6.234.160"/>
    <n v="624"/>
    <n v="624"/>
    <x v="1"/>
    <s v="ENV"/>
    <x v="572"/>
    <x v="7"/>
    <s v="Business Services"/>
    <s v="$1.67B"/>
    <n v="1670000000"/>
    <n v="332.73"/>
    <n v="-2.37"/>
    <n v="189315680"/>
    <d v="2021-09-18T00:00:00"/>
    <s v="Complete"/>
    <m/>
  </r>
  <r>
    <s v="lmccurthc"/>
    <s v="skype.com"/>
    <s v="Ludovico"/>
    <s v="McCurt"/>
    <s v="Male"/>
    <s v="Male"/>
    <s v="131.63.92.70"/>
    <s v="102.247.148.186"/>
    <n v="625"/>
    <n v="625"/>
    <x v="0"/>
    <s v="SAFM"/>
    <x v="573"/>
    <x v="5"/>
    <s v="Meat/Poultry/Fish"/>
    <s v="$2.88B"/>
    <n v="2880000000"/>
    <n v="852.66"/>
    <n v="17.600000000000001"/>
    <n v="107564543"/>
    <d v="2023-03-20T00:00:00"/>
    <s v="Complete"/>
    <m/>
  </r>
  <r>
    <s v="ahalwoodhd"/>
    <s v="census.gov"/>
    <s v="Alyson"/>
    <s v="Halwood"/>
    <s v="Female"/>
    <s v="Female"/>
    <s v="225.202.185.11"/>
    <s v="68.155.201.71"/>
    <n v="626"/>
    <n v="626"/>
    <x v="0"/>
    <s v="PETS"/>
    <x v="574"/>
    <x v="0"/>
    <s v="Medical/Nursing Services"/>
    <s v="$785.51M"/>
    <n v="785510000"/>
    <n v="1370.91"/>
    <n v="0.42"/>
    <n v="177166301"/>
    <d v="2024-06-29T00:00:00"/>
    <s v="Complete"/>
    <m/>
  </r>
  <r>
    <s v="cgowdyhe"/>
    <s v="cyberchimps.com"/>
    <s v="Camel"/>
    <s v="Gowdy"/>
    <s v="Female"/>
    <s v="Female"/>
    <s v="60.161.167.237"/>
    <s v="248.47.112.83"/>
    <n v="627"/>
    <n v="627"/>
    <x v="0"/>
    <s v="APLP"/>
    <x v="575"/>
    <x v="8"/>
    <s v="Natural Gas Distribution"/>
    <s v="$930.51M"/>
    <n v="930510000"/>
    <n v="1022.14"/>
    <n v="14.38"/>
    <n v="75377254"/>
    <d v="2023-08-20T00:00:00"/>
    <s v="Complete"/>
    <m/>
  </r>
  <r>
    <s v="ejannaschhf"/>
    <s v="lulu.com"/>
    <s v="Ewell"/>
    <s v="Jannasch"/>
    <s v="Male"/>
    <s v="Male"/>
    <s v="38.77.109.201"/>
    <s v="29.121.231.191"/>
    <n v="628"/>
    <n v="628"/>
    <x v="0"/>
    <s v="ESSA"/>
    <x v="576"/>
    <x v="3"/>
    <s v="Banks"/>
    <s v="$175.65M"/>
    <n v="175650000"/>
    <n v="1083.3"/>
    <n v="-4.16"/>
    <n v="16552327"/>
    <d v="2020-04-26T00:00:00"/>
    <s v="Complete"/>
    <m/>
  </r>
  <r>
    <s v="bburdounhg"/>
    <s v="samsung.com"/>
    <s v="Bobina"/>
    <s v="Burdoun"/>
    <s v="Female"/>
    <s v="Female"/>
    <s v="123.167.125.28"/>
    <s v="8.233.241.216"/>
    <n v="629"/>
    <n v="629"/>
    <x v="1"/>
    <s v="AGRO"/>
    <x v="577"/>
    <x v="5"/>
    <s v="Farming/Seeds/Milling"/>
    <s v="$1.21B"/>
    <n v="1210000000"/>
    <n v="1756.26"/>
    <n v="6.52"/>
    <n v="91360688"/>
    <d v="2021-06-09T00:00:00"/>
    <s v="Complete"/>
    <m/>
  </r>
  <r>
    <s v="amunthh"/>
    <s v="cisco.com"/>
    <s v="Alexandrina"/>
    <s v="Munt"/>
    <s v="Female"/>
    <s v="Female"/>
    <s v="131.221.136.34"/>
    <s v="215.226.68.175"/>
    <n v="630"/>
    <n v="630"/>
    <x v="1"/>
    <s v="WTI"/>
    <x v="578"/>
    <x v="9"/>
    <s v="Oil &amp; Gas Production"/>
    <s v="$284.99M"/>
    <n v="284990000"/>
    <n v="492.23"/>
    <n v="9.98"/>
    <n v="173574904"/>
    <d v="2022-05-23T00:00:00"/>
    <s v="Complete"/>
    <m/>
  </r>
  <r>
    <s v="gladewighi"/>
    <s v="scribd.com"/>
    <s v="Gregorius"/>
    <s v="Ladewig"/>
    <s v="Male"/>
    <s v="Male"/>
    <s v="4.193.204.182"/>
    <s v="66.48.184.245"/>
    <n v="631"/>
    <n v="631"/>
    <x v="0"/>
    <s v="PRTK"/>
    <x v="579"/>
    <x v="0"/>
    <s v="Major Pharmaceuticals"/>
    <s v="$618.42M"/>
    <n v="618420000"/>
    <n v="1281.8800000000001"/>
    <n v="-2.5"/>
    <n v="189720544"/>
    <d v="2022-06-22T00:00:00"/>
    <s v="Complete"/>
    <m/>
  </r>
  <r>
    <s v="fstennerhj"/>
    <s v="nationalgeographic.com"/>
    <s v="Flem"/>
    <s v="Stenner"/>
    <s v="Male"/>
    <s v="Male"/>
    <s v="26.16.61.32"/>
    <s v="206.224.35.171"/>
    <n v="632"/>
    <n v="632"/>
    <x v="1"/>
    <s v="CUBI^E"/>
    <x v="580"/>
    <x v="2"/>
    <s v="N/A"/>
    <s v="N/A"/>
    <n v="0"/>
    <n v="1366.03"/>
    <n v="14.07"/>
    <n v="66462878"/>
    <d v="2021-06-21T00:00:00"/>
    <s v="Missing"/>
    <m/>
  </r>
  <r>
    <s v="eketchellhk"/>
    <s v="nhs.uk"/>
    <s v="Ennis"/>
    <s v="Ketchell"/>
    <s v="Male"/>
    <s v="Male"/>
    <s v="26.75.132.251"/>
    <s v="81.135.102.227"/>
    <n v="633"/>
    <n v="633"/>
    <x v="1"/>
    <s v="MORE          "/>
    <x v="581"/>
    <x v="6"/>
    <s v="Real Estate Investment Trusts"/>
    <s v="$1.68B"/>
    <n v="1680000000"/>
    <n v="1852.52"/>
    <n v="5.94"/>
    <n v="26695013"/>
    <d v="2025-12-18T00:00:00"/>
    <s v="Complete"/>
    <m/>
  </r>
  <r>
    <s v="fcorsorhl"/>
    <s v="businesswire.com"/>
    <s v="Fallon"/>
    <s v="Corsor"/>
    <s v="Female"/>
    <s v="Female"/>
    <s v="232.20.103.196"/>
    <s v="245.246.125.102"/>
    <n v="634"/>
    <n v="634"/>
    <x v="1"/>
    <s v="EFX"/>
    <x v="582"/>
    <x v="3"/>
    <s v="Finance: Consumer Services"/>
    <s v="$17.14B"/>
    <n v="17140000000"/>
    <n v="1788.83"/>
    <n v="-9.83"/>
    <n v="131453114"/>
    <d v="2020-04-06T00:00:00"/>
    <s v="Complete"/>
    <m/>
  </r>
  <r>
    <s v="ksturleyhm"/>
    <s v="nationalgeographic.com"/>
    <s v="Karyl"/>
    <s v="Sturley"/>
    <s v="Genderfluid"/>
    <s v="Other"/>
    <s v="15.152.177.98"/>
    <s v="6.190.77.112"/>
    <n v="635"/>
    <n v="635"/>
    <x v="0"/>
    <s v="SANM"/>
    <x v="309"/>
    <x v="4"/>
    <s v="Electrical Products"/>
    <s v="$2.83B"/>
    <n v="2830000000"/>
    <n v="297.70999999999998"/>
    <n v="-17.850000000000001"/>
    <n v="129705561"/>
    <d v="2024-05-23T00:00:00"/>
    <s v="Complete"/>
    <m/>
  </r>
  <r>
    <s v="bskeemorhn"/>
    <s v="cnet.com"/>
    <s v="Barthel"/>
    <s v="Skeemor"/>
    <s v="Male"/>
    <s v="Male"/>
    <s v="151.227.52.238"/>
    <s v="92.243.126.142"/>
    <n v="636"/>
    <n v="636"/>
    <x v="0"/>
    <s v="FANH"/>
    <x v="583"/>
    <x v="3"/>
    <s v="Specialty Insurers"/>
    <s v="$554.47M"/>
    <n v="554470000"/>
    <n v="304.22000000000003"/>
    <n v="-11.23"/>
    <n v="77942380"/>
    <d v="2024-02-10T00:00:00"/>
    <s v="Complete"/>
    <m/>
  </r>
  <r>
    <s v="kaksellho"/>
    <s v="ifeng.com"/>
    <s v="Kristine"/>
    <s v="Aksell"/>
    <s v="Female"/>
    <s v="Female"/>
    <s v="26.73.17.8"/>
    <s v="92.238.75.120"/>
    <n v="637"/>
    <n v="637"/>
    <x v="1"/>
    <s v="BAK"/>
    <x v="209"/>
    <x v="10"/>
    <s v="Major Chemicals"/>
    <s v="$7.97B"/>
    <n v="7970000000"/>
    <n v="528.46"/>
    <n v="8.49"/>
    <n v="103549101"/>
    <d v="2025-09-23T00:00:00"/>
    <s v="Complete"/>
    <m/>
  </r>
  <r>
    <s v="mbabberhp"/>
    <s v="statcounter.com"/>
    <s v="Madel"/>
    <s v="Babber"/>
    <s v="Female"/>
    <s v="Female"/>
    <s v="238.227.12.14"/>
    <s v="159.46.149.72"/>
    <n v="638"/>
    <n v="638"/>
    <x v="1"/>
    <s v="STT^E"/>
    <x v="584"/>
    <x v="2"/>
    <s v="N/A"/>
    <s v="N/A"/>
    <n v="0"/>
    <n v="1652.79"/>
    <n v="4.4400000000000004"/>
    <n v="56886295"/>
    <d v="2022-12-29T00:00:00"/>
    <s v="Missing"/>
    <m/>
  </r>
  <r>
    <s v="ppetyaninhq"/>
    <s v="t-online.de"/>
    <s v="Pam"/>
    <s v="Petyanin"/>
    <s v="Female"/>
    <s v="Female"/>
    <s v="161.93.88.65"/>
    <s v="108.137.120.203"/>
    <n v="639"/>
    <n v="639"/>
    <x v="0"/>
    <s v="KTEC"/>
    <x v="585"/>
    <x v="4"/>
    <s v="Industrial Machinery/Components"/>
    <s v="$87.57M"/>
    <n v="87570000"/>
    <n v="1132.78"/>
    <n v="2.92"/>
    <n v="114383978"/>
    <d v="2021-04-23T00:00:00"/>
    <s v="Complete"/>
    <m/>
  </r>
  <r>
    <s v="fmcgairlhr"/>
    <s v="hud.gov"/>
    <s v="Florencia"/>
    <s v="McGairl"/>
    <s v="Female"/>
    <s v="Female"/>
    <s v="31.131.164.207"/>
    <s v="40.159.69.212"/>
    <n v="640"/>
    <n v="640"/>
    <x v="1"/>
    <s v="LTM"/>
    <x v="586"/>
    <x v="12"/>
    <s v="Air Freight/Delivery Services"/>
    <s v="$6.79B"/>
    <n v="6790000000"/>
    <n v="1965.43"/>
    <n v="0.11"/>
    <n v="181736196"/>
    <d v="2022-04-09T00:00:00"/>
    <s v="Complete"/>
    <m/>
  </r>
  <r>
    <s v="jattrillhs"/>
    <s v="addtoany.com"/>
    <s v="Jaquith"/>
    <s v="Attrill"/>
    <s v="Female"/>
    <s v="Female"/>
    <s v="169.36.127.254"/>
    <s v="185.136.176.225"/>
    <n v="641"/>
    <n v="641"/>
    <x v="1"/>
    <s v="JBN"/>
    <x v="587"/>
    <x v="3"/>
    <s v="Finance: Consumer Services"/>
    <s v="N/A"/>
    <n v="0"/>
    <n v="478.44"/>
    <n v="7.76"/>
    <n v="97651342"/>
    <d v="2025-11-26T00:00:00"/>
    <s v="Missing"/>
    <m/>
  </r>
  <r>
    <s v="hbroxholmeht"/>
    <s v="barnesandnoble.com"/>
    <s v="Heloise"/>
    <s v="Broxholme"/>
    <s v="Female"/>
    <s v="Female"/>
    <s v="250.40.135.5"/>
    <s v="141.106.163.46"/>
    <n v="642"/>
    <n v="642"/>
    <x v="1"/>
    <s v="CXH"/>
    <x v="588"/>
    <x v="2"/>
    <s v="N/A"/>
    <s v="$116.91M"/>
    <n v="116910000"/>
    <n v="1080.8"/>
    <n v="15.41"/>
    <n v="45347858"/>
    <d v="2021-02-12T00:00:00"/>
    <s v="Missing"/>
    <m/>
  </r>
  <r>
    <s v="tharberthu"/>
    <s v="nifty.com"/>
    <s v="Trudey"/>
    <s v="Harbert"/>
    <s v="Female"/>
    <s v="Female"/>
    <s v="159.25.243.106"/>
    <s v="7.161.33.232"/>
    <n v="643"/>
    <n v="643"/>
    <x v="0"/>
    <s v="OLLI"/>
    <x v="589"/>
    <x v="6"/>
    <s v="Department/Specialty Retail Stores"/>
    <s v="$2.5B"/>
    <n v="2500000000"/>
    <n v="1271.45"/>
    <n v="-10.15"/>
    <n v="35958762"/>
    <d v="2020-01-16T00:00:00"/>
    <s v="Complete"/>
    <m/>
  </r>
  <r>
    <s v="gkornhv"/>
    <s v="gnu.org"/>
    <s v="Gayle"/>
    <s v="Korn"/>
    <s v="Male"/>
    <s v="Male"/>
    <s v="195.113.142.206"/>
    <s v="196.128.60.235"/>
    <n v="644"/>
    <n v="644"/>
    <x v="1"/>
    <s v="NEE^I"/>
    <x v="590"/>
    <x v="2"/>
    <s v="N/A"/>
    <s v="N/A"/>
    <n v="0"/>
    <n v="663"/>
    <n v="-8.08"/>
    <n v="137287443"/>
    <d v="2021-12-16T00:00:00"/>
    <s v="Missing"/>
    <m/>
  </r>
  <r>
    <s v="wembertonhw"/>
    <s v="photobucket.com"/>
    <s v="Warren"/>
    <s v="Emberton"/>
    <s v="Male"/>
    <s v="Male"/>
    <s v="118.127.86.99"/>
    <s v="239.121.116.107"/>
    <n v="645"/>
    <n v="645"/>
    <x v="0"/>
    <s v="PAHC"/>
    <x v="591"/>
    <x v="0"/>
    <s v="Major Pharmaceuticals"/>
    <s v="$1.43B"/>
    <n v="1430000000"/>
    <n v="1307.98"/>
    <n v="17.55"/>
    <n v="119989709"/>
    <d v="2024-06-18T00:00:00"/>
    <s v="Complete"/>
    <m/>
  </r>
  <r>
    <s v="wreaphx"/>
    <s v="icio.us"/>
    <s v="Waylin"/>
    <s v="Reap"/>
    <s v="Male"/>
    <s v="Male"/>
    <s v="153.121.213.17"/>
    <s v="59.228.51.114"/>
    <n v="646"/>
    <n v="646"/>
    <x v="0"/>
    <s v="LULU"/>
    <x v="592"/>
    <x v="5"/>
    <s v="Apparel"/>
    <s v="$7.24B"/>
    <n v="7240000000"/>
    <n v="1240.3900000000001"/>
    <n v="-1.29"/>
    <n v="147790161"/>
    <d v="2022-02-15T00:00:00"/>
    <s v="Complete"/>
    <m/>
  </r>
  <r>
    <s v="wbossonhy"/>
    <s v="thetimes.co.uk"/>
    <s v="Weber"/>
    <s v="Bosson"/>
    <s v="Genderfluid"/>
    <s v="Other"/>
    <s v="33.242.80.114"/>
    <s v="21.82.248.71"/>
    <n v="647"/>
    <n v="647"/>
    <x v="1"/>
    <s v="STAG^B"/>
    <x v="593"/>
    <x v="2"/>
    <s v="N/A"/>
    <s v="N/A"/>
    <n v="0"/>
    <n v="1043.5999999999999"/>
    <n v="-9.15"/>
    <n v="28088671"/>
    <d v="2025-08-05T00:00:00"/>
    <s v="Missing"/>
    <m/>
  </r>
  <r>
    <s v="dcranfieldhz"/>
    <s v="wordpress.org"/>
    <s v="Debee"/>
    <s v="Cranfield"/>
    <s v="Female"/>
    <s v="Female"/>
    <s v="201.151.176.65"/>
    <s v="25.15.51.78"/>
    <n v="648"/>
    <n v="648"/>
    <x v="1"/>
    <s v="ZBK"/>
    <x v="594"/>
    <x v="3"/>
    <s v="Major Banks"/>
    <s v="N/A"/>
    <n v="0"/>
    <n v="663.29"/>
    <n v="-8.6199999999999992"/>
    <n v="89996811"/>
    <d v="2021-07-20T00:00:00"/>
    <s v="Missing"/>
    <m/>
  </r>
  <r>
    <s v="dshuttlewoodi0"/>
    <s v="indiatimes.com"/>
    <s v="Donavon"/>
    <s v="Shuttlewood"/>
    <s v="Male"/>
    <s v="Male"/>
    <s v="147.181.98.181"/>
    <s v="94.112.231.89"/>
    <n v="649"/>
    <n v="649"/>
    <x v="0"/>
    <s v="MKTX"/>
    <x v="595"/>
    <x v="3"/>
    <s v="Investment Bankers/Brokers/Service"/>
    <s v="$7.72B"/>
    <n v="7720000000"/>
    <n v="1051.49"/>
    <n v="4.2"/>
    <n v="163261129"/>
    <d v="2025-10-10T00:00:00"/>
    <s v="Complete"/>
    <m/>
  </r>
  <r>
    <s v="cduthiei1"/>
    <s v="privacy.gov.au"/>
    <s v="Chandra"/>
    <s v="Duthie"/>
    <s v="Female"/>
    <s v="Female"/>
    <s v="159.103.122.16"/>
    <s v="94.29.197.191"/>
    <n v="650"/>
    <n v="650"/>
    <x v="1"/>
    <s v="DCM"/>
    <x v="596"/>
    <x v="4"/>
    <s v="Radio And Television Broadcasting And Communications Equipment"/>
    <s v="$96.67B"/>
    <n v="96670000000"/>
    <n v="1516.97"/>
    <n v="19"/>
    <n v="139362323"/>
    <d v="2024-04-18T00:00:00"/>
    <s v="Complete"/>
    <m/>
  </r>
  <r>
    <s v="nstranierii2"/>
    <s v="exblog.jp"/>
    <s v="Niki"/>
    <s v="Stranieri"/>
    <s v="Male"/>
    <s v="Male"/>
    <s v="193.213.237.226"/>
    <s v="21.202.200.107"/>
    <n v="651"/>
    <n v="651"/>
    <x v="0"/>
    <s v="CBSHP"/>
    <x v="370"/>
    <x v="3"/>
    <s v="Major Banks"/>
    <s v="$2.4B"/>
    <n v="2400000000"/>
    <n v="656.54"/>
    <n v="10.66"/>
    <n v="112774943"/>
    <d v="2022-05-17T00:00:00"/>
    <s v="Complete"/>
    <m/>
  </r>
  <r>
    <s v="rdorsayi3"/>
    <s v="shinystat.com"/>
    <s v="Robinet"/>
    <s v="D'Orsay"/>
    <s v="Female"/>
    <s v="Female"/>
    <s v="92.221.163.154"/>
    <s v="252.215.133.97"/>
    <n v="652"/>
    <n v="652"/>
    <x v="0"/>
    <s v="TRVG"/>
    <x v="597"/>
    <x v="2"/>
    <s v="N/A"/>
    <s v="$4.38B"/>
    <n v="4380000000"/>
    <n v="1285.26"/>
    <n v="-3.2"/>
    <n v="163053189"/>
    <d v="2026-10-22T00:00:00"/>
    <s v="Missing"/>
    <m/>
  </r>
  <r>
    <s v="gbatkini4"/>
    <s v="hexun.com"/>
    <s v="Guthrie"/>
    <s v="Batkin"/>
    <s v="Male"/>
    <s v="Male"/>
    <s v="247.173.171.77"/>
    <s v="237.159.233.171"/>
    <n v="653"/>
    <n v="653"/>
    <x v="1"/>
    <s v="ADSW"/>
    <x v="598"/>
    <x v="8"/>
    <s v="Environmental Services"/>
    <s v="$2.1B"/>
    <n v="2100000000"/>
    <n v="665.54"/>
    <n v="-13.29"/>
    <n v="66576901"/>
    <d v="2026-04-05T00:00:00"/>
    <s v="Complete"/>
    <m/>
  </r>
  <r>
    <s v="vhutsbyi5"/>
    <s v="answers.com"/>
    <s v="Vivien"/>
    <s v="Hutsby"/>
    <s v="Female"/>
    <s v="Female"/>
    <s v="77.90.143.250"/>
    <s v="126.23.17.184"/>
    <n v="654"/>
    <n v="654"/>
    <x v="1"/>
    <s v="NAZ"/>
    <x v="599"/>
    <x v="2"/>
    <s v="N/A"/>
    <s v="$167.96M"/>
    <n v="167960000"/>
    <n v="1660.19"/>
    <n v="-2.6"/>
    <n v="125946407"/>
    <d v="2024-07-02T00:00:00"/>
    <s v="Missing"/>
    <m/>
  </r>
  <r>
    <s v="bdecenti6"/>
    <s v="live.com"/>
    <s v="Bo"/>
    <s v="Decent"/>
    <s v="Agender"/>
    <s v="Other"/>
    <s v="234.249.43.85"/>
    <s v="199.25.93.115"/>
    <n v="655"/>
    <n v="655"/>
    <x v="1"/>
    <s v="ACM"/>
    <x v="600"/>
    <x v="6"/>
    <s v="Military/Government/Technical"/>
    <s v="$5.08B"/>
    <n v="5080000000"/>
    <n v="349.82"/>
    <n v="-17.79"/>
    <n v="124204008"/>
    <d v="2022-12-16T00:00:00"/>
    <s v="Complete"/>
    <m/>
  </r>
  <r>
    <s v="mloffilli7"/>
    <s v="economist.com"/>
    <s v="Merrill"/>
    <s v="Loffill"/>
    <s v="Female"/>
    <s v="Female"/>
    <s v="166.206.241.191"/>
    <s v="156.99.107.152"/>
    <n v="656"/>
    <n v="656"/>
    <x v="0"/>
    <s v="SSKN"/>
    <x v="601"/>
    <x v="0"/>
    <s v="Medical/Dental Instruments"/>
    <s v="$6.36M"/>
    <n v="6360000"/>
    <n v="382.47"/>
    <n v="18.66"/>
    <n v="177958701"/>
    <d v="2025-07-15T00:00:00"/>
    <s v="Complete"/>
    <m/>
  </r>
  <r>
    <s v="tguiraui8"/>
    <s v="ox.ac.uk"/>
    <s v="Tresa"/>
    <s v="Guirau"/>
    <s v="Female"/>
    <s v="Female"/>
    <s v="130.116.6.44"/>
    <s v="12.155.68.28"/>
    <n v="657"/>
    <n v="657"/>
    <x v="1"/>
    <s v="CAF"/>
    <x v="602"/>
    <x v="2"/>
    <s v="N/A"/>
    <s v="$474.83M"/>
    <n v="474830000"/>
    <n v="394.28"/>
    <n v="-11.18"/>
    <n v="174600201"/>
    <d v="2022-07-17T00:00:00"/>
    <s v="Missing"/>
    <m/>
  </r>
  <r>
    <s v="wathowi9"/>
    <s v="usa.gov"/>
    <s v="Wendell"/>
    <s v="Athow"/>
    <s v="Male"/>
    <s v="Male"/>
    <s v="200.103.95.167"/>
    <s v="194.133.123.228"/>
    <n v="658"/>
    <n v="658"/>
    <x v="0"/>
    <s v="PLXP"/>
    <x v="603"/>
    <x v="0"/>
    <s v="Major Pharmaceuticals"/>
    <s v="$1.04M"/>
    <n v="1040000"/>
    <n v="1134.26"/>
    <n v="-10.16"/>
    <n v="83688427"/>
    <d v="2021-06-12T00:00:00"/>
    <s v="Complete"/>
    <m/>
  </r>
  <r>
    <s v="nmilingtonia"/>
    <s v="yolasite.com"/>
    <s v="Nike"/>
    <s v="Milington"/>
    <s v="Female"/>
    <s v="Female"/>
    <s v="61.247.10.95"/>
    <s v="91.62.219.8"/>
    <n v="659"/>
    <n v="659"/>
    <x v="1"/>
    <s v="ACP"/>
    <x v="604"/>
    <x v="2"/>
    <s v="N/A"/>
    <s v="$185.39M"/>
    <n v="185390000"/>
    <n v="442.18"/>
    <n v="18.2"/>
    <n v="53913490"/>
    <d v="2020-03-20T00:00:00"/>
    <s v="Missing"/>
    <m/>
  </r>
  <r>
    <s v="csquibbsib"/>
    <s v="arizona.edu"/>
    <s v="Chastity"/>
    <s v="Squibbs"/>
    <s v="Female"/>
    <s v="Female"/>
    <s v="86.143.197.131"/>
    <s v="164.218.15.66"/>
    <n v="660"/>
    <n v="660"/>
    <x v="1"/>
    <s v="CFR"/>
    <x v="125"/>
    <x v="3"/>
    <s v="Major Banks"/>
    <s v="$6.19B"/>
    <n v="6190000000"/>
    <n v="17.89"/>
    <n v="-5.24"/>
    <n v="99215224"/>
    <d v="2025-06-30T00:00:00"/>
    <s v="Complete"/>
    <m/>
  </r>
  <r>
    <s v="bbirthic"/>
    <s v="intel.com"/>
    <s v="Baryram"/>
    <s v="Birth"/>
    <s v="Male"/>
    <s v="Male"/>
    <s v="2.252.47.104"/>
    <s v="75.181.80.239"/>
    <n v="661"/>
    <n v="661"/>
    <x v="1"/>
    <s v="PLT"/>
    <x v="605"/>
    <x v="8"/>
    <s v="Telecommunications Equipment"/>
    <s v="$1.8B"/>
    <n v="1800000000"/>
    <n v="428.31"/>
    <n v="2.46"/>
    <n v="149429554"/>
    <d v="2025-02-06T00:00:00"/>
    <s v="Complete"/>
    <m/>
  </r>
  <r>
    <s v="gferronelid"/>
    <s v="dailymotion.com"/>
    <s v="Gerome"/>
    <s v="Ferronel"/>
    <s v="Male"/>
    <s v="Male"/>
    <s v="45.58.82.111"/>
    <s v="8.140.78.136"/>
    <n v="662"/>
    <n v="662"/>
    <x v="1"/>
    <s v="HIL"/>
    <x v="606"/>
    <x v="6"/>
    <s v="Military/Government/Technical"/>
    <s v="$251.61M"/>
    <n v="251610000"/>
    <n v="1894.67"/>
    <n v="-16.53"/>
    <n v="123706943"/>
    <d v="2024-04-01T00:00:00"/>
    <s v="Complete"/>
    <m/>
  </r>
  <r>
    <s v="amcmillamie"/>
    <s v="phoca.cz"/>
    <s v="Avictor"/>
    <s v="McMillam"/>
    <s v="Male"/>
    <s v="Male"/>
    <s v="244.232.57.150"/>
    <s v="214.77.22.230"/>
    <n v="663"/>
    <n v="663"/>
    <x v="1"/>
    <s v="THR"/>
    <x v="607"/>
    <x v="9"/>
    <s v="Industrial Machinery/Components"/>
    <s v="$608.57M"/>
    <n v="608570000"/>
    <n v="1.38"/>
    <n v="-11.45"/>
    <n v="96700145"/>
    <d v="2021-03-13T00:00:00"/>
    <s v="Complete"/>
    <m/>
  </r>
  <r>
    <s v="pfardyif"/>
    <s v="geocities.com"/>
    <s v="Parnell"/>
    <s v="Fardy"/>
    <s v="Male"/>
    <s v="Male"/>
    <s v="21.37.177.254"/>
    <s v="64.114.102.63"/>
    <n v="664"/>
    <n v="664"/>
    <x v="1"/>
    <s v="FI"/>
    <x v="608"/>
    <x v="9"/>
    <s v="Oilfield Services/Equipment"/>
    <s v="$1.9B"/>
    <n v="1900000000"/>
    <n v="1815.39"/>
    <n v="-17.98"/>
    <n v="127308891"/>
    <d v="2021-12-14T00:00:00"/>
    <s v="Complete"/>
    <m/>
  </r>
  <r>
    <s v="wdoig"/>
    <s v="marketwatch.com"/>
    <s v="Wileen"/>
    <s v="Do"/>
    <s v="Female"/>
    <s v="Female"/>
    <s v="215.202.175.72"/>
    <s v="5.204.137.197"/>
    <n v="665"/>
    <n v="665"/>
    <x v="0"/>
    <s v="CSML"/>
    <x v="609"/>
    <x v="2"/>
    <s v="N/A"/>
    <s v="$74.69M"/>
    <n v="74690000"/>
    <n v="1161.26"/>
    <n v="5.39"/>
    <n v="189367133"/>
    <d v="2025-02-14T00:00:00"/>
    <s v="Missing"/>
    <m/>
  </r>
  <r>
    <s v="trebouletih"/>
    <s v="microsoft.com"/>
    <s v="Tracie"/>
    <s v="Reboulet"/>
    <s v="Male"/>
    <s v="Male"/>
    <s v="246.155.251.216"/>
    <s v="74.230.49.60"/>
    <n v="666"/>
    <n v="666"/>
    <x v="1"/>
    <s v="RDS.A"/>
    <x v="610"/>
    <x v="2"/>
    <s v="N/A"/>
    <s v="N/A"/>
    <n v="0"/>
    <n v="892.38"/>
    <n v="-17.43"/>
    <n v="89206522"/>
    <d v="2025-05-28T00:00:00"/>
    <s v="Missing"/>
    <m/>
  </r>
  <r>
    <s v="tcanonii"/>
    <s v="redcross.org"/>
    <s v="Twila"/>
    <s v="Canon"/>
    <s v="Female"/>
    <s v="Female"/>
    <s v="7.239.0.166"/>
    <s v="36.124.96.251"/>
    <n v="667"/>
    <n v="667"/>
    <x v="1"/>
    <s v="ATHM"/>
    <x v="611"/>
    <x v="4"/>
    <s v="EDP Services"/>
    <s v="$5.07B"/>
    <n v="5070000000"/>
    <n v="22.63"/>
    <n v="-14.38"/>
    <n v="49880203"/>
    <d v="2026-10-05T00:00:00"/>
    <s v="Complete"/>
    <m/>
  </r>
  <r>
    <s v="tparkeij"/>
    <s v="forbes.com"/>
    <s v="Thorny"/>
    <s v="Parke"/>
    <s v="Male"/>
    <s v="Male"/>
    <s v="3.235.140.192"/>
    <s v="175.250.87.121"/>
    <n v="668"/>
    <n v="668"/>
    <x v="0"/>
    <s v="CHW"/>
    <x v="612"/>
    <x v="2"/>
    <s v="N/A"/>
    <s v="$499.2M"/>
    <n v="499200000"/>
    <n v="1644.64"/>
    <n v="-14.04"/>
    <n v="48002957"/>
    <d v="2021-05-22T00:00:00"/>
    <s v="Missing"/>
    <m/>
  </r>
  <r>
    <s v="kivamyik"/>
    <s v="yolasite.com"/>
    <s v="Karole"/>
    <s v="Ivamy"/>
    <s v="Female"/>
    <s v="Female"/>
    <s v="12.185.254.15"/>
    <s v="63.85.215.28"/>
    <n v="669"/>
    <n v="669"/>
    <x v="1"/>
    <s v="MAN"/>
    <x v="613"/>
    <x v="4"/>
    <s v="Professional Services"/>
    <s v="$7.22B"/>
    <n v="7220000000"/>
    <n v="237.59"/>
    <n v="-14.45"/>
    <n v="144967503"/>
    <d v="2022-05-13T00:00:00"/>
    <s v="Complete"/>
    <m/>
  </r>
  <r>
    <s v="dchuckil"/>
    <s v="amazon.co.jp"/>
    <s v="Darline"/>
    <s v="Chuck"/>
    <s v="Female"/>
    <s v="Female"/>
    <s v="148.16.90.178"/>
    <s v="228.72.191.88"/>
    <n v="670"/>
    <n v="670"/>
    <x v="0"/>
    <s v="SNC"/>
    <x v="614"/>
    <x v="3"/>
    <s v="Property-Casualty Insurers"/>
    <s v="$736.77M"/>
    <n v="736770000"/>
    <n v="1793.87"/>
    <n v="10.41"/>
    <n v="28248361"/>
    <d v="2022-12-02T00:00:00"/>
    <s v="Complete"/>
    <m/>
  </r>
  <r>
    <s v="jwemesim"/>
    <s v="merriam-webster.com"/>
    <s v="Juliann"/>
    <s v="Wemes"/>
    <s v="Agender"/>
    <s v="Other"/>
    <s v="14.242.206.19"/>
    <s v="131.169.246.224"/>
    <n v="671"/>
    <n v="671"/>
    <x v="0"/>
    <s v="ACIU"/>
    <x v="615"/>
    <x v="0"/>
    <s v="Major Pharmaceuticals"/>
    <s v="$484.41M"/>
    <n v="484410000"/>
    <n v="123.03"/>
    <n v="-13.88"/>
    <n v="18125385"/>
    <d v="2024-05-15T00:00:00"/>
    <s v="Complete"/>
    <m/>
  </r>
  <r>
    <s v="heddiesin"/>
    <s v="businessweek.com"/>
    <s v="Ham"/>
    <s v="Eddies"/>
    <s v="Male"/>
    <s v="Male"/>
    <s v="34.217.224.233"/>
    <s v="81.98.3.88"/>
    <n v="672"/>
    <n v="672"/>
    <x v="1"/>
    <s v="FRC^D"/>
    <x v="616"/>
    <x v="2"/>
    <s v="N/A"/>
    <s v="N/A"/>
    <n v="0"/>
    <n v="1817.26"/>
    <n v="-19.39"/>
    <n v="16466746"/>
    <d v="2020-08-28T00:00:00"/>
    <s v="Missing"/>
    <m/>
  </r>
  <r>
    <s v="aorrocksio"/>
    <s v="drupal.org"/>
    <s v="Amerigo"/>
    <s v="Orrocks"/>
    <s v="Male"/>
    <s v="Male"/>
    <s v="179.47.113.202"/>
    <s v="172.87.218.228"/>
    <n v="673"/>
    <n v="673"/>
    <x v="0"/>
    <s v="OCRX"/>
    <x v="617"/>
    <x v="0"/>
    <s v="Major Pharmaceuticals"/>
    <s v="$25.45M"/>
    <n v="25450000"/>
    <n v="2.0299999999999998"/>
    <n v="8.1999999999999993"/>
    <n v="12069237"/>
    <d v="2023-05-08T00:00:00"/>
    <s v="Complete"/>
    <m/>
  </r>
  <r>
    <s v="gfergysonip"/>
    <s v="theguardian.com"/>
    <s v="Gualterio"/>
    <s v="Fergyson"/>
    <s v="Male"/>
    <s v="Male"/>
    <s v="101.24.74.34"/>
    <s v="203.67.245.91"/>
    <n v="674"/>
    <n v="674"/>
    <x v="0"/>
    <s v="VIRC"/>
    <x v="618"/>
    <x v="11"/>
    <s v="Industrial Specialties"/>
    <s v="$70.59M"/>
    <n v="70590000"/>
    <n v="1968.91"/>
    <n v="-16.920000000000002"/>
    <n v="111767598"/>
    <d v="2025-10-06T00:00:00"/>
    <s v="Complete"/>
    <m/>
  </r>
  <r>
    <s v="mogreadyiq"/>
    <s v="behance.net"/>
    <s v="Malanie"/>
    <s v="O'Gready"/>
    <s v="Female"/>
    <s v="Female"/>
    <s v="52.233.103.230"/>
    <s v="190.29.103.75"/>
    <n v="675"/>
    <n v="675"/>
    <x v="1"/>
    <s v="SQNS"/>
    <x v="619"/>
    <x v="4"/>
    <s v="Semiconductors"/>
    <s v="$299.74M"/>
    <n v="299740000"/>
    <n v="801.98"/>
    <n v="-14.85"/>
    <n v="52741738"/>
    <d v="2023-11-21T00:00:00"/>
    <s v="Complete"/>
    <m/>
  </r>
  <r>
    <s v="rsellarir"/>
    <s v="tamu.edu"/>
    <s v="Rahel"/>
    <s v="Sellar"/>
    <s v="Female"/>
    <s v="Female"/>
    <s v="220.51.241.140"/>
    <s v="234.171.101.137"/>
    <n v="676"/>
    <n v="676"/>
    <x v="0"/>
    <s v="SQBG"/>
    <x v="620"/>
    <x v="5"/>
    <s v="Apparel"/>
    <s v="$237.5M"/>
    <n v="237500000"/>
    <n v="1541.53"/>
    <n v="1.96"/>
    <n v="127190269"/>
    <d v="2023-06-12T00:00:00"/>
    <s v="Complete"/>
    <m/>
  </r>
  <r>
    <s v="ighiroldiis"/>
    <s v="over-blog.com"/>
    <s v="Ignacius"/>
    <s v="Ghiroldi"/>
    <s v="Male"/>
    <s v="Male"/>
    <s v="129.151.101.84"/>
    <s v="126.65.82.45"/>
    <n v="677"/>
    <n v="677"/>
    <x v="1"/>
    <s v="PMM"/>
    <x v="621"/>
    <x v="2"/>
    <s v="N/A"/>
    <s v="$406.45M"/>
    <n v="406450000"/>
    <n v="1892.52"/>
    <n v="-9.0500000000000007"/>
    <n v="20372965"/>
    <d v="2023-06-11T00:00:00"/>
    <s v="Missing"/>
    <m/>
  </r>
  <r>
    <s v="efidgettit"/>
    <s v="aboutads.info"/>
    <s v="Elias"/>
    <s v="Fidgett"/>
    <s v="Male"/>
    <s v="Male"/>
    <s v="250.70.112.143"/>
    <s v="209.207.253.121"/>
    <n v="678"/>
    <n v="678"/>
    <x v="0"/>
    <s v="CAMP"/>
    <x v="622"/>
    <x v="4"/>
    <s v="Radio And Television Broadcasting And Communications Equipment"/>
    <s v="$685.07M"/>
    <n v="685070000"/>
    <n v="1098.3"/>
    <n v="-11.51"/>
    <n v="139872771"/>
    <d v="2025-03-07T00:00:00"/>
    <s v="Complete"/>
    <m/>
  </r>
  <r>
    <s v="gendecottiu"/>
    <s v="purevolume.com"/>
    <s v="Giffard"/>
    <s v="Endecott"/>
    <s v="Male"/>
    <s v="Male"/>
    <s v="131.241.147.254"/>
    <s v="182.113.67.231"/>
    <n v="679"/>
    <n v="679"/>
    <x v="0"/>
    <s v="FNSR"/>
    <x v="623"/>
    <x v="4"/>
    <s v="Semiconductors"/>
    <s v="$3.1B"/>
    <n v="3100000000"/>
    <n v="1577.39"/>
    <n v="-14.98"/>
    <n v="171511228"/>
    <d v="2025-12-15T00:00:00"/>
    <s v="Complete"/>
    <m/>
  </r>
  <r>
    <s v="dbonnettiv"/>
    <s v="smugmug.com"/>
    <s v="Dianemarie"/>
    <s v="Bonnett"/>
    <s v="Female"/>
    <s v="Female"/>
    <s v="144.93.171.144"/>
    <s v="196.46.253.232"/>
    <n v="680"/>
    <n v="680"/>
    <x v="1"/>
    <s v="LNT"/>
    <x v="624"/>
    <x v="8"/>
    <s v="Power Generation"/>
    <s v="$9.61B"/>
    <n v="9610000000"/>
    <n v="982.23"/>
    <n v="-19.23"/>
    <n v="151598762"/>
    <d v="2025-04-12T00:00:00"/>
    <s v="Complete"/>
    <m/>
  </r>
  <r>
    <s v="ulewtyiw"/>
    <s v="1688.com"/>
    <s v="Ulrikaumeko"/>
    <s v="Lewty"/>
    <s v="Female"/>
    <s v="Female"/>
    <s v="17.176.169.160"/>
    <s v="4.12.241.14"/>
    <n v="681"/>
    <n v="681"/>
    <x v="0"/>
    <s v="DEST"/>
    <x v="625"/>
    <x v="6"/>
    <s v="Clothing/Shoe/Accessory Stores"/>
    <s v="$64.48M"/>
    <n v="64480000.000000007"/>
    <n v="1417.29"/>
    <n v="5.53"/>
    <n v="82540267"/>
    <d v="2021-01-08T00:00:00"/>
    <s v="Complete"/>
    <m/>
  </r>
  <r>
    <s v="rgeneverix"/>
    <s v="hp.com"/>
    <s v="Rosalie"/>
    <s v="Genever"/>
    <s v="Female"/>
    <s v="Female"/>
    <s v="231.56.176.140"/>
    <s v="232.119.117.171"/>
    <n v="682"/>
    <n v="682"/>
    <x v="0"/>
    <s v="IEUS"/>
    <x v="626"/>
    <x v="2"/>
    <s v="N/A"/>
    <s v="$126.72M"/>
    <n v="126720000"/>
    <n v="809.71"/>
    <n v="-8.8699999999999992"/>
    <n v="179052736"/>
    <d v="2022-08-24T00:00:00"/>
    <s v="Missing"/>
    <m/>
  </r>
  <r>
    <s v="pwaneiy"/>
    <s v="etsy.com"/>
    <s v="Patty"/>
    <s v="Wane"/>
    <s v="Female"/>
    <s v="Female"/>
    <s v="215.129.98.134"/>
    <s v="230.142.80.154"/>
    <n v="683"/>
    <n v="683"/>
    <x v="0"/>
    <s v="CHUBA"/>
    <x v="627"/>
    <x v="4"/>
    <s v="Computer Software: Prepackaged Software"/>
    <s v="$725.75M"/>
    <n v="725750000"/>
    <n v="824.71"/>
    <n v="-3.19"/>
    <n v="195917557"/>
    <d v="2024-08-05T00:00:00"/>
    <s v="Complete"/>
    <m/>
  </r>
  <r>
    <s v="tlongmuiriz"/>
    <s v="rambler.ru"/>
    <s v="Tybalt"/>
    <s v="Longmuir"/>
    <s v="Agender"/>
    <s v="Other"/>
    <s v="164.187.13.250"/>
    <s v="210.178.184.155"/>
    <n v="684"/>
    <n v="684"/>
    <x v="1"/>
    <s v="CIM^B"/>
    <x v="330"/>
    <x v="2"/>
    <s v="N/A"/>
    <s v="N/A"/>
    <n v="0"/>
    <n v="844.64"/>
    <n v="-8.1999999999999993"/>
    <n v="148510810"/>
    <d v="2023-12-05T00:00:00"/>
    <s v="Missing"/>
    <m/>
  </r>
  <r>
    <s v="cmcgeouchj0"/>
    <s v="seattletimes.com"/>
    <s v="Conni"/>
    <s v="McGeouch"/>
    <s v="Female"/>
    <s v="Female"/>
    <s v="215.139.220.28"/>
    <s v="148.76.78.162"/>
    <n v="685"/>
    <n v="685"/>
    <x v="1"/>
    <s v="EVG"/>
    <x v="628"/>
    <x v="2"/>
    <s v="N/A"/>
    <s v="$252.83M"/>
    <n v="252830000"/>
    <n v="1281.99"/>
    <n v="4.68"/>
    <n v="181488968"/>
    <d v="2024-02-06T00:00:00"/>
    <s v="Missing"/>
    <m/>
  </r>
  <r>
    <s v="aditchfieldj1"/>
    <s v="bloomberg.com"/>
    <s v="Amii"/>
    <s v="Ditchfield"/>
    <s v="Female"/>
    <s v="Female"/>
    <s v="79.76.128.219"/>
    <s v="158.248.20.34"/>
    <n v="686"/>
    <n v="686"/>
    <x v="1"/>
    <s v="CLI"/>
    <x v="629"/>
    <x v="6"/>
    <s v="Real Estate Investment Trusts"/>
    <s v="$2.54B"/>
    <n v="2540000000"/>
    <n v="1277.8800000000001"/>
    <n v="-4.78"/>
    <n v="139256681"/>
    <d v="2024-08-28T00:00:00"/>
    <s v="Complete"/>
    <m/>
  </r>
  <r>
    <s v="jpahlj2"/>
    <s v="etsy.com"/>
    <s v="Jessie"/>
    <s v="Pahl"/>
    <s v="Female"/>
    <s v="Female"/>
    <s v="32.213.194.132"/>
    <s v="84.35.239.212"/>
    <n v="687"/>
    <n v="687"/>
    <x v="0"/>
    <s v="MITK"/>
    <x v="630"/>
    <x v="4"/>
    <s v="Computer peripheral equipment"/>
    <s v="$280.33M"/>
    <n v="280330000"/>
    <n v="421.19"/>
    <n v="-11.26"/>
    <n v="5136197"/>
    <d v="2022-05-26T00:00:00"/>
    <s v="Complete"/>
    <m/>
  </r>
  <r>
    <s v="rfeatenbyj3"/>
    <s v="utexas.edu"/>
    <s v="Ramsay"/>
    <s v="Featenby"/>
    <s v="Male"/>
    <s v="Male"/>
    <s v="152.5.176.94"/>
    <s v="193.90.199.217"/>
    <n v="688"/>
    <n v="688"/>
    <x v="0"/>
    <s v="NYMTO"/>
    <x v="631"/>
    <x v="6"/>
    <s v="Real Estate Investment Trusts"/>
    <s v="N/A"/>
    <n v="0"/>
    <n v="662.56"/>
    <n v="10.96"/>
    <n v="69214959"/>
    <d v="2025-08-02T00:00:00"/>
    <s v="Missing"/>
    <m/>
  </r>
  <r>
    <s v="vbrentj4"/>
    <s v="bing.com"/>
    <s v="Vinni"/>
    <s v="Brent"/>
    <s v="Bigender"/>
    <s v="Other"/>
    <s v="144.153.85.21"/>
    <s v="90.36.12.187"/>
    <n v="689"/>
    <n v="689"/>
    <x v="1"/>
    <s v="STI.WS.B"/>
    <x v="410"/>
    <x v="2"/>
    <s v="N/A"/>
    <s v="N/A"/>
    <n v="0"/>
    <n v="1747.03"/>
    <n v="-15.39"/>
    <n v="17869487"/>
    <d v="2026-04-14T00:00:00"/>
    <s v="Missing"/>
    <m/>
  </r>
  <r>
    <s v="mmustoj5"/>
    <s v="dedecms.com"/>
    <s v="Mignon"/>
    <s v="Musto"/>
    <s v="Female"/>
    <s v="Female"/>
    <s v="118.138.143.243"/>
    <s v="19.143.150.163"/>
    <n v="690"/>
    <n v="690"/>
    <x v="1"/>
    <s v="RXN^A"/>
    <x v="632"/>
    <x v="2"/>
    <s v="N/A"/>
    <s v="N/A"/>
    <n v="0"/>
    <n v="905.05"/>
    <n v="-11.61"/>
    <n v="81399534"/>
    <d v="2020-03-28T00:00:00"/>
    <s v="Missing"/>
    <m/>
  </r>
  <r>
    <s v="fjeromsonj6"/>
    <s v="samsung.com"/>
    <s v="Farlay"/>
    <s v="Jeromson"/>
    <s v="Male"/>
    <s v="Male"/>
    <s v="6.129.68.53"/>
    <s v="185.245.169.214"/>
    <n v="691"/>
    <n v="691"/>
    <x v="1"/>
    <s v="CHK^D"/>
    <x v="633"/>
    <x v="2"/>
    <s v="N/A"/>
    <s v="N/A"/>
    <n v="0"/>
    <n v="1000.82"/>
    <n v="-13.54"/>
    <n v="81537237"/>
    <d v="2025-07-19T00:00:00"/>
    <s v="Missing"/>
    <m/>
  </r>
  <r>
    <s v="cmaylingj7"/>
    <s v="vistaprint.com"/>
    <s v="Christine"/>
    <s v="Mayling"/>
    <s v="Female"/>
    <s v="Female"/>
    <s v="62.136.212.111"/>
    <s v="196.210.213.116"/>
    <n v="692"/>
    <n v="692"/>
    <x v="0"/>
    <s v="FIZZ"/>
    <x v="634"/>
    <x v="5"/>
    <s v="Beverages (Production/Distribution)"/>
    <s v="$4.16B"/>
    <n v="4160000000"/>
    <n v="1666.04"/>
    <n v="-11.54"/>
    <n v="80619274"/>
    <d v="2026-12-11T00:00:00"/>
    <s v="Complete"/>
    <m/>
  </r>
  <r>
    <s v="vodeej8"/>
    <s v="census.gov"/>
    <s v="Vernor"/>
    <s v="O'Dee"/>
    <s v="Male"/>
    <s v="Male"/>
    <s v="58.55.55.28"/>
    <s v="145.213.249.36"/>
    <n v="693"/>
    <n v="693"/>
    <x v="1"/>
    <s v="AM"/>
    <x v="635"/>
    <x v="8"/>
    <s v="Natural Gas Distribution"/>
    <s v="$6.02B"/>
    <n v="6020000000"/>
    <n v="441.56"/>
    <n v="-19.63"/>
    <n v="92644834"/>
    <d v="2024-07-11T00:00:00"/>
    <s v="Complete"/>
    <m/>
  </r>
  <r>
    <s v="rmcinultyj9"/>
    <s v="msn.com"/>
    <s v="Rosabel"/>
    <s v="McInulty"/>
    <s v="Female"/>
    <s v="Female"/>
    <s v="37.42.150.160"/>
    <s v="57.29.25.90"/>
    <n v="694"/>
    <n v="694"/>
    <x v="1"/>
    <s v="KBH"/>
    <x v="636"/>
    <x v="1"/>
    <s v="Homebuilding"/>
    <s v="$1.84B"/>
    <n v="1840000000"/>
    <n v="196.22"/>
    <n v="-18.05"/>
    <n v="195937062"/>
    <d v="2020-10-19T00:00:00"/>
    <s v="Complete"/>
    <m/>
  </r>
  <r>
    <s v="fbowerbankja"/>
    <s v="rambler.ru"/>
    <s v="Franchot"/>
    <s v="Bowerbank"/>
    <s v="Male"/>
    <s v="Male"/>
    <s v="111.126.11.57"/>
    <s v="119.93.42.121"/>
    <n v="695"/>
    <n v="695"/>
    <x v="1"/>
    <s v="RYAM^A"/>
    <x v="637"/>
    <x v="2"/>
    <s v="N/A"/>
    <s v="N/A"/>
    <n v="0"/>
    <n v="816.76"/>
    <n v="-4.3499999999999996"/>
    <n v="60087983"/>
    <d v="2026-02-19T00:00:00"/>
    <s v="Missing"/>
    <m/>
  </r>
  <r>
    <s v="bairsjb"/>
    <s v="arstechnica.com"/>
    <s v="Benedicto"/>
    <s v="Airs"/>
    <s v="Bigender"/>
    <s v="Other"/>
    <s v="197.52.195.143"/>
    <s v="124.187.98.91"/>
    <n v="696"/>
    <n v="696"/>
    <x v="0"/>
    <s v="HUNTW"/>
    <x v="638"/>
    <x v="12"/>
    <s v="Oil Refining/Marketing"/>
    <s v="N/A"/>
    <n v="0"/>
    <n v="1663.75"/>
    <n v="9.76"/>
    <n v="33671140"/>
    <d v="2022-03-21T00:00:00"/>
    <s v="Missing"/>
    <m/>
  </r>
  <r>
    <s v="tpagetjc"/>
    <s v="marketwatch.com"/>
    <s v="Talbert"/>
    <s v="Paget"/>
    <s v="Male"/>
    <s v="Male"/>
    <s v="51.15.114.123"/>
    <s v="12.199.191.253"/>
    <n v="697"/>
    <n v="697"/>
    <x v="1"/>
    <s v="VZ"/>
    <x v="639"/>
    <x v="8"/>
    <s v="Telecommunications Equipment"/>
    <s v="$190.22B"/>
    <n v="190220000000"/>
    <n v="23.61"/>
    <n v="-19.18"/>
    <n v="135172221"/>
    <d v="2026-12-16T00:00:00"/>
    <s v="Complete"/>
    <m/>
  </r>
  <r>
    <s v="fturbaynejd"/>
    <s v="archive.org"/>
    <s v="Felipe"/>
    <s v="Turbayne"/>
    <s v="Male"/>
    <s v="Male"/>
    <s v="143.225.234.191"/>
    <s v="27.131.169.50"/>
    <n v="698"/>
    <n v="698"/>
    <x v="0"/>
    <s v="XPER"/>
    <x v="640"/>
    <x v="4"/>
    <s v="Semiconductors"/>
    <s v="$1.49B"/>
    <n v="1490000000"/>
    <n v="1278.67"/>
    <n v="-5.07"/>
    <n v="51663866"/>
    <d v="2020-06-29T00:00:00"/>
    <s v="Complete"/>
    <m/>
  </r>
  <r>
    <s v="wshentonje"/>
    <s v="blogtalkradio.com"/>
    <s v="Winthrop"/>
    <s v="Shenton"/>
    <s v="Male"/>
    <s v="Male"/>
    <s v="195.61.158.42"/>
    <s v="231.85.5.93"/>
    <n v="699"/>
    <n v="699"/>
    <x v="1"/>
    <s v="DLX"/>
    <x v="641"/>
    <x v="11"/>
    <s v="Publishing"/>
    <s v="$3.46B"/>
    <n v="3460000000"/>
    <n v="931.8"/>
    <n v="-19.16"/>
    <n v="71940359"/>
    <d v="2022-05-14T00:00:00"/>
    <s v="Complete"/>
    <m/>
  </r>
  <r>
    <s v="vdecentjf"/>
    <s v="earthlink.net"/>
    <s v="Vanni"/>
    <s v="Decent"/>
    <s v="Female"/>
    <s v="Female"/>
    <s v="111.214.149.226"/>
    <s v="150.237.40.87"/>
    <n v="700"/>
    <n v="700"/>
    <x v="1"/>
    <s v="CHH"/>
    <x v="642"/>
    <x v="6"/>
    <s v="Hotels/Resorts"/>
    <s v="$3.75B"/>
    <n v="3750000000"/>
    <n v="1157.08"/>
    <n v="-0.17"/>
    <n v="87369071"/>
    <d v="2023-09-13T00:00:00"/>
    <s v="Complete"/>
    <m/>
  </r>
  <r>
    <s v="othakejg"/>
    <s v="nationalgeographic.com"/>
    <s v="Olimpia"/>
    <s v="Thake"/>
    <s v="Genderfluid"/>
    <s v="Other"/>
    <s v="27.97.216.82"/>
    <s v="238.101.221.0"/>
    <n v="701"/>
    <n v="701"/>
    <x v="1"/>
    <s v="AI"/>
    <x v="381"/>
    <x v="3"/>
    <s v="Finance/Investors Services"/>
    <s v="$352.64M"/>
    <n v="352640000"/>
    <n v="483.92"/>
    <n v="16.170000000000002"/>
    <n v="175485118"/>
    <d v="2023-02-26T00:00:00"/>
    <s v="Complete"/>
    <m/>
  </r>
  <r>
    <s v="dpatkinjh"/>
    <s v="engadget.com"/>
    <s v="Dag"/>
    <s v="Patkin"/>
    <s v="Male"/>
    <s v="Male"/>
    <s v="207.15.204.152"/>
    <s v="18.34.14.57"/>
    <n v="702"/>
    <n v="702"/>
    <x v="0"/>
    <s v="AKRX"/>
    <x v="643"/>
    <x v="0"/>
    <s v="Major Pharmaceuticals"/>
    <s v="$4.17B"/>
    <n v="4170000000"/>
    <n v="1877.6"/>
    <n v="7.5"/>
    <n v="148252651"/>
    <d v="2022-03-06T00:00:00"/>
    <s v="Complete"/>
    <m/>
  </r>
  <r>
    <s v="rlantji"/>
    <s v="toplist.cz"/>
    <s v="Rosalinde"/>
    <s v="Lant"/>
    <s v="Female"/>
    <s v="Female"/>
    <s v="125.185.101.157"/>
    <s v="137.144.59.14"/>
    <n v="703"/>
    <n v="703"/>
    <x v="1"/>
    <s v="NSR"/>
    <x v="644"/>
    <x v="6"/>
    <s v="Telecommunications Equipment"/>
    <s v="$1.87B"/>
    <n v="1870000000"/>
    <n v="217.95"/>
    <n v="-18.89"/>
    <n v="148989550"/>
    <d v="2023-09-11T00:00:00"/>
    <s v="Complete"/>
    <m/>
  </r>
  <r>
    <s v="bcomberbeachjj"/>
    <s v="digg.com"/>
    <s v="Bren"/>
    <s v="Comberbeach"/>
    <s v="Male"/>
    <s v="Male"/>
    <s v="206.214.80.17"/>
    <s v="27.54.8.180"/>
    <n v="704"/>
    <n v="704"/>
    <x v="1"/>
    <s v="CIO^A"/>
    <x v="645"/>
    <x v="2"/>
    <s v="N/A"/>
    <s v="N/A"/>
    <n v="0"/>
    <n v="394.84"/>
    <n v="13.88"/>
    <n v="84495632"/>
    <d v="2023-01-16T00:00:00"/>
    <s v="Missing"/>
    <m/>
  </r>
  <r>
    <s v="mcoddringtonjk"/>
    <s v="amazonaws.com"/>
    <s v="Malissa"/>
    <s v="Coddrington"/>
    <s v="Female"/>
    <s v="Female"/>
    <s v="24.73.45.60"/>
    <s v="189.46.117.138"/>
    <n v="705"/>
    <n v="705"/>
    <x v="1"/>
    <s v="VEC"/>
    <x v="646"/>
    <x v="6"/>
    <s v="Diversified Commercial Services"/>
    <s v="$340.82M"/>
    <n v="340820000"/>
    <n v="1237.92"/>
    <n v="-7.79"/>
    <n v="151184265"/>
    <d v="2025-11-21T00:00:00"/>
    <s v="Complete"/>
    <m/>
  </r>
  <r>
    <s v="smandeljl"/>
    <s v="pen.io"/>
    <s v="Stephanus"/>
    <s v="Mandel"/>
    <s v="Male"/>
    <s v="Male"/>
    <s v="255.121.62.120"/>
    <s v="114.90.204.112"/>
    <n v="706"/>
    <n v="706"/>
    <x v="1"/>
    <s v="SFR"/>
    <x v="647"/>
    <x v="6"/>
    <s v="Real Estate Investment Trusts"/>
    <s v="$4.37B"/>
    <n v="4370000000"/>
    <n v="1468.12"/>
    <n v="-15.32"/>
    <n v="120612582"/>
    <d v="2022-03-21T00:00:00"/>
    <s v="Complete"/>
    <m/>
  </r>
  <r>
    <s v="eperottijm"/>
    <s v="ow.ly"/>
    <s v="Ewell"/>
    <s v="Perotti"/>
    <s v="Male"/>
    <s v="Male"/>
    <s v="128.148.16.190"/>
    <s v="23.33.153.225"/>
    <n v="707"/>
    <n v="707"/>
    <x v="0"/>
    <s v="DHXM"/>
    <x v="648"/>
    <x v="2"/>
    <s v="N/A"/>
    <s v="$122.51M"/>
    <n v="122510000"/>
    <n v="1466.61"/>
    <n v="-14.59"/>
    <n v="42267894"/>
    <d v="2024-01-15T00:00:00"/>
    <s v="Missing"/>
    <m/>
  </r>
  <r>
    <s v="cmcmurtyjn"/>
    <s v="mayoclinic.com"/>
    <s v="Charlena"/>
    <s v="McMurty"/>
    <s v="Female"/>
    <s v="Female"/>
    <s v="48.5.19.143"/>
    <s v="125.9.70.35"/>
    <n v="708"/>
    <n v="708"/>
    <x v="0"/>
    <s v="GBCI"/>
    <x v="649"/>
    <x v="3"/>
    <s v="Major Banks"/>
    <s v="$2.8B"/>
    <n v="2800000000"/>
    <n v="247.35"/>
    <n v="3.34"/>
    <n v="80258598"/>
    <d v="2026-02-06T00:00:00"/>
    <s v="Complete"/>
    <m/>
  </r>
  <r>
    <s v="islaterjo"/>
    <s v="hud.gov"/>
    <s v="Isak"/>
    <s v="Slater"/>
    <s v="Male"/>
    <s v="Male"/>
    <s v="244.197.173.48"/>
    <s v="178.124.103.75"/>
    <n v="709"/>
    <n v="709"/>
    <x v="1"/>
    <s v="GPC"/>
    <x v="650"/>
    <x v="1"/>
    <s v="Automotive Aftermarket"/>
    <s v="$14.09B"/>
    <n v="14090000000"/>
    <n v="1285.1400000000001"/>
    <n v="-1.84"/>
    <n v="125142117"/>
    <d v="2022-04-27T00:00:00"/>
    <s v="Complete"/>
    <m/>
  </r>
  <r>
    <s v="dhaguejp"/>
    <s v="blogtalkradio.com"/>
    <s v="Darn"/>
    <s v="Hague"/>
    <s v="Male"/>
    <s v="Male"/>
    <s v="186.112.43.66"/>
    <s v="22.154.28.254"/>
    <n v="710"/>
    <n v="710"/>
    <x v="0"/>
    <s v="NAUH"/>
    <x v="651"/>
    <x v="6"/>
    <s v="Other Consumer Services"/>
    <s v="$63.95M"/>
    <n v="63950000"/>
    <n v="932.9"/>
    <n v="-16.47"/>
    <n v="145596926"/>
    <d v="2026-10-01T00:00:00"/>
    <s v="Complete"/>
    <m/>
  </r>
  <r>
    <s v="bwiggjq"/>
    <s v="forbes.com"/>
    <s v="Bron"/>
    <s v="Wigg"/>
    <s v="Male"/>
    <s v="Male"/>
    <s v="24.246.200.217"/>
    <s v="184.179.219.193"/>
    <n v="711"/>
    <n v="711"/>
    <x v="1"/>
    <s v="GTY"/>
    <x v="652"/>
    <x v="3"/>
    <s v="Real Estate"/>
    <s v="$896.38M"/>
    <n v="896380000"/>
    <n v="1009.2"/>
    <n v="4.1399999999999997"/>
    <n v="139637693"/>
    <d v="2022-08-08T00:00:00"/>
    <s v="Complete"/>
    <m/>
  </r>
  <r>
    <s v="htomsajr"/>
    <s v="cam.ac.uk"/>
    <s v="Hamil"/>
    <s v="Tomsa"/>
    <s v="Male"/>
    <s v="Male"/>
    <s v="4.64.123.16"/>
    <s v="166.133.198.57"/>
    <n v="712"/>
    <n v="712"/>
    <x v="0"/>
    <s v="TST"/>
    <x v="653"/>
    <x v="6"/>
    <s v="Newspapers/Magazines"/>
    <s v="$30.31M"/>
    <n v="30310000"/>
    <n v="581.98"/>
    <n v="17.62"/>
    <n v="64942562"/>
    <d v="2021-05-01T00:00:00"/>
    <s v="Complete"/>
    <m/>
  </r>
  <r>
    <s v="kgostalljs"/>
    <s v="epa.gov"/>
    <s v="Karlie"/>
    <s v="Gostall"/>
    <s v="Female"/>
    <s v="Female"/>
    <s v="239.47.228.163"/>
    <s v="134.232.17.92"/>
    <n v="713"/>
    <n v="713"/>
    <x v="1"/>
    <s v="ALL^C"/>
    <x v="654"/>
    <x v="2"/>
    <s v="N/A"/>
    <s v="N/A"/>
    <n v="0"/>
    <n v="1189.57"/>
    <n v="0.03"/>
    <n v="56261567"/>
    <d v="2024-05-19T00:00:00"/>
    <s v="Missing"/>
    <m/>
  </r>
  <r>
    <s v="fselwinjt"/>
    <s v="noaa.gov"/>
    <s v="Fayina"/>
    <s v="Selwin"/>
    <s v="Female"/>
    <s v="Female"/>
    <s v="189.199.30.227"/>
    <s v="60.88.87.159"/>
    <n v="714"/>
    <n v="714"/>
    <x v="0"/>
    <s v="RMCF"/>
    <x v="655"/>
    <x v="5"/>
    <s v="Specialty Foods"/>
    <s v="$68.38M"/>
    <n v="68380000"/>
    <n v="1855.67"/>
    <n v="8.9"/>
    <n v="149047114"/>
    <d v="2025-02-06T00:00:00"/>
    <s v="Complete"/>
    <m/>
  </r>
  <r>
    <s v="fduforeju"/>
    <s v="wikispaces.com"/>
    <s v="Farlee"/>
    <s v="Dufore"/>
    <s v="Male"/>
    <s v="Male"/>
    <s v="229.48.198.38"/>
    <s v="245.163.15.20"/>
    <n v="715"/>
    <n v="715"/>
    <x v="1"/>
    <s v="FCPT"/>
    <x v="656"/>
    <x v="6"/>
    <s v="Real Estate Investment Trusts"/>
    <s v="$1.53B"/>
    <n v="1530000000"/>
    <n v="147.33000000000001"/>
    <n v="-4.97"/>
    <n v="142813131"/>
    <d v="2024-12-06T00:00:00"/>
    <s v="Complete"/>
    <m/>
  </r>
  <r>
    <s v="skinsmanjv"/>
    <s v="zdnet.com"/>
    <s v="Shel"/>
    <s v="Kinsman"/>
    <s v="Female"/>
    <s v="Female"/>
    <s v="97.25.247.77"/>
    <s v="232.137.30.147"/>
    <n v="716"/>
    <n v="716"/>
    <x v="1"/>
    <s v="TEVA"/>
    <x v="657"/>
    <x v="0"/>
    <s v="Major Pharmaceuticals"/>
    <s v="$31.41B"/>
    <n v="31410000000"/>
    <n v="359.02"/>
    <n v="15.26"/>
    <n v="185827710"/>
    <d v="2021-11-22T00:00:00"/>
    <s v="Complete"/>
    <m/>
  </r>
  <r>
    <s v="tfransemaijw"/>
    <s v="ox.ac.uk"/>
    <s v="Tad"/>
    <s v="Fransemai"/>
    <s v="Male"/>
    <s v="Male"/>
    <s v="112.18.3.214"/>
    <s v="89.96.75.57"/>
    <n v="717"/>
    <n v="717"/>
    <x v="1"/>
    <s v="TREX"/>
    <x v="658"/>
    <x v="10"/>
    <s v="Forest Products"/>
    <s v="$1.99B"/>
    <n v="1990000000"/>
    <n v="1383.91"/>
    <n v="-1.99"/>
    <n v="49224057"/>
    <d v="2024-11-19T00:00:00"/>
    <s v="Complete"/>
    <m/>
  </r>
  <r>
    <s v="ywynchjx"/>
    <s v="sciencedaily.com"/>
    <s v="Yale"/>
    <s v="Wynch"/>
    <s v="Male"/>
    <s v="Male"/>
    <s v="1.38.115.231"/>
    <s v="154.79.47.171"/>
    <n v="718"/>
    <n v="718"/>
    <x v="0"/>
    <s v="CRAY"/>
    <x v="252"/>
    <x v="4"/>
    <s v="Computer Manufacturing"/>
    <s v="$737.25M"/>
    <n v="737250000"/>
    <n v="577.94000000000005"/>
    <n v="11.44"/>
    <n v="87514351"/>
    <d v="2024-09-27T00:00:00"/>
    <s v="Complete"/>
    <m/>
  </r>
  <r>
    <s v="bpoggjy"/>
    <s v="yellowbook.com"/>
    <s v="Bunni"/>
    <s v="Pogg"/>
    <s v="Female"/>
    <s v="Female"/>
    <s v="177.232.102.242"/>
    <s v="33.194.142.157"/>
    <n v="719"/>
    <n v="719"/>
    <x v="1"/>
    <s v="SHLX"/>
    <x v="659"/>
    <x v="9"/>
    <s v="Natural Gas Distribution"/>
    <s v="$5.1B"/>
    <n v="5100000000"/>
    <n v="113.83"/>
    <n v="16.920000000000002"/>
    <n v="129506080"/>
    <d v="2024-04-11T00:00:00"/>
    <s v="Complete"/>
    <m/>
  </r>
  <r>
    <s v="tsamettjz"/>
    <s v="kickstarter.com"/>
    <s v="Trudey"/>
    <s v="Samett"/>
    <s v="Female"/>
    <s v="Female"/>
    <s v="155.246.81.87"/>
    <s v="198.107.118.125"/>
    <n v="720"/>
    <n v="720"/>
    <x v="1"/>
    <s v="AF"/>
    <x v="660"/>
    <x v="3"/>
    <s v="Savings Institutions"/>
    <s v="$2.06B"/>
    <n v="2060000000"/>
    <n v="1781.22"/>
    <n v="0.31"/>
    <n v="51528520"/>
    <d v="2024-07-13T00:00:00"/>
    <s v="Complete"/>
    <m/>
  </r>
  <r>
    <s v="kcamelink0"/>
    <s v="slideshare.net"/>
    <s v="Kenn"/>
    <s v="Camelin"/>
    <s v="Male"/>
    <s v="Male"/>
    <s v="132.136.201.50"/>
    <s v="96.25.213.142"/>
    <n v="721"/>
    <n v="721"/>
    <x v="0"/>
    <s v="TGA"/>
    <x v="661"/>
    <x v="9"/>
    <s v="Oil &amp; Gas Production"/>
    <s v="$92.42M"/>
    <n v="92420000"/>
    <n v="1009.09"/>
    <n v="8.66"/>
    <n v="101955660"/>
    <d v="2023-10-29T00:00:00"/>
    <s v="Complete"/>
    <m/>
  </r>
  <r>
    <s v="crosenzwigk1"/>
    <s v="stanford.edu"/>
    <s v="Clywd"/>
    <s v="Rosenzwig"/>
    <s v="Male"/>
    <s v="Male"/>
    <s v="169.136.245.101"/>
    <s v="120.39.231.138"/>
    <n v="722"/>
    <n v="722"/>
    <x v="1"/>
    <s v="WRB^D"/>
    <x v="457"/>
    <x v="2"/>
    <s v="N/A"/>
    <s v="N/A"/>
    <n v="0"/>
    <n v="1820.6"/>
    <n v="10.7"/>
    <n v="119191930"/>
    <d v="2022-11-27T00:00:00"/>
    <s v="Missing"/>
    <m/>
  </r>
  <r>
    <s v="noherlihyk2"/>
    <s v="bloglovin.com"/>
    <s v="Nanine"/>
    <s v="Oherlihy"/>
    <s v="Female"/>
    <s v="Female"/>
    <s v="27.156.52.31"/>
    <s v="118.210.27.199"/>
    <n v="723"/>
    <n v="723"/>
    <x v="1"/>
    <s v="CIR"/>
    <x v="662"/>
    <x v="1"/>
    <s v="Metal Fabrications"/>
    <s v="$1.08B"/>
    <n v="1080000000"/>
    <n v="446.17"/>
    <n v="15.74"/>
    <n v="7677231"/>
    <d v="2024-03-14T00:00:00"/>
    <s v="Complete"/>
    <m/>
  </r>
  <r>
    <s v="jdonalsonk3"/>
    <s v="imgur.com"/>
    <s v="Jacobo"/>
    <s v="Donalson"/>
    <s v="Male"/>
    <s v="Male"/>
    <s v="134.129.255.243"/>
    <s v="169.161.202.205"/>
    <n v="724"/>
    <n v="724"/>
    <x v="1"/>
    <s v="TGNA"/>
    <x v="663"/>
    <x v="6"/>
    <s v="Broadcasting"/>
    <s v="$3.26B"/>
    <n v="3260000000"/>
    <n v="1686.93"/>
    <n v="7.79"/>
    <n v="4071570"/>
    <d v="2020-04-20T00:00:00"/>
    <s v="Complete"/>
    <m/>
  </r>
  <r>
    <s v="abeedk4"/>
    <s v="desdev.cn"/>
    <s v="Ariella"/>
    <s v="Beed"/>
    <s v="Female"/>
    <s v="Female"/>
    <s v="186.150.169.98"/>
    <s v="33.196.4.118"/>
    <n v="725"/>
    <n v="725"/>
    <x v="0"/>
    <s v="DEPO"/>
    <x v="664"/>
    <x v="0"/>
    <s v="Major Pharmaceuticals"/>
    <s v="$592.24M"/>
    <n v="592240000"/>
    <n v="416.92"/>
    <n v="3.55"/>
    <n v="104051982"/>
    <d v="2022-09-15T00:00:00"/>
    <s v="Complete"/>
    <m/>
  </r>
  <r>
    <s v="edurtnelk5"/>
    <s v="nytimes.com"/>
    <s v="Ebenezer"/>
    <s v="Durtnel"/>
    <s v="Male"/>
    <s v="Male"/>
    <s v="109.161.140.9"/>
    <s v="100.255.135.57"/>
    <n v="726"/>
    <n v="726"/>
    <x v="0"/>
    <s v="KLAC"/>
    <x v="665"/>
    <x v="1"/>
    <s v="Electronic Components"/>
    <s v="$15.32B"/>
    <n v="15320000000"/>
    <n v="1557.44"/>
    <n v="-11.96"/>
    <n v="21034680"/>
    <d v="2022-09-08T00:00:00"/>
    <s v="Complete"/>
    <m/>
  </r>
  <r>
    <s v="bspentonk6"/>
    <s v="acquirethisname.com"/>
    <s v="Bertrando"/>
    <s v="Spenton"/>
    <s v="Male"/>
    <s v="Male"/>
    <s v="89.175.157.188"/>
    <s v="246.189.138.238"/>
    <n v="727"/>
    <n v="727"/>
    <x v="1"/>
    <s v="FMO"/>
    <x v="666"/>
    <x v="2"/>
    <s v="N/A"/>
    <s v="$446.85M"/>
    <n v="446850000"/>
    <n v="1540.14"/>
    <n v="13.9"/>
    <n v="158182158"/>
    <d v="2022-04-09T00:00:00"/>
    <s v="Missing"/>
    <m/>
  </r>
  <r>
    <s v="jhasserk7"/>
    <s v="marketwatch.com"/>
    <s v="John"/>
    <s v="Hasser"/>
    <s v="Bigender"/>
    <s v="Other"/>
    <s v="248.150.118.112"/>
    <s v="186.7.197.2"/>
    <n v="728"/>
    <n v="728"/>
    <x v="1"/>
    <s v="BKFS"/>
    <x v="667"/>
    <x v="4"/>
    <s v="Computer Software: Prepackaged Software"/>
    <s v="$6.01B"/>
    <n v="6010000000"/>
    <n v="1466.08"/>
    <n v="-13.71"/>
    <n v="149137959"/>
    <d v="2025-06-14T00:00:00"/>
    <s v="Complete"/>
    <m/>
  </r>
  <r>
    <s v="escamadenk8"/>
    <s v="wikispaces.com"/>
    <s v="Emmerich"/>
    <s v="Scamaden"/>
    <s v="Male"/>
    <s v="Male"/>
    <s v="119.149.205.31"/>
    <s v="61.173.80.147"/>
    <n v="729"/>
    <n v="729"/>
    <x v="0"/>
    <s v="TLF"/>
    <x v="668"/>
    <x v="5"/>
    <s v="Apparel"/>
    <s v="$76.52M"/>
    <n v="76520000"/>
    <n v="1309.94"/>
    <n v="-16.059999999999999"/>
    <n v="170570061"/>
    <d v="2026-12-22T00:00:00"/>
    <s v="Complete"/>
    <m/>
  </r>
  <r>
    <s v="rmcglaughnk9"/>
    <s v="vistaprint.com"/>
    <s v="Ruth"/>
    <s v="McGlaughn"/>
    <s v="Female"/>
    <s v="Female"/>
    <s v="127.228.33.178"/>
    <s v="187.18.151.15"/>
    <n v="730"/>
    <n v="730"/>
    <x v="1"/>
    <s v="BMY"/>
    <x v="669"/>
    <x v="0"/>
    <s v="Major Pharmaceuticals"/>
    <s v="$89.72B"/>
    <n v="89720000000"/>
    <n v="1148.6300000000001"/>
    <n v="17.28"/>
    <n v="13351820"/>
    <d v="2022-04-02T00:00:00"/>
    <s v="Complete"/>
    <m/>
  </r>
  <r>
    <s v="gbalentyneka"/>
    <s v="wisc.edu"/>
    <s v="Griffy"/>
    <s v="Balentyne"/>
    <s v="Male"/>
    <s v="Male"/>
    <s v="241.155.19.148"/>
    <s v="201.169.109.102"/>
    <n v="731"/>
    <n v="731"/>
    <x v="1"/>
    <s v="EXK"/>
    <x v="670"/>
    <x v="10"/>
    <s v="Precious Metals"/>
    <s v="$370.33M"/>
    <n v="370330000"/>
    <n v="1243.74"/>
    <n v="-17.63"/>
    <n v="34270661"/>
    <d v="2025-01-31T00:00:00"/>
    <s v="Complete"/>
    <m/>
  </r>
  <r>
    <s v="mlearmountkb"/>
    <s v="nps.gov"/>
    <s v="Meara"/>
    <s v="Learmount"/>
    <s v="Female"/>
    <s v="Female"/>
    <s v="176.104.2.0"/>
    <s v="197.208.205.3"/>
    <n v="732"/>
    <n v="732"/>
    <x v="0"/>
    <s v="AEMD"/>
    <x v="671"/>
    <x v="1"/>
    <s v="Biotechnology: Laboratory Analytical Instruments"/>
    <s v="$18.56M"/>
    <n v="18560000"/>
    <n v="1325.69"/>
    <n v="1.1100000000000001"/>
    <n v="130192253"/>
    <d v="2023-04-14T00:00:00"/>
    <s v="Complete"/>
    <m/>
  </r>
  <r>
    <s v="wkemberykc"/>
    <s v="salon.com"/>
    <s v="Wallas"/>
    <s v="Kembery"/>
    <s v="Male"/>
    <s v="Male"/>
    <s v="9.240.108.151"/>
    <s v="82.143.49.131"/>
    <n v="733"/>
    <n v="733"/>
    <x v="0"/>
    <s v="FISI"/>
    <x v="672"/>
    <x v="3"/>
    <s v="Major Banks"/>
    <s v="$443.54M"/>
    <n v="443540000"/>
    <n v="167.11"/>
    <n v="-10.7"/>
    <n v="80053215"/>
    <d v="2025-07-11T00:00:00"/>
    <s v="Complete"/>
    <m/>
  </r>
  <r>
    <s v="llanchesterkd"/>
    <s v="lycos.com"/>
    <s v="Licha"/>
    <s v="Lanchester"/>
    <s v="Female"/>
    <s v="Female"/>
    <s v="184.146.3.219"/>
    <s v="52.166.101.86"/>
    <n v="734"/>
    <n v="734"/>
    <x v="0"/>
    <s v="SANM"/>
    <x v="309"/>
    <x v="4"/>
    <s v="Electrical Products"/>
    <s v="$2.83B"/>
    <n v="2830000000"/>
    <n v="1333.49"/>
    <n v="-2.0099999999999998"/>
    <n v="106888194"/>
    <d v="2026-12-28T00:00:00"/>
    <s v="Complete"/>
    <m/>
  </r>
  <r>
    <s v="vdarrigoneke"/>
    <s v="wordpress.org"/>
    <s v="Valentine"/>
    <s v="Darrigone"/>
    <s v="Male"/>
    <s v="Male"/>
    <s v="25.168.140.79"/>
    <s v="102.100.191.211"/>
    <n v="735"/>
    <n v="735"/>
    <x v="1"/>
    <s v="MTW"/>
    <x v="673"/>
    <x v="1"/>
    <s v="ConstructioN/Ag Equipment/Trucks"/>
    <s v="$836.2M"/>
    <n v="836200000"/>
    <n v="545.99"/>
    <n v="-11.98"/>
    <n v="79632520"/>
    <d v="2023-11-01T00:00:00"/>
    <s v="Complete"/>
    <m/>
  </r>
  <r>
    <s v="bszymonikf"/>
    <s v="privacy.gov.au"/>
    <s v="Bendick"/>
    <s v="Szymoni"/>
    <s v="Male"/>
    <s v="Male"/>
    <s v="223.255.158.233"/>
    <s v="107.38.42.24"/>
    <n v="736"/>
    <n v="736"/>
    <x v="1"/>
    <s v="KNX"/>
    <x v="674"/>
    <x v="12"/>
    <s v="Trucking Freight/Courier Services"/>
    <s v="$2.86B"/>
    <n v="2860000000"/>
    <n v="580.49"/>
    <n v="3.6"/>
    <n v="116178665"/>
    <d v="2020-04-02T00:00:00"/>
    <s v="Complete"/>
    <m/>
  </r>
  <r>
    <s v="omitchinsonkg"/>
    <s v="google.nl"/>
    <s v="Omar"/>
    <s v="Mitchinson"/>
    <s v="Male"/>
    <s v="Male"/>
    <s v="209.3.206.123"/>
    <s v="87.117.148.97"/>
    <n v="737"/>
    <n v="737"/>
    <x v="0"/>
    <s v="PRFT"/>
    <x v="675"/>
    <x v="4"/>
    <s v="EDP Services"/>
    <s v="$612.6M"/>
    <n v="612600000"/>
    <n v="1826.86"/>
    <n v="6.37"/>
    <n v="33958972"/>
    <d v="2022-05-30T00:00:00"/>
    <s v="Complete"/>
    <m/>
  </r>
  <r>
    <s v="rimasonkh"/>
    <s v="google.ru"/>
    <s v="Reynard"/>
    <s v="Imason"/>
    <s v="Male"/>
    <s v="Male"/>
    <s v="17.26.254.245"/>
    <s v="116.127.250.48"/>
    <n v="738"/>
    <n v="738"/>
    <x v="0"/>
    <s v="QGEN"/>
    <x v="676"/>
    <x v="0"/>
    <s v="Biotechnology: Biological Products (No Diagnostic Substances)"/>
    <s v="$7.72B"/>
    <n v="7720000000"/>
    <n v="294.64999999999998"/>
    <n v="-14.39"/>
    <n v="183567327"/>
    <d v="2024-09-18T00:00:00"/>
    <s v="Complete"/>
    <m/>
  </r>
  <r>
    <s v="vbeynknki"/>
    <s v="si.edu"/>
    <s v="Vergil"/>
    <s v="Beynkn"/>
    <s v="Male"/>
    <s v="Male"/>
    <s v="9.128.109.180"/>
    <s v="144.242.157.55"/>
    <n v="739"/>
    <n v="739"/>
    <x v="1"/>
    <s v="WALA"/>
    <x v="50"/>
    <x v="3"/>
    <s v="Major Banks"/>
    <s v="N/A"/>
    <n v="0"/>
    <n v="1254.96"/>
    <n v="3.04"/>
    <n v="179925443"/>
    <d v="2022-04-29T00:00:00"/>
    <s v="Missing"/>
    <m/>
  </r>
  <r>
    <s v="rlogeskj"/>
    <s v="icio.us"/>
    <s v="Rock"/>
    <s v="Loges"/>
    <s v="Male"/>
    <s v="Male"/>
    <s v="141.103.189.18"/>
    <s v="219.63.175.98"/>
    <n v="740"/>
    <n v="740"/>
    <x v="1"/>
    <s v="GEH"/>
    <x v="677"/>
    <x v="9"/>
    <s v="Consumer Electronics/Appliances"/>
    <s v="N/A"/>
    <n v="0"/>
    <n v="81.739999999999995"/>
    <n v="15.9"/>
    <n v="185639856"/>
    <d v="2024-04-04T00:00:00"/>
    <s v="Missing"/>
    <m/>
  </r>
  <r>
    <s v="mpietrowiczkk"/>
    <s v="globo.com"/>
    <s v="Marrilee"/>
    <s v="Pietrowicz"/>
    <s v="Female"/>
    <s v="Female"/>
    <s v="154.96.116.208"/>
    <s v="159.52.243.116"/>
    <n v="741"/>
    <n v="741"/>
    <x v="0"/>
    <s v="KAACW"/>
    <x v="678"/>
    <x v="3"/>
    <s v="Business Services"/>
    <s v="N/A"/>
    <n v="0"/>
    <n v="573.28"/>
    <n v="-11.55"/>
    <n v="19289600"/>
    <d v="2020-08-31T00:00:00"/>
    <s v="Missing"/>
    <m/>
  </r>
  <r>
    <s v="kchattenkl"/>
    <s v="infoseek.co.jp"/>
    <s v="Kale"/>
    <s v="Chatten"/>
    <s v="Male"/>
    <s v="Male"/>
    <s v="2.230.59.87"/>
    <s v="160.182.136.87"/>
    <n v="742"/>
    <n v="742"/>
    <x v="1"/>
    <s v="LII"/>
    <x v="93"/>
    <x v="1"/>
    <s v="Industrial Machinery/Components"/>
    <s v="$8.05B"/>
    <n v="8050000000.000001"/>
    <n v="529.67999999999995"/>
    <n v="17.11"/>
    <n v="137277852"/>
    <d v="2023-05-11T00:00:00"/>
    <s v="Complete"/>
    <m/>
  </r>
  <r>
    <s v="dpurselowkm"/>
    <s v="cmu.edu"/>
    <s v="Domeniga"/>
    <s v="Purselow"/>
    <s v="Female"/>
    <s v="Female"/>
    <s v="202.124.216.79"/>
    <s v="240.202.223.24"/>
    <n v="743"/>
    <n v="743"/>
    <x v="0"/>
    <s v="RAVN"/>
    <x v="679"/>
    <x v="1"/>
    <s v="Specialty Chemicals"/>
    <s v="$1.26B"/>
    <n v="1260000000"/>
    <n v="113.98"/>
    <n v="-17.86"/>
    <n v="104179380"/>
    <d v="2020-09-23T00:00:00"/>
    <s v="Complete"/>
    <m/>
  </r>
  <r>
    <s v="sneatekn"/>
    <s v="delicious.com"/>
    <s v="Si"/>
    <s v="Neate"/>
    <s v="Male"/>
    <s v="Male"/>
    <s v="53.244.209.185"/>
    <s v="18.152.222.234"/>
    <n v="744"/>
    <n v="744"/>
    <x v="1"/>
    <s v="MNP"/>
    <x v="680"/>
    <x v="2"/>
    <s v="N/A"/>
    <s v="$153.37M"/>
    <n v="153370000"/>
    <n v="257.58999999999997"/>
    <n v="3.17"/>
    <n v="87320977"/>
    <d v="2023-04-12T00:00:00"/>
    <s v="Missing"/>
    <m/>
  </r>
  <r>
    <s v="hwilshireko"/>
    <s v="virginia.edu"/>
    <s v="Hube"/>
    <s v="Wilshire"/>
    <s v="Male"/>
    <s v="Male"/>
    <s v="201.83.164.137"/>
    <s v="164.81.178.101"/>
    <n v="745"/>
    <n v="745"/>
    <x v="1"/>
    <s v="FLC"/>
    <x v="681"/>
    <x v="2"/>
    <s v="N/A"/>
    <s v="$220.5M"/>
    <n v="220500000"/>
    <n v="1008.6"/>
    <n v="-17.829999999999998"/>
    <n v="13138316"/>
    <d v="2024-07-25T00:00:00"/>
    <s v="Missing"/>
    <m/>
  </r>
  <r>
    <s v="ehellyarkp"/>
    <s v="comcast.net"/>
    <s v="Eudora"/>
    <s v="Hellyar"/>
    <s v="Female"/>
    <s v="Female"/>
    <s v="158.174.188.133"/>
    <s v="192.172.172.242"/>
    <n v="746"/>
    <n v="746"/>
    <x v="0"/>
    <s v="PFM"/>
    <x v="682"/>
    <x v="2"/>
    <s v="N/A"/>
    <s v="$317.19M"/>
    <n v="317190000"/>
    <n v="490.1"/>
    <n v="19.170000000000002"/>
    <n v="120644191"/>
    <d v="2022-07-04T00:00:00"/>
    <s v="Missing"/>
    <m/>
  </r>
  <r>
    <s v="dloftskq"/>
    <s v="vkontakte.ru"/>
    <s v="Dalis"/>
    <s v="Lofts"/>
    <s v="Male"/>
    <s v="Male"/>
    <s v="179.140.209.148"/>
    <s v="14.220.38.32"/>
    <n v="747"/>
    <n v="747"/>
    <x v="0"/>
    <s v="BDE"/>
    <x v="683"/>
    <x v="5"/>
    <s v="Recreational Products/Toys"/>
    <s v="$195.09M"/>
    <n v="195090000"/>
    <n v="757.14"/>
    <n v="14.18"/>
    <n v="157738332"/>
    <d v="2025-07-10T00:00:00"/>
    <s v="Complete"/>
    <m/>
  </r>
  <r>
    <s v="asallisskr"/>
    <s v="vinaora.com"/>
    <s v="Ame"/>
    <s v="Salliss"/>
    <s v="Female"/>
    <s v="Female"/>
    <s v="222.215.216.6"/>
    <s v="80.183.209.82"/>
    <n v="748"/>
    <n v="748"/>
    <x v="1"/>
    <s v="EAT"/>
    <x v="684"/>
    <x v="6"/>
    <s v="Restaurants"/>
    <s v="$1.85B"/>
    <n v="1850000000"/>
    <n v="1952.03"/>
    <n v="4.3899999999999997"/>
    <n v="32413928"/>
    <d v="2026-05-25T00:00:00"/>
    <s v="Complete"/>
    <m/>
  </r>
  <r>
    <s v="cgradyks"/>
    <s v="walmart.com"/>
    <s v="Chrystel"/>
    <s v="Grady"/>
    <s v="Female"/>
    <s v="Female"/>
    <s v="220.209.112.36"/>
    <s v="164.96.0.139"/>
    <n v="749"/>
    <n v="749"/>
    <x v="1"/>
    <s v="SFR"/>
    <x v="647"/>
    <x v="6"/>
    <s v="Real Estate Investment Trusts"/>
    <s v="$4.37B"/>
    <n v="4370000000"/>
    <n v="1414.53"/>
    <n v="-5.92"/>
    <n v="76246959"/>
    <d v="2024-12-19T00:00:00"/>
    <s v="Complete"/>
    <m/>
  </r>
  <r>
    <s v="sbanasiakkt"/>
    <s v="amazon.com"/>
    <s v="Shellie"/>
    <s v="Banasiak"/>
    <s v="Female"/>
    <s v="Female"/>
    <s v="161.99.132.149"/>
    <s v="192.86.51.46"/>
    <n v="750"/>
    <n v="750"/>
    <x v="1"/>
    <s v="PHD"/>
    <x v="685"/>
    <x v="2"/>
    <s v="N/A"/>
    <s v="$293.39M"/>
    <n v="293390000"/>
    <n v="1025.18"/>
    <n v="-13.34"/>
    <n v="35275036"/>
    <d v="2023-06-17T00:00:00"/>
    <s v="Missing"/>
    <m/>
  </r>
  <r>
    <s v="vhedgesku"/>
    <s v="feedburner.com"/>
    <s v="Vyky"/>
    <s v="Hedges"/>
    <s v="Female"/>
    <s v="Female"/>
    <s v="232.138.127.72"/>
    <s v="180.172.88.126"/>
    <n v="751"/>
    <n v="751"/>
    <x v="0"/>
    <s v="AQXP"/>
    <x v="686"/>
    <x v="0"/>
    <s v="Major Pharmaceuticals"/>
    <s v="$313.17M"/>
    <n v="313170000"/>
    <n v="1415.53"/>
    <n v="-16.489999999999998"/>
    <n v="135611995"/>
    <d v="2021-11-25T00:00:00"/>
    <s v="Complete"/>
    <m/>
  </r>
  <r>
    <s v="gberkkv"/>
    <s v="tuttocitta.it"/>
    <s v="Gabrila"/>
    <s v="Berk"/>
    <s v="Female"/>
    <s v="Female"/>
    <s v="134.237.41.204"/>
    <s v="204.37.108.94"/>
    <n v="752"/>
    <n v="752"/>
    <x v="1"/>
    <s v="TOWR"/>
    <x v="687"/>
    <x v="1"/>
    <s v="Auto Parts:O.E.M."/>
    <s v="$446.68M"/>
    <n v="446680000"/>
    <n v="1258.04"/>
    <n v="18.93"/>
    <n v="32802886"/>
    <d v="2022-05-04T00:00:00"/>
    <s v="Complete"/>
    <m/>
  </r>
  <r>
    <s v="ncargokw"/>
    <s v="bandcamp.com"/>
    <s v="Nap"/>
    <s v="Cargo"/>
    <s v="Male"/>
    <s v="Male"/>
    <s v="168.14.91.1"/>
    <s v="6.8.52.187"/>
    <n v="753"/>
    <n v="753"/>
    <x v="1"/>
    <s v="YPF"/>
    <x v="688"/>
    <x v="9"/>
    <s v="Integrated oil Companies"/>
    <s v="$8.51B"/>
    <n v="8510000000"/>
    <n v="1031.9000000000001"/>
    <n v="14.51"/>
    <n v="144409272"/>
    <d v="2023-10-11T00:00:00"/>
    <s v="Complete"/>
    <m/>
  </r>
  <r>
    <s v="mchampkx"/>
    <s v="smugmug.com"/>
    <s v="Marius"/>
    <s v="Champ"/>
    <s v="Male"/>
    <s v="Male"/>
    <s v="171.31.48.89"/>
    <s v="41.132.117.177"/>
    <n v="754"/>
    <n v="754"/>
    <x v="0"/>
    <s v="SPLK"/>
    <x v="321"/>
    <x v="4"/>
    <s v="Computer Software: Prepackaged Software"/>
    <s v="$7.96B"/>
    <n v="7960000000"/>
    <n v="180.53"/>
    <n v="3.64"/>
    <n v="110425826"/>
    <d v="2022-11-22T00:00:00"/>
    <s v="Complete"/>
    <m/>
  </r>
  <r>
    <s v="lakettky"/>
    <s v="google.com"/>
    <s v="Lusa"/>
    <s v="Akett"/>
    <s v="Female"/>
    <s v="Female"/>
    <s v="76.115.11.31"/>
    <s v="25.182.79.194"/>
    <n v="755"/>
    <n v="755"/>
    <x v="0"/>
    <s v="ORLY"/>
    <x v="689"/>
    <x v="6"/>
    <s v="Other Specialty Stores"/>
    <s v="$21.06B"/>
    <n v="21060000000"/>
    <n v="980.03"/>
    <n v="-6.87"/>
    <n v="180581764"/>
    <d v="2020-01-06T00:00:00"/>
    <s v="Complete"/>
    <m/>
  </r>
  <r>
    <s v="kivykz"/>
    <s v="mail.ru"/>
    <s v="Kaspar"/>
    <s v="Ivy"/>
    <s v="Polygender"/>
    <s v="Other"/>
    <s v="72.234.200.12"/>
    <s v="4.120.3.247"/>
    <n v="756"/>
    <n v="756"/>
    <x v="1"/>
    <s v="SHI"/>
    <x v="690"/>
    <x v="10"/>
    <s v="Major Chemicals"/>
    <s v="$5.65B"/>
    <n v="5650000000"/>
    <n v="1923.39"/>
    <n v="-14.81"/>
    <n v="168733209"/>
    <d v="2021-09-25T00:00:00"/>
    <s v="Complete"/>
    <m/>
  </r>
  <r>
    <s v="lglandonl0"/>
    <s v="msn.com"/>
    <s v="Lynnett"/>
    <s v="Glandon"/>
    <s v="Non-binary"/>
    <s v="Other"/>
    <s v="62.61.174.14"/>
    <s v="93.49.218.130"/>
    <n v="757"/>
    <n v="757"/>
    <x v="1"/>
    <s v="GPE^A"/>
    <x v="691"/>
    <x v="8"/>
    <s v="Electric Utilities: Central"/>
    <s v="N/A"/>
    <n v="0"/>
    <n v="1452.73"/>
    <n v="-17.059999999999999"/>
    <n v="65448523"/>
    <d v="2020-02-24T00:00:00"/>
    <s v="Missing"/>
    <m/>
  </r>
  <r>
    <s v="bwintersgilll1"/>
    <s v="zdnet.com"/>
    <s v="Benny"/>
    <s v="Wintersgill"/>
    <s v="Male"/>
    <s v="Male"/>
    <s v="110.61.210.131"/>
    <s v="229.75.189.230"/>
    <n v="758"/>
    <n v="758"/>
    <x v="0"/>
    <s v="CATM"/>
    <x v="692"/>
    <x v="7"/>
    <s v="Business Services"/>
    <s v="$1.52B"/>
    <n v="1520000000"/>
    <n v="1578.31"/>
    <n v="-8.34"/>
    <n v="74518139"/>
    <d v="2026-08-03T00:00:00"/>
    <s v="Complete"/>
    <m/>
  </r>
  <r>
    <s v="rberthl2"/>
    <s v="phpbb.com"/>
    <s v="Ruben"/>
    <s v="Berth"/>
    <s v="Male"/>
    <s v="Male"/>
    <s v="139.59.76.59"/>
    <s v="106.116.204.5"/>
    <n v="759"/>
    <n v="759"/>
    <x v="0"/>
    <s v="TIL"/>
    <x v="693"/>
    <x v="3"/>
    <s v="Property-Casualty Insurers"/>
    <s v="$13.15M"/>
    <n v="13150000"/>
    <n v="473.7"/>
    <n v="-16.989999999999998"/>
    <n v="91429596"/>
    <d v="2022-08-25T00:00:00"/>
    <s v="Complete"/>
    <m/>
  </r>
  <r>
    <s v="esifletl3"/>
    <s v="blogspot.com"/>
    <s v="Erhard"/>
    <s v="Siflet"/>
    <s v="Male"/>
    <s v="Male"/>
    <s v="204.111.226.82"/>
    <s v="241.158.15.89"/>
    <n v="760"/>
    <n v="760"/>
    <x v="1"/>
    <s v="E"/>
    <x v="694"/>
    <x v="9"/>
    <s v="Oil &amp; Gas Production"/>
    <s v="$56.64B"/>
    <n v="56640000000"/>
    <n v="1770.92"/>
    <n v="1.59"/>
    <n v="151671688"/>
    <d v="2022-06-09T00:00:00"/>
    <s v="Complete"/>
    <m/>
  </r>
  <r>
    <s v="cchesserl4"/>
    <s v="google.com.au"/>
    <s v="Cathy"/>
    <s v="Chesser"/>
    <s v="Female"/>
    <s v="Female"/>
    <s v="175.149.155.80"/>
    <s v="37.172.107.209"/>
    <n v="761"/>
    <n v="761"/>
    <x v="1"/>
    <s v="PHD"/>
    <x v="685"/>
    <x v="2"/>
    <s v="N/A"/>
    <s v="$293.39M"/>
    <n v="293390000"/>
    <n v="1028.5899999999999"/>
    <n v="-3.14"/>
    <n v="168412084"/>
    <d v="2021-04-23T00:00:00"/>
    <s v="Missing"/>
    <m/>
  </r>
  <r>
    <s v="cvickerl5"/>
    <s v="google.fr"/>
    <s v="Collete"/>
    <s v="Vicker"/>
    <s v="Female"/>
    <s v="Female"/>
    <s v="150.74.189.133"/>
    <s v="197.209.92.141"/>
    <n v="762"/>
    <n v="762"/>
    <x v="0"/>
    <s v="ATRO"/>
    <x v="695"/>
    <x v="1"/>
    <s v="Military/Government/Technical"/>
    <s v="$883.27M"/>
    <n v="883270000"/>
    <n v="1399.81"/>
    <n v="16.489999999999998"/>
    <n v="71712075"/>
    <d v="2022-03-11T00:00:00"/>
    <s v="Complete"/>
    <m/>
  </r>
  <r>
    <s v="ctejadal6"/>
    <s v="unblog.fr"/>
    <s v="Celestia"/>
    <s v="Tejada"/>
    <s v="Female"/>
    <s v="Female"/>
    <s v="239.150.50.75"/>
    <s v="153.140.124.230"/>
    <n v="763"/>
    <n v="763"/>
    <x v="1"/>
    <s v="ESE"/>
    <x v="696"/>
    <x v="11"/>
    <s v="Telecommunications Equipment"/>
    <s v="$1.54B"/>
    <n v="1540000000"/>
    <n v="220.2"/>
    <n v="-18.64"/>
    <n v="122050715"/>
    <d v="2025-05-04T00:00:00"/>
    <s v="Complete"/>
    <m/>
  </r>
  <r>
    <s v="rgilliardl7"/>
    <s v="bloomberg.com"/>
    <s v="Renee"/>
    <s v="Gilliard"/>
    <s v="Female"/>
    <s v="Female"/>
    <s v="79.46.39.205"/>
    <s v="237.90.64.128"/>
    <n v="764"/>
    <n v="764"/>
    <x v="1"/>
    <s v="JBT"/>
    <x v="697"/>
    <x v="4"/>
    <s v="Industrial Machinery/Components"/>
    <s v="$2.89B"/>
    <n v="2890000000"/>
    <n v="1438.05"/>
    <n v="4.24"/>
    <n v="52770837"/>
    <d v="2022-04-12T00:00:00"/>
    <s v="Complete"/>
    <m/>
  </r>
  <r>
    <s v="akindlesidel8"/>
    <s v="wsj.com"/>
    <s v="Aldridge"/>
    <s v="Kindleside"/>
    <s v="Bigender"/>
    <s v="Other"/>
    <s v="154.170.145.207"/>
    <s v="36.90.122.23"/>
    <n v="765"/>
    <n v="765"/>
    <x v="0"/>
    <s v="AQMS"/>
    <x v="698"/>
    <x v="10"/>
    <s v="Metal Fabrications"/>
    <s v="$251.77M"/>
    <n v="251770000"/>
    <n v="570.65"/>
    <n v="19.64"/>
    <n v="185465121"/>
    <d v="2024-01-22T00:00:00"/>
    <s v="Complete"/>
    <m/>
  </r>
  <r>
    <s v="casherl9"/>
    <s v="java.com"/>
    <s v="Chen"/>
    <s v="Asher"/>
    <s v="Male"/>
    <s v="Male"/>
    <s v="216.248.102.91"/>
    <s v="9.83.169.228"/>
    <n v="766"/>
    <n v="766"/>
    <x v="1"/>
    <s v="LDR"/>
    <x v="699"/>
    <x v="1"/>
    <s v="Industrial Machinery/Components"/>
    <s v="$513.32M"/>
    <n v="513320000.00000006"/>
    <n v="212.77"/>
    <n v="-3.58"/>
    <n v="128538376"/>
    <d v="2020-11-11T00:00:00"/>
    <s v="Complete"/>
    <m/>
  </r>
  <r>
    <s v="rbenedttila"/>
    <s v="ifeng.com"/>
    <s v="Reg"/>
    <s v="Benedtti"/>
    <s v="Male"/>
    <s v="Male"/>
    <s v="209.125.93.49"/>
    <s v="134.105.11.227"/>
    <n v="767"/>
    <n v="767"/>
    <x v="1"/>
    <s v="PPL"/>
    <x v="700"/>
    <x v="8"/>
    <s v="Electric Utilities: Central"/>
    <s v="$26.98B"/>
    <n v="26980000000"/>
    <n v="964.96"/>
    <n v="-16.62"/>
    <n v="46553778"/>
    <d v="2020-11-23T00:00:00"/>
    <s v="Complete"/>
    <m/>
  </r>
  <r>
    <s v="gtremoliereslb"/>
    <s v="army.mil"/>
    <s v="Germaine"/>
    <s v="Tremolieres"/>
    <s v="Non-binary"/>
    <s v="Other"/>
    <s v="138.209.44.233"/>
    <s v="141.163.171.43"/>
    <n v="768"/>
    <n v="768"/>
    <x v="1"/>
    <s v="CRC"/>
    <x v="65"/>
    <x v="9"/>
    <s v="Oil &amp; Gas Production"/>
    <s v="$441.26M"/>
    <n v="441260000"/>
    <n v="1200.68"/>
    <n v="-1.68"/>
    <n v="31626281"/>
    <d v="2026-08-17T00:00:00"/>
    <s v="Complete"/>
    <m/>
  </r>
  <r>
    <s v="jbutlandlc"/>
    <s v="slate.com"/>
    <s v="Julieta"/>
    <s v="Butland"/>
    <s v="Female"/>
    <s v="Female"/>
    <s v="53.200.178.39"/>
    <s v="16.168.209.222"/>
    <n v="769"/>
    <n v="769"/>
    <x v="1"/>
    <s v="QSR"/>
    <x v="701"/>
    <x v="6"/>
    <s v="Restaurants"/>
    <s v="$14.34B"/>
    <n v="14340000000"/>
    <n v="1377.52"/>
    <n v="-7.9"/>
    <n v="169317660"/>
    <d v="2024-03-08T00:00:00"/>
    <s v="Complete"/>
    <m/>
  </r>
  <r>
    <s v="gdulintyld"/>
    <s v="admin.ch"/>
    <s v="Grange"/>
    <s v="Dulinty"/>
    <s v="Male"/>
    <s v="Male"/>
    <s v="74.246.116.178"/>
    <s v="204.14.52.38"/>
    <n v="770"/>
    <n v="770"/>
    <x v="1"/>
    <s v="ALLY"/>
    <x v="702"/>
    <x v="3"/>
    <s v="Finance: Consumer Services"/>
    <s v="$9.35B"/>
    <n v="9350000000"/>
    <n v="1318.27"/>
    <n v="-3.32"/>
    <n v="71812908"/>
    <d v="2024-09-28T00:00:00"/>
    <s v="Complete"/>
    <m/>
  </r>
  <r>
    <s v="jblackiele"/>
    <s v="flavors.me"/>
    <s v="Julian"/>
    <s v="Blackie"/>
    <s v="Male"/>
    <s v="Male"/>
    <s v="13.198.75.240"/>
    <s v="191.214.57.110"/>
    <n v="771"/>
    <n v="771"/>
    <x v="0"/>
    <s v="WIX"/>
    <x v="703"/>
    <x v="4"/>
    <s v="Computer Software: Programming, Data Processing"/>
    <s v="$3.11B"/>
    <n v="3110000000"/>
    <n v="328.07"/>
    <n v="17.5"/>
    <n v="91009116"/>
    <d v="2020-10-21T00:00:00"/>
    <s v="Complete"/>
    <m/>
  </r>
  <r>
    <s v="cprettyjohnlf"/>
    <s v="naver.com"/>
    <s v="Cayla"/>
    <s v="Prettyjohn"/>
    <s v="Female"/>
    <s v="Female"/>
    <s v="255.235.211.226"/>
    <s v="221.162.27.164"/>
    <n v="772"/>
    <n v="772"/>
    <x v="0"/>
    <s v="KALV"/>
    <x v="704"/>
    <x v="0"/>
    <s v="Major Pharmaceuticals"/>
    <s v="$73.43M"/>
    <n v="73430000"/>
    <n v="448.02"/>
    <n v="-16.149999999999999"/>
    <n v="127706798"/>
    <d v="2020-06-01T00:00:00"/>
    <s v="Complete"/>
    <m/>
  </r>
  <r>
    <s v="pbrownsteinlg"/>
    <s v="netvibes.com"/>
    <s v="Patten"/>
    <s v="Brownstein"/>
    <s v="Polygender"/>
    <s v="Other"/>
    <s v="156.219.80.63"/>
    <s v="47.123.158.113"/>
    <n v="773"/>
    <n v="773"/>
    <x v="0"/>
    <s v="IVFGC"/>
    <x v="705"/>
    <x v="2"/>
    <s v="N/A"/>
    <s v="N/A"/>
    <n v="0"/>
    <n v="903.76"/>
    <n v="0.68"/>
    <n v="193201482"/>
    <d v="2024-05-12T00:00:00"/>
    <s v="Missing"/>
    <m/>
  </r>
  <r>
    <s v="ksplevingslh"/>
    <s v="ucsd.edu"/>
    <s v="Kara"/>
    <s v="Splevings"/>
    <s v="Female"/>
    <s v="Female"/>
    <s v="102.142.187.150"/>
    <s v="73.234.240.0"/>
    <n v="774"/>
    <n v="774"/>
    <x v="1"/>
    <s v="HIE"/>
    <x v="706"/>
    <x v="2"/>
    <s v="N/A"/>
    <s v="$180.61M"/>
    <n v="180610000"/>
    <n v="1656.9"/>
    <n v="0.22"/>
    <n v="126780131"/>
    <d v="2024-01-19T00:00:00"/>
    <s v="Missing"/>
    <m/>
  </r>
  <r>
    <s v="dcasleyli"/>
    <s v="ocn.ne.jp"/>
    <s v="Demetra"/>
    <s v="Casley"/>
    <s v="Polygender"/>
    <s v="Other"/>
    <s v="206.244.57.55"/>
    <s v="233.26.79.102"/>
    <n v="775"/>
    <n v="775"/>
    <x v="1"/>
    <s v="PFH"/>
    <x v="371"/>
    <x v="3"/>
    <s v="Finance: Consumer Services"/>
    <s v="N/A"/>
    <n v="0"/>
    <n v="783.31"/>
    <n v="-18.96"/>
    <n v="181083188"/>
    <d v="2026-07-18T00:00:00"/>
    <s v="Missing"/>
    <m/>
  </r>
  <r>
    <s v="tmacinerneylj"/>
    <s v="slideshare.net"/>
    <s v="Terry"/>
    <s v="MacInerney"/>
    <s v="Male"/>
    <s v="Male"/>
    <s v="122.183.90.32"/>
    <s v="115.78.70.169"/>
    <n v="776"/>
    <n v="776"/>
    <x v="1"/>
    <s v="CAF"/>
    <x v="602"/>
    <x v="2"/>
    <s v="N/A"/>
    <s v="$474.83M"/>
    <n v="474830000"/>
    <n v="265.20999999999998"/>
    <n v="-7.43"/>
    <n v="69272775"/>
    <d v="2022-07-03T00:00:00"/>
    <s v="Missing"/>
    <m/>
  </r>
  <r>
    <s v="kdommlk"/>
    <s v="people.com.cn"/>
    <s v="Keir"/>
    <s v="Domm"/>
    <s v="Bigender"/>
    <s v="Other"/>
    <s v="204.113.120.88"/>
    <s v="145.144.151.237"/>
    <n v="777"/>
    <n v="777"/>
    <x v="0"/>
    <s v="IKNX"/>
    <x v="707"/>
    <x v="7"/>
    <s v="Industrial Machinery/Components"/>
    <s v="$16.39M"/>
    <n v="16390000"/>
    <n v="1230.3599999999999"/>
    <n v="6.47"/>
    <n v="137558711"/>
    <d v="2023-04-25T00:00:00"/>
    <s v="Complete"/>
    <m/>
  </r>
  <r>
    <s v="mhamelynll"/>
    <s v="ox.ac.uk"/>
    <s v="Martie"/>
    <s v="Hamelyn"/>
    <s v="Male"/>
    <s v="Male"/>
    <s v="106.103.125.51"/>
    <s v="172.248.53.148"/>
    <n v="778"/>
    <n v="778"/>
    <x v="1"/>
    <s v="RMP"/>
    <x v="708"/>
    <x v="8"/>
    <s v="Natural Gas Distribution"/>
    <s v="$2.49B"/>
    <n v="2490000000"/>
    <n v="1085.99"/>
    <n v="-19.3"/>
    <n v="128305303"/>
    <d v="2025-05-19T00:00:00"/>
    <s v="Complete"/>
    <m/>
  </r>
  <r>
    <s v="wkochlinlm"/>
    <s v="posterous.com"/>
    <s v="Winifield"/>
    <s v="Kochlin"/>
    <s v="Male"/>
    <s v="Male"/>
    <s v="90.252.191.233"/>
    <s v="128.134.49.161"/>
    <n v="779"/>
    <n v="779"/>
    <x v="0"/>
    <s v="HBAN"/>
    <x v="709"/>
    <x v="3"/>
    <s v="Major Banks"/>
    <s v="$14.37B"/>
    <n v="14370000000"/>
    <n v="753.77"/>
    <n v="17.11"/>
    <n v="127250873"/>
    <d v="2023-11-01T00:00:00"/>
    <s v="Complete"/>
    <m/>
  </r>
  <r>
    <s v="kiredaleln"/>
    <s v="tinyurl.com"/>
    <s v="Koral"/>
    <s v="Iredale"/>
    <s v="Female"/>
    <s v="Female"/>
    <s v="203.131.102.148"/>
    <s v="190.29.255.244"/>
    <n v="780"/>
    <n v="780"/>
    <x v="1"/>
    <s v="LEN.B"/>
    <x v="710"/>
    <x v="10"/>
    <s v="Homebuilding"/>
    <s v="N/A"/>
    <n v="0"/>
    <n v="352.75"/>
    <n v="18.079999999999998"/>
    <n v="192443961"/>
    <d v="2022-02-11T00:00:00"/>
    <s v="Missing"/>
    <m/>
  </r>
  <r>
    <s v="bleavoldlo"/>
    <s v="ebay.co.uk"/>
    <s v="Benji"/>
    <s v="Leavold"/>
    <s v="Male"/>
    <s v="Male"/>
    <s v="26.51.111.69"/>
    <s v="239.197.57.83"/>
    <n v="781"/>
    <n v="781"/>
    <x v="1"/>
    <s v="AWI"/>
    <x v="711"/>
    <x v="5"/>
    <s v="Plastic Products"/>
    <s v="$2.35B"/>
    <n v="2350000000"/>
    <n v="1293.3499999999999"/>
    <n v="-3.66"/>
    <n v="118409783"/>
    <d v="2020-03-27T00:00:00"/>
    <s v="Complete"/>
    <m/>
  </r>
  <r>
    <s v="rlagadulp"/>
    <s v="phpbb.com"/>
    <s v="Rachele"/>
    <s v="Lagadu"/>
    <s v="Female"/>
    <s v="Female"/>
    <s v="63.225.207.101"/>
    <s v="83.132.35.12"/>
    <n v="782"/>
    <n v="782"/>
    <x v="0"/>
    <s v="FANH"/>
    <x v="583"/>
    <x v="3"/>
    <s v="Specialty Insurers"/>
    <s v="$554.47M"/>
    <n v="554470000"/>
    <n v="221.27"/>
    <n v="-13.31"/>
    <n v="116663972"/>
    <d v="2025-03-22T00:00:00"/>
    <s v="Complete"/>
    <m/>
  </r>
  <r>
    <s v="spythonlq"/>
    <s v="friendfeed.com"/>
    <s v="Scott"/>
    <s v="Python"/>
    <s v="Male"/>
    <s v="Male"/>
    <s v="130.42.142.22"/>
    <s v="122.46.67.172"/>
    <n v="783"/>
    <n v="783"/>
    <x v="1"/>
    <s v="HGV"/>
    <x v="712"/>
    <x v="6"/>
    <s v="Hotels/Resorts"/>
    <s v="$3.62B"/>
    <n v="3620000000"/>
    <n v="1074.24"/>
    <n v="15.44"/>
    <n v="149088095"/>
    <d v="2025-07-25T00:00:00"/>
    <s v="Complete"/>
    <m/>
  </r>
  <r>
    <s v="byouseflr"/>
    <s v="yelp.com"/>
    <s v="Brandtr"/>
    <s v="Yousef"/>
    <s v="Male"/>
    <s v="Male"/>
    <s v="72.237.100.125"/>
    <s v="38.78.90.150"/>
    <n v="784"/>
    <n v="784"/>
    <x v="0"/>
    <s v="NEO"/>
    <x v="713"/>
    <x v="0"/>
    <s v="Precision Instruments"/>
    <s v="$650.54M"/>
    <n v="650540000"/>
    <n v="1307.52"/>
    <n v="7.29"/>
    <n v="110050616"/>
    <d v="2020-07-31T00:00:00"/>
    <s v="Complete"/>
    <m/>
  </r>
  <r>
    <s v="bchancels"/>
    <s v="homestead.com"/>
    <s v="Benedick"/>
    <s v="Chance"/>
    <s v="Genderfluid"/>
    <s v="Other"/>
    <s v="140.216.189.130"/>
    <s v="157.25.91.76"/>
    <n v="785"/>
    <n v="785"/>
    <x v="0"/>
    <s v="ARGX"/>
    <x v="714"/>
    <x v="0"/>
    <s v="Biotechnology: Biological Products (No Diagnostic Substances)"/>
    <s v="$420.47M"/>
    <n v="420470000"/>
    <n v="497.19"/>
    <n v="3.08"/>
    <n v="159270158"/>
    <d v="2021-10-06T00:00:00"/>
    <s v="Complete"/>
    <m/>
  </r>
  <r>
    <s v="smarlt"/>
    <s v="ftc.gov"/>
    <s v="Saunderson"/>
    <s v="Mar"/>
    <s v="Male"/>
    <s v="Male"/>
    <s v="77.164.215.174"/>
    <s v="220.144.152.102"/>
    <n v="786"/>
    <n v="786"/>
    <x v="1"/>
    <s v="HY"/>
    <x v="715"/>
    <x v="1"/>
    <s v="ConstructioN/Ag Equipment/Trucks"/>
    <s v="$1.23B"/>
    <n v="1230000000"/>
    <n v="1822.38"/>
    <n v="16.48"/>
    <n v="61370690"/>
    <d v="2021-06-19T00:00:00"/>
    <s v="Complete"/>
    <m/>
  </r>
  <r>
    <s v="rwillislu"/>
    <s v="freewebs.com"/>
    <s v="Rudolph"/>
    <s v="Willis"/>
    <s v="Male"/>
    <s v="Male"/>
    <s v="166.158.111.103"/>
    <s v="93.144.176.10"/>
    <n v="787"/>
    <n v="787"/>
    <x v="1"/>
    <s v="AWF"/>
    <x v="716"/>
    <x v="2"/>
    <s v="N/A"/>
    <s v="$1.11B"/>
    <n v="1110000000"/>
    <n v="603.64"/>
    <n v="-4.57"/>
    <n v="61221156"/>
    <d v="2026-04-29T00:00:00"/>
    <s v="Missing"/>
    <m/>
  </r>
  <r>
    <s v="dcissenlv"/>
    <s v="github.io"/>
    <s v="Delphinia"/>
    <s v="Cissen"/>
    <s v="Female"/>
    <s v="Female"/>
    <s v="132.119.91.132"/>
    <s v="85.36.109.208"/>
    <n v="788"/>
    <n v="788"/>
    <x v="0"/>
    <s v="WSTL"/>
    <x v="717"/>
    <x v="8"/>
    <s v="Telecommunications Equipment"/>
    <s v="$10.72M"/>
    <n v="10720000"/>
    <n v="1435.63"/>
    <n v="-14.41"/>
    <n v="95021260"/>
    <d v="2026-04-21T00:00:00"/>
    <s v="Complete"/>
    <m/>
  </r>
  <r>
    <s v="pkemetzlw"/>
    <s v="taobao.com"/>
    <s v="Pia"/>
    <s v="Kemetz"/>
    <s v="Female"/>
    <s v="Female"/>
    <s v="74.108.150.234"/>
    <s v="59.217.38.255"/>
    <n v="789"/>
    <n v="789"/>
    <x v="1"/>
    <s v="HTH"/>
    <x v="718"/>
    <x v="3"/>
    <s v="Major Banks"/>
    <s v="$2.6B"/>
    <n v="2600000000"/>
    <n v="1010.58"/>
    <n v="1.22"/>
    <n v="5916206"/>
    <d v="2024-03-09T00:00:00"/>
    <s v="Complete"/>
    <m/>
  </r>
  <r>
    <s v="brandalstonlx"/>
    <s v="microsoft.com"/>
    <s v="Blondy"/>
    <s v="Randalston"/>
    <s v="Female"/>
    <s v="Female"/>
    <s v="58.183.199.12"/>
    <s v="202.151.73.238"/>
    <n v="790"/>
    <n v="790"/>
    <x v="0"/>
    <s v="GNCA"/>
    <x v="719"/>
    <x v="0"/>
    <s v="Biotechnology: Biological Products (No Diagnostic Substances)"/>
    <s v="$155.64M"/>
    <n v="155640000"/>
    <n v="726.7"/>
    <n v="-10.98"/>
    <n v="49327291"/>
    <d v="2020-05-20T00:00:00"/>
    <s v="Complete"/>
    <m/>
  </r>
  <r>
    <s v="vbernlily"/>
    <s v="godaddy.com"/>
    <s v="Valida"/>
    <s v="Bernli"/>
    <s v="Female"/>
    <s v="Female"/>
    <s v="222.243.229.195"/>
    <s v="88.187.124.74"/>
    <n v="791"/>
    <n v="791"/>
    <x v="1"/>
    <s v="BST"/>
    <x v="720"/>
    <x v="2"/>
    <s v="N/A"/>
    <s v="$503.27M"/>
    <n v="503270000"/>
    <n v="1153.57"/>
    <n v="-13.01"/>
    <n v="132098055"/>
    <d v="2022-08-10T00:00:00"/>
    <s v="Missing"/>
    <m/>
  </r>
  <r>
    <s v="msibleylz"/>
    <s v="skype.com"/>
    <s v="Marc"/>
    <s v="Sibley"/>
    <s v="Male"/>
    <s v="Male"/>
    <s v="25.79.223.38"/>
    <s v="89.232.154.10"/>
    <n v="792"/>
    <n v="792"/>
    <x v="1"/>
    <s v="TTC"/>
    <x v="721"/>
    <x v="1"/>
    <s v="Tools/Hardware"/>
    <s v="$7.81B"/>
    <n v="7810000000"/>
    <n v="452.49"/>
    <n v="-13.08"/>
    <n v="186777362"/>
    <d v="2026-03-04T00:00:00"/>
    <s v="Complete"/>
    <m/>
  </r>
  <r>
    <s v="apapierzm0"/>
    <s v="purevolume.com"/>
    <s v="Ad"/>
    <s v="Papierz"/>
    <s v="Male"/>
    <s v="Male"/>
    <s v="80.168.213.128"/>
    <s v="42.188.39.125"/>
    <n v="793"/>
    <n v="793"/>
    <x v="0"/>
    <s v="CTXS"/>
    <x v="722"/>
    <x v="4"/>
    <s v="Computer Software: Prepackaged Software"/>
    <s v="$12.08B"/>
    <n v="12080000000"/>
    <n v="742.09"/>
    <n v="-8.59"/>
    <n v="192067608"/>
    <d v="2025-11-13T00:00:00"/>
    <s v="Complete"/>
    <m/>
  </r>
  <r>
    <s v="daronstamm1"/>
    <s v="storify.com"/>
    <s v="Dore"/>
    <s v="Aronstam"/>
    <s v="Female"/>
    <s v="Female"/>
    <s v="74.201.119.170"/>
    <s v="234.85.225.106"/>
    <n v="794"/>
    <n v="794"/>
    <x v="1"/>
    <s v="AVT"/>
    <x v="124"/>
    <x v="5"/>
    <s v="Electronic Components"/>
    <s v="$4.82B"/>
    <n v="4820000000"/>
    <n v="1930.85"/>
    <n v="9.61"/>
    <n v="144980722"/>
    <d v="2020-03-08T00:00:00"/>
    <s v="Complete"/>
    <m/>
  </r>
  <r>
    <s v="asurcombem2"/>
    <s v="answers.com"/>
    <s v="Ailina"/>
    <s v="Surcombe"/>
    <s v="Genderqueer"/>
    <s v="Other"/>
    <s v="163.87.12.64"/>
    <s v="79.194.134.176"/>
    <n v="795"/>
    <n v="795"/>
    <x v="0"/>
    <s v="LMIA"/>
    <x v="723"/>
    <x v="1"/>
    <s v="Military/Government/Technical"/>
    <s v="$191.03M"/>
    <n v="191030000"/>
    <n v="628.95000000000005"/>
    <n v="-3.59"/>
    <n v="105000067"/>
    <d v="2020-09-06T00:00:00"/>
    <s v="Complete"/>
    <m/>
  </r>
  <r>
    <s v="rpringleym3"/>
    <s v="nationalgeographic.com"/>
    <s v="Rosemaria"/>
    <s v="Pringley"/>
    <s v="Female"/>
    <s v="Female"/>
    <s v="30.66.227.251"/>
    <s v="193.83.128.6"/>
    <n v="796"/>
    <n v="796"/>
    <x v="0"/>
    <s v="FBZ"/>
    <x v="724"/>
    <x v="2"/>
    <s v="N/A"/>
    <s v="$25.39M"/>
    <n v="25390000"/>
    <n v="1841.03"/>
    <n v="-15.17"/>
    <n v="29840246"/>
    <d v="2020-02-26T00:00:00"/>
    <s v="Missing"/>
    <m/>
  </r>
  <r>
    <s v="shakeworthm4"/>
    <s v="fda.gov"/>
    <s v="Skye"/>
    <s v="Hakeworth"/>
    <s v="Male"/>
    <s v="Male"/>
    <s v="77.191.209.182"/>
    <s v="160.189.119.11"/>
    <n v="797"/>
    <n v="797"/>
    <x v="1"/>
    <s v="FCE.A"/>
    <x v="407"/>
    <x v="2"/>
    <s v="N/A"/>
    <s v="N/A"/>
    <n v="0"/>
    <n v="1318.08"/>
    <n v="1.92"/>
    <n v="137272262"/>
    <d v="2024-01-08T00:00:00"/>
    <s v="Missing"/>
    <m/>
  </r>
  <r>
    <s v="mtomlettm5"/>
    <s v="1und1.de"/>
    <s v="Marchall"/>
    <s v="Tomlett"/>
    <s v="Male"/>
    <s v="Male"/>
    <s v="133.114.63.229"/>
    <s v="26.185.180.64"/>
    <n v="798"/>
    <n v="798"/>
    <x v="1"/>
    <s v="LYV"/>
    <x v="725"/>
    <x v="6"/>
    <s v="Services-Misc. Amusement &amp; Recreation"/>
    <s v="$7.49B"/>
    <n v="7490000000"/>
    <n v="1520.89"/>
    <n v="-19.22"/>
    <n v="189273624"/>
    <d v="2020-04-08T00:00:00"/>
    <s v="Complete"/>
    <m/>
  </r>
  <r>
    <s v="afackneym6"/>
    <s v="dedecms.com"/>
    <s v="Abraham"/>
    <s v="Fackney"/>
    <s v="Non-binary"/>
    <s v="Other"/>
    <s v="28.163.234.9"/>
    <s v="74.75.44.46"/>
    <n v="799"/>
    <n v="799"/>
    <x v="0"/>
    <s v="FTW"/>
    <x v="726"/>
    <x v="2"/>
    <s v="N/A"/>
    <s v="$3.5M"/>
    <n v="3500000"/>
    <n v="144.63999999999999"/>
    <n v="-5.82"/>
    <n v="96654690"/>
    <d v="2025-12-19T00:00:00"/>
    <s v="Missing"/>
    <m/>
  </r>
  <r>
    <s v="rsarsonsm7"/>
    <s v="chicagotribune.com"/>
    <s v="Rickie"/>
    <s v="Sarsons"/>
    <s v="Female"/>
    <s v="Female"/>
    <s v="139.14.17.60"/>
    <s v="85.241.20.105"/>
    <n v="800"/>
    <n v="800"/>
    <x v="1"/>
    <s v="TRU"/>
    <x v="727"/>
    <x v="3"/>
    <s v="Finance: Consumer Services"/>
    <s v="$7.93B"/>
    <n v="7930000000"/>
    <n v="865.54"/>
    <n v="5.7"/>
    <n v="179799430"/>
    <d v="2025-05-14T00:00:00"/>
    <s v="Complete"/>
    <m/>
  </r>
  <r>
    <s v="mhowseleem8"/>
    <s v="epa.gov"/>
    <s v="Mirna"/>
    <s v="Howselee"/>
    <s v="Female"/>
    <s v="Female"/>
    <s v="58.250.6.88"/>
    <s v="198.222.225.78"/>
    <n v="801"/>
    <n v="801"/>
    <x v="0"/>
    <s v="IDXX"/>
    <x v="460"/>
    <x v="0"/>
    <s v="Biotechnology: In Vitro &amp; In Vivo Diagnostic Substances"/>
    <s v="$14.16B"/>
    <n v="14160000000"/>
    <n v="594.46"/>
    <n v="-10.19"/>
    <n v="162778870"/>
    <d v="2020-11-17T00:00:00"/>
    <s v="Complete"/>
    <m/>
  </r>
  <r>
    <s v="cleipoldm9"/>
    <s v="wired.com"/>
    <s v="Cicely"/>
    <s v="Leipold"/>
    <s v="Female"/>
    <s v="Female"/>
    <s v="251.153.93.203"/>
    <s v="219.90.188.132"/>
    <n v="802"/>
    <n v="802"/>
    <x v="1"/>
    <s v="ABR^A"/>
    <x v="728"/>
    <x v="2"/>
    <s v="N/A"/>
    <s v="N/A"/>
    <n v="0"/>
    <n v="1484.57"/>
    <n v="-2.42"/>
    <n v="19573183"/>
    <d v="2022-10-13T00:00:00"/>
    <s v="Missing"/>
    <m/>
  </r>
  <r>
    <s v="mknivettma"/>
    <s v="google.de"/>
    <s v="Maren"/>
    <s v="Knivett"/>
    <s v="Female"/>
    <s v="Female"/>
    <s v="110.141.136.17"/>
    <s v="73.108.160.48"/>
    <n v="803"/>
    <n v="803"/>
    <x v="0"/>
    <s v="NDLS"/>
    <x v="729"/>
    <x v="6"/>
    <s v="Restaurants"/>
    <s v="$154.07M"/>
    <n v="154070000"/>
    <n v="1971.44"/>
    <n v="-8.84"/>
    <n v="109048564"/>
    <d v="2024-04-18T00:00:00"/>
    <s v="Complete"/>
    <m/>
  </r>
  <r>
    <s v="cswashmb"/>
    <s v="ning.com"/>
    <s v="Chuck"/>
    <s v="Swash"/>
    <s v="Male"/>
    <s v="Male"/>
    <s v="97.85.174.7"/>
    <s v="112.59.254.11"/>
    <n v="804"/>
    <n v="804"/>
    <x v="0"/>
    <s v="COWN"/>
    <x v="730"/>
    <x v="3"/>
    <s v="Investment Bankers/Brokers/Service"/>
    <s v="$475.98M"/>
    <n v="475980000"/>
    <n v="970.98"/>
    <n v="17.239999999999998"/>
    <n v="82703777"/>
    <d v="2026-02-20T00:00:00"/>
    <s v="Complete"/>
    <m/>
  </r>
  <r>
    <s v="mmcgahymc"/>
    <s v="reddit.com"/>
    <s v="Madelon"/>
    <s v="McGahy"/>
    <s v="Female"/>
    <s v="Female"/>
    <s v="45.26.135.131"/>
    <s v="136.91.227.219"/>
    <n v="805"/>
    <n v="805"/>
    <x v="0"/>
    <s v="PSTI"/>
    <x v="731"/>
    <x v="0"/>
    <s v="Biotechnology: Biological Products (No Diagnostic Substances)"/>
    <s v="$121.38M"/>
    <n v="121380000"/>
    <n v="863.67"/>
    <n v="-1.4"/>
    <n v="99272902"/>
    <d v="2023-12-07T00:00:00"/>
    <s v="Complete"/>
    <m/>
  </r>
  <r>
    <s v="ekiellormd"/>
    <s v="uol.com.br"/>
    <s v="Ede"/>
    <s v="Kiellor"/>
    <s v="Female"/>
    <s v="Female"/>
    <s v="208.245.178.36"/>
    <s v="164.67.195.204"/>
    <n v="806"/>
    <n v="806"/>
    <x v="0"/>
    <s v="TSLA"/>
    <x v="732"/>
    <x v="1"/>
    <s v="Auto Manufacturing"/>
    <s v="$61.01B"/>
    <n v="61010000000"/>
    <n v="1306.83"/>
    <n v="-4.37"/>
    <n v="104289787"/>
    <d v="2020-08-07T00:00:00"/>
    <s v="Complete"/>
    <m/>
  </r>
  <r>
    <s v="edillintonme"/>
    <s v="ameblo.jp"/>
    <s v="Erick"/>
    <s v="Dillinton"/>
    <s v="Male"/>
    <s v="Male"/>
    <s v="163.128.50.233"/>
    <s v="116.127.203.184"/>
    <n v="807"/>
    <n v="807"/>
    <x v="1"/>
    <s v="TTP"/>
    <x v="733"/>
    <x v="2"/>
    <s v="N/A"/>
    <s v="$186.31M"/>
    <n v="186310000"/>
    <n v="799.63"/>
    <n v="4.99"/>
    <n v="107079098"/>
    <d v="2022-07-03T00:00:00"/>
    <s v="Missing"/>
    <m/>
  </r>
  <r>
    <s v="oboyackmf"/>
    <s v="topsy.com"/>
    <s v="Osborn"/>
    <s v="Boyack"/>
    <s v="Male"/>
    <s v="Male"/>
    <s v="194.126.157.13"/>
    <s v="184.58.2.239"/>
    <n v="808"/>
    <n v="808"/>
    <x v="1"/>
    <s v="KAP"/>
    <x v="734"/>
    <x v="2"/>
    <s v="N/A"/>
    <s v="N/A"/>
    <n v="0"/>
    <n v="217.39"/>
    <n v="13.12"/>
    <n v="58163787"/>
    <d v="2022-10-17T00:00:00"/>
    <s v="Missing"/>
    <m/>
  </r>
  <r>
    <s v="rpaddickmg"/>
    <s v="google.it"/>
    <s v="Reynold"/>
    <s v="Paddick"/>
    <s v="Male"/>
    <s v="Male"/>
    <s v="132.25.72.155"/>
    <s v="126.42.231.15"/>
    <n v="809"/>
    <n v="809"/>
    <x v="0"/>
    <s v="RKDA"/>
    <x v="735"/>
    <x v="10"/>
    <s v="Agricultural Chemicals"/>
    <s v="$26.03M"/>
    <n v="26030000"/>
    <n v="211.97"/>
    <n v="16.05"/>
    <n v="69233070"/>
    <d v="2024-01-14T00:00:00"/>
    <s v="Complete"/>
    <m/>
  </r>
  <r>
    <s v="nsleightmh"/>
    <s v="yellowbook.com"/>
    <s v="Nedda"/>
    <s v="Sleight"/>
    <s v="Female"/>
    <s v="Female"/>
    <s v="12.12.201.125"/>
    <s v="68.134.175.204"/>
    <n v="810"/>
    <n v="810"/>
    <x v="1"/>
    <s v="STAG^B"/>
    <x v="593"/>
    <x v="2"/>
    <s v="N/A"/>
    <s v="N/A"/>
    <n v="0"/>
    <n v="1868.78"/>
    <n v="-19.690000000000001"/>
    <n v="160319136"/>
    <d v="2020-10-02T00:00:00"/>
    <s v="Missing"/>
    <m/>
  </r>
  <r>
    <s v="ecallerymi"/>
    <s v="imgur.com"/>
    <s v="Ettie"/>
    <s v="Callery"/>
    <s v="Female"/>
    <s v="Female"/>
    <s v="207.244.20.58"/>
    <s v="27.91.112.152"/>
    <n v="811"/>
    <n v="811"/>
    <x v="1"/>
    <s v="STAG^C"/>
    <x v="593"/>
    <x v="2"/>
    <s v="N/A"/>
    <s v="N/A"/>
    <n v="0"/>
    <n v="122.25"/>
    <n v="10.86"/>
    <n v="78456800"/>
    <d v="2023-07-30T00:00:00"/>
    <s v="Missing"/>
    <m/>
  </r>
  <r>
    <s v="jcortesemj"/>
    <s v="cornell.edu"/>
    <s v="Jemima"/>
    <s v="Cortese"/>
    <s v="Female"/>
    <s v="Female"/>
    <s v="87.18.165.172"/>
    <s v="75.77.219.169"/>
    <n v="812"/>
    <n v="812"/>
    <x v="0"/>
    <s v="RBCAA"/>
    <x v="736"/>
    <x v="3"/>
    <s v="Major Banks"/>
    <s v="$747.14M"/>
    <n v="747140000"/>
    <n v="1088.17"/>
    <n v="-15.44"/>
    <n v="184202118"/>
    <d v="2022-04-22T00:00:00"/>
    <s v="Complete"/>
    <m/>
  </r>
  <r>
    <s v="clambdenmk"/>
    <s v="sakura.ne.jp"/>
    <s v="Camila"/>
    <s v="Lambden"/>
    <s v="Female"/>
    <s v="Female"/>
    <s v="28.202.175.91"/>
    <s v="220.174.39.113"/>
    <n v="813"/>
    <n v="813"/>
    <x v="1"/>
    <s v="HT^C"/>
    <x v="70"/>
    <x v="2"/>
    <s v="N/A"/>
    <s v="N/A"/>
    <n v="0"/>
    <n v="116.57"/>
    <n v="-13.84"/>
    <n v="8058698"/>
    <d v="2026-11-21T00:00:00"/>
    <s v="Missing"/>
    <m/>
  </r>
  <r>
    <s v="ablackwoodml"/>
    <s v="technorati.com"/>
    <s v="Andre"/>
    <s v="Blackwood"/>
    <s v="Polygender"/>
    <s v="Other"/>
    <s v="116.105.217.228"/>
    <s v="94.103.15.163"/>
    <n v="814"/>
    <n v="814"/>
    <x v="1"/>
    <s v="AVX"/>
    <x v="737"/>
    <x v="1"/>
    <s v="Electrical Products"/>
    <s v="$2.71B"/>
    <n v="2710000000"/>
    <n v="1606.01"/>
    <n v="19.36"/>
    <n v="115653952"/>
    <d v="2026-03-14T00:00:00"/>
    <s v="Complete"/>
    <m/>
  </r>
  <r>
    <s v="rstockenmm"/>
    <s v="hostgator.com"/>
    <s v="Regen"/>
    <s v="Stocken"/>
    <s v="Male"/>
    <s v="Male"/>
    <s v="163.181.29.112"/>
    <s v="238.157.121.192"/>
    <n v="815"/>
    <n v="815"/>
    <x v="0"/>
    <s v="OASM"/>
    <x v="738"/>
    <x v="0"/>
    <s v="Major Pharmaceuticals"/>
    <s v="$38.24M"/>
    <n v="38240000"/>
    <n v="1653.65"/>
    <n v="-19.38"/>
    <n v="145093615"/>
    <d v="2022-01-02T00:00:00"/>
    <s v="Complete"/>
    <m/>
  </r>
  <r>
    <s v="mcannavanmn"/>
    <s v="amazon.de"/>
    <s v="Marris"/>
    <s v="Cannavan"/>
    <s v="Female"/>
    <s v="Female"/>
    <s v="73.82.57.208"/>
    <s v="179.35.171.170"/>
    <n v="816"/>
    <n v="816"/>
    <x v="0"/>
    <s v="FLIR"/>
    <x v="739"/>
    <x v="1"/>
    <s v="Industrial Machinery/Components"/>
    <s v="$4.84B"/>
    <n v="4840000000"/>
    <n v="1041.72"/>
    <n v="-1.61"/>
    <n v="101225766"/>
    <d v="2024-04-19T00:00:00"/>
    <s v="Complete"/>
    <m/>
  </r>
  <r>
    <s v="mwilbermo"/>
    <s v="a8.net"/>
    <s v="Maxy"/>
    <s v="Wilber"/>
    <s v="Male"/>
    <s v="Male"/>
    <s v="201.133.112.155"/>
    <s v="65.242.95.212"/>
    <n v="817"/>
    <n v="817"/>
    <x v="0"/>
    <s v="QCLN"/>
    <x v="740"/>
    <x v="2"/>
    <s v="N/A"/>
    <s v="$61.17M"/>
    <n v="61170000"/>
    <n v="38.47"/>
    <n v="-8.39"/>
    <n v="33953327"/>
    <d v="2024-10-10T00:00:00"/>
    <s v="Missing"/>
    <m/>
  </r>
  <r>
    <s v="graittmp"/>
    <s v="sitemeter.com"/>
    <s v="Gussy"/>
    <s v="Raitt"/>
    <s v="Polygender"/>
    <s v="Other"/>
    <s v="129.113.107.2"/>
    <s v="73.157.121.144"/>
    <n v="818"/>
    <n v="818"/>
    <x v="0"/>
    <s v="VRML"/>
    <x v="741"/>
    <x v="0"/>
    <s v="Biotechnology: In Vitro &amp; In Vivo Diagnostic Substances"/>
    <s v="$95.91M"/>
    <n v="95910000"/>
    <n v="1086.32"/>
    <n v="-12.6"/>
    <n v="196173132"/>
    <d v="2021-12-29T00:00:00"/>
    <s v="Complete"/>
    <m/>
  </r>
  <r>
    <s v="dbosheremq"/>
    <s v="webs.com"/>
    <s v="Dean"/>
    <s v="Boshere"/>
    <s v="Male"/>
    <s v="Male"/>
    <s v="201.213.145.3"/>
    <s v="104.108.24.237"/>
    <n v="819"/>
    <n v="819"/>
    <x v="1"/>
    <s v="TOWR"/>
    <x v="687"/>
    <x v="1"/>
    <s v="Auto Parts:O.E.M."/>
    <s v="$446.68M"/>
    <n v="446680000"/>
    <n v="1742.26"/>
    <n v="-16.53"/>
    <n v="141761616"/>
    <d v="2023-08-29T00:00:00"/>
    <s v="Complete"/>
    <m/>
  </r>
  <r>
    <s v="wairdsmr"/>
    <s v="marketwatch.com"/>
    <s v="Winny"/>
    <s v="Airds"/>
    <s v="Male"/>
    <s v="Male"/>
    <s v="34.177.28.219"/>
    <s v="98.201.84.97"/>
    <n v="820"/>
    <n v="820"/>
    <x v="0"/>
    <s v="CEVA"/>
    <x v="742"/>
    <x v="4"/>
    <s v="Semiconductors"/>
    <s v="$979.59M"/>
    <n v="979590000"/>
    <n v="1038.69"/>
    <n v="-19.63"/>
    <n v="69164409"/>
    <d v="2024-05-03T00:00:00"/>
    <s v="Complete"/>
    <m/>
  </r>
  <r>
    <s v="pelionms"/>
    <s v="bravesites.com"/>
    <s v="Phaedra"/>
    <s v="Elion"/>
    <s v="Female"/>
    <s v="Female"/>
    <s v="189.229.34.108"/>
    <s v="239.171.114.31"/>
    <n v="821"/>
    <n v="821"/>
    <x v="1"/>
    <s v="KIM"/>
    <x v="743"/>
    <x v="6"/>
    <s v="Real Estate Investment Trusts"/>
    <s v="$7.87B"/>
    <n v="7870000000"/>
    <n v="1833.95"/>
    <n v="1.66"/>
    <n v="152474132"/>
    <d v="2024-03-16T00:00:00"/>
    <s v="Complete"/>
    <m/>
  </r>
  <r>
    <s v="byewmanmt"/>
    <s v="theguardian.com"/>
    <s v="Bronnie"/>
    <s v="Yewman"/>
    <s v="Male"/>
    <s v="Male"/>
    <s v="7.96.215.78"/>
    <s v="149.14.159.194"/>
    <n v="822"/>
    <n v="822"/>
    <x v="0"/>
    <s v="FTXL"/>
    <x v="744"/>
    <x v="2"/>
    <s v="N/A"/>
    <s v="$21.58M"/>
    <n v="21580000"/>
    <n v="295.05"/>
    <n v="-13.71"/>
    <n v="129680111"/>
    <d v="2020-02-15T00:00:00"/>
    <s v="Missing"/>
    <m/>
  </r>
  <r>
    <s v="bbrimblecombmu"/>
    <s v="nationalgeographic.com"/>
    <s v="Burt"/>
    <s v="Brimblecomb"/>
    <s v="Male"/>
    <s v="Male"/>
    <s v="202.245.142.53"/>
    <s v="29.143.9.101"/>
    <n v="823"/>
    <n v="823"/>
    <x v="0"/>
    <s v="CIVB"/>
    <x v="745"/>
    <x v="3"/>
    <s v="Major Banks"/>
    <s v="$204.1M"/>
    <n v="204100000"/>
    <n v="1350.51"/>
    <n v="0.52"/>
    <n v="72202401"/>
    <d v="2024-10-10T00:00:00"/>
    <s v="Complete"/>
    <m/>
  </r>
  <r>
    <s v="aantoschmv"/>
    <s v="123-reg.co.uk"/>
    <s v="Ardeen"/>
    <s v="Antosch"/>
    <s v="Female"/>
    <s v="Female"/>
    <s v="134.19.55.83"/>
    <s v="191.104.169.209"/>
    <n v="824"/>
    <n v="824"/>
    <x v="1"/>
    <s v="GM"/>
    <x v="746"/>
    <x v="1"/>
    <s v="Auto Manufacturing"/>
    <s v="$51.8B"/>
    <n v="51800000000"/>
    <n v="1017.45"/>
    <n v="-16.739999999999998"/>
    <n v="195335370"/>
    <d v="2020-12-11T00:00:00"/>
    <s v="Complete"/>
    <m/>
  </r>
  <r>
    <s v="lcottumw"/>
    <s v="zdnet.com"/>
    <s v="Lindi"/>
    <s v="Cottu"/>
    <s v="Female"/>
    <s v="Female"/>
    <s v="84.187.7.127"/>
    <s v="220.64.64.47"/>
    <n v="825"/>
    <n v="825"/>
    <x v="0"/>
    <s v="AUDC"/>
    <x v="747"/>
    <x v="8"/>
    <s v="Telecommunications Equipment"/>
    <s v="$203.22M"/>
    <n v="203220000"/>
    <n v="1352.66"/>
    <n v="-1.81"/>
    <n v="138377358"/>
    <d v="2026-09-22T00:00:00"/>
    <s v="Complete"/>
    <m/>
  </r>
  <r>
    <s v="tthompkinsmx"/>
    <s v="paypal.com"/>
    <s v="Tull"/>
    <s v="Thompkins"/>
    <s v="Agender"/>
    <s v="Other"/>
    <s v="191.11.211.234"/>
    <s v="206.74.114.222"/>
    <n v="826"/>
    <n v="826"/>
    <x v="0"/>
    <s v="FDUS"/>
    <x v="748"/>
    <x v="2"/>
    <s v="N/A"/>
    <s v="$383.58M"/>
    <n v="383580000"/>
    <n v="128.63999999999999"/>
    <n v="-6.15"/>
    <n v="195706053"/>
    <d v="2025-11-05T00:00:00"/>
    <s v="Missing"/>
    <m/>
  </r>
  <r>
    <s v="sboykettmy"/>
    <s v="cam.ac.uk"/>
    <s v="Sherri"/>
    <s v="Boykett"/>
    <s v="Agender"/>
    <s v="Other"/>
    <s v="116.34.69.90"/>
    <s v="118.251.180.153"/>
    <n v="827"/>
    <n v="827"/>
    <x v="0"/>
    <s v="BNTCW"/>
    <x v="749"/>
    <x v="0"/>
    <s v="Major Pharmaceuticals"/>
    <s v="N/A"/>
    <n v="0"/>
    <n v="347.43"/>
    <n v="-1.0900000000000001"/>
    <n v="68181179"/>
    <d v="2025-02-17T00:00:00"/>
    <s v="Missing"/>
    <m/>
  </r>
  <r>
    <s v="jriccimz"/>
    <s v="nifty.com"/>
    <s v="Jacqueline"/>
    <s v="Ricci"/>
    <s v="Female"/>
    <s v="Female"/>
    <s v="55.162.243.51"/>
    <s v="213.195.112.95"/>
    <n v="828"/>
    <n v="828"/>
    <x v="0"/>
    <s v="XLNX"/>
    <x v="750"/>
    <x v="4"/>
    <s v="Semiconductors"/>
    <s v="$16.06B"/>
    <n v="16059999999.999998"/>
    <n v="91.54"/>
    <n v="-10.029999999999999"/>
    <n v="6474807"/>
    <d v="2026-01-08T00:00:00"/>
    <s v="Complete"/>
    <m/>
  </r>
  <r>
    <s v="maddicottn0"/>
    <s v="nytimes.com"/>
    <s v="Marcellina"/>
    <s v="Addicott"/>
    <s v="Bigender"/>
    <s v="Other"/>
    <s v="52.111.161.150"/>
    <s v="188.245.123.206"/>
    <n v="829"/>
    <n v="829"/>
    <x v="1"/>
    <s v="CHA"/>
    <x v="751"/>
    <x v="8"/>
    <s v="Telecommunications Equipment"/>
    <s v="$39.48B"/>
    <n v="39480000000"/>
    <n v="798.77"/>
    <n v="-9.4"/>
    <n v="192746371"/>
    <d v="2026-05-08T00:00:00"/>
    <s v="Complete"/>
    <m/>
  </r>
  <r>
    <s v="csonnenscheinn1"/>
    <s v="archive.org"/>
    <s v="Corly"/>
    <s v="Sonnenschein"/>
    <s v="Female"/>
    <s v="Female"/>
    <s v="223.101.60.194"/>
    <s v="124.180.231.74"/>
    <n v="830"/>
    <n v="830"/>
    <x v="0"/>
    <s v="GSOL"/>
    <x v="752"/>
    <x v="6"/>
    <s v="Advertising"/>
    <s v="$488.08M"/>
    <n v="488080000"/>
    <n v="1262.03"/>
    <n v="8.44"/>
    <n v="128980645"/>
    <d v="2021-03-17T00:00:00"/>
    <s v="Complete"/>
    <m/>
  </r>
  <r>
    <s v="ncharvillen2"/>
    <s v="arstechnica.com"/>
    <s v="Norbie"/>
    <s v="Charville"/>
    <s v="Polygender"/>
    <s v="Other"/>
    <s v="9.54.97.117"/>
    <s v="46.147.204.54"/>
    <n v="831"/>
    <n v="831"/>
    <x v="1"/>
    <s v="VLY"/>
    <x v="753"/>
    <x v="3"/>
    <s v="Major Banks"/>
    <s v="$3.11B"/>
    <n v="3110000000"/>
    <n v="1451.88"/>
    <n v="-0.35"/>
    <n v="64449089"/>
    <d v="2020-06-28T00:00:00"/>
    <s v="Complete"/>
    <m/>
  </r>
  <r>
    <s v="mbonhann3"/>
    <s v="blog.com"/>
    <s v="Missie"/>
    <s v="Bonhan"/>
    <s v="Female"/>
    <s v="Female"/>
    <s v="45.88.160.157"/>
    <s v="77.147.97.151"/>
    <n v="832"/>
    <n v="832"/>
    <x v="1"/>
    <s v="ETW"/>
    <x v="754"/>
    <x v="2"/>
    <s v="N/A"/>
    <s v="$1.22B"/>
    <n v="1220000000"/>
    <n v="1663.87"/>
    <n v="-13.61"/>
    <n v="166642107"/>
    <d v="2024-12-24T00:00:00"/>
    <s v="Missing"/>
    <m/>
  </r>
  <r>
    <s v="fhoyn4"/>
    <s v="archive.org"/>
    <s v="Francklin"/>
    <s v="Hoy"/>
    <s v="Polygender"/>
    <s v="Other"/>
    <s v="208.42.167.51"/>
    <s v="108.81.141.0"/>
    <n v="833"/>
    <n v="833"/>
    <x v="1"/>
    <s v="SGF"/>
    <x v="755"/>
    <x v="2"/>
    <s v="N/A"/>
    <s v="$84.33M"/>
    <n v="84330000"/>
    <n v="1177.97"/>
    <n v="2.3199999999999998"/>
    <n v="72730141"/>
    <d v="2023-08-13T00:00:00"/>
    <s v="Missing"/>
    <m/>
  </r>
  <r>
    <s v="akidneyn5"/>
    <s v="time.com"/>
    <s v="Augy"/>
    <s v="Kidney"/>
    <s v="Male"/>
    <s v="Male"/>
    <s v="162.117.96.145"/>
    <s v="34.41.78.255"/>
    <n v="834"/>
    <n v="834"/>
    <x v="0"/>
    <s v="CORE"/>
    <x v="756"/>
    <x v="5"/>
    <s v="Food Distributors"/>
    <s v="$1.59B"/>
    <n v="1590000000"/>
    <n v="509.79"/>
    <n v="18.440000000000001"/>
    <n v="17418492"/>
    <d v="2024-01-06T00:00:00"/>
    <s v="Complete"/>
    <m/>
  </r>
  <r>
    <s v="dbremingn6"/>
    <s v="cargocollective.com"/>
    <s v="Dasha"/>
    <s v="Breming"/>
    <s v="Female"/>
    <s v="Female"/>
    <s v="209.204.135.249"/>
    <s v="93.38.228.80"/>
    <n v="835"/>
    <n v="835"/>
    <x v="1"/>
    <s v="WLK"/>
    <x v="757"/>
    <x v="10"/>
    <s v="Major Chemicals"/>
    <s v="$8.21B"/>
    <n v="8210000000.000001"/>
    <n v="794.76"/>
    <n v="17.170000000000002"/>
    <n v="31024257"/>
    <d v="2020-03-14T00:00:00"/>
    <s v="Complete"/>
    <m/>
  </r>
  <r>
    <s v="mbunstonn7"/>
    <s v="tiny.cc"/>
    <s v="Meaghan"/>
    <s v="Bunston"/>
    <s v="Female"/>
    <s v="Female"/>
    <s v="154.186.232.11"/>
    <s v="99.118.142.238"/>
    <n v="836"/>
    <n v="836"/>
    <x v="0"/>
    <s v="MAUI"/>
    <x v="758"/>
    <x v="2"/>
    <s v="N/A"/>
    <s v="$1.23M"/>
    <n v="1230000"/>
    <n v="1732.83"/>
    <n v="18.329999999999998"/>
    <n v="192101900"/>
    <d v="2021-03-21T00:00:00"/>
    <s v="Missing"/>
    <m/>
  </r>
  <r>
    <s v="lphettisn8"/>
    <s v="canalblog.com"/>
    <s v="Lars"/>
    <s v="Phettis"/>
    <s v="Male"/>
    <s v="Male"/>
    <s v="147.112.108.162"/>
    <s v="173.52.108.94"/>
    <n v="837"/>
    <n v="837"/>
    <x v="1"/>
    <s v="CSTM"/>
    <x v="539"/>
    <x v="10"/>
    <s v="Metal Fabrications"/>
    <s v="$702.12M"/>
    <n v="702120000"/>
    <n v="1723.54"/>
    <n v="-14.72"/>
    <n v="826473"/>
    <d v="2020-02-16T00:00:00"/>
    <s v="Complete"/>
    <m/>
  </r>
  <r>
    <s v="abiglyn9"/>
    <s v="flickr.com"/>
    <s v="Augustine"/>
    <s v="Bigly"/>
    <s v="Male"/>
    <s v="Male"/>
    <s v="74.20.39.147"/>
    <s v="111.144.170.230"/>
    <n v="838"/>
    <n v="838"/>
    <x v="1"/>
    <s v="NRT"/>
    <x v="759"/>
    <x v="9"/>
    <s v="Oil &amp; Gas Production"/>
    <s v="$61.21M"/>
    <n v="61210000"/>
    <n v="815.79"/>
    <n v="-5.19"/>
    <n v="161381844"/>
    <d v="2026-05-15T00:00:00"/>
    <s v="Complete"/>
    <m/>
  </r>
  <r>
    <s v="fgrishakinna"/>
    <s v="bloglovin.com"/>
    <s v="Franny"/>
    <s v="Grishakin"/>
    <s v="Male"/>
    <s v="Male"/>
    <s v="95.144.153.16"/>
    <s v="21.255.134.157"/>
    <n v="839"/>
    <n v="839"/>
    <x v="0"/>
    <s v="CPSH"/>
    <x v="760"/>
    <x v="1"/>
    <s v="Building Materials"/>
    <s v="$15.84M"/>
    <n v="15840000"/>
    <n v="1792.09"/>
    <n v="11.5"/>
    <n v="28804976"/>
    <d v="2021-01-01T00:00:00"/>
    <s v="Complete"/>
    <m/>
  </r>
  <r>
    <s v="ddominettinb"/>
    <s v="exblog.jp"/>
    <s v="Denny"/>
    <s v="Dominetti"/>
    <s v="Male"/>
    <s v="Male"/>
    <s v="117.201.173.8"/>
    <s v="158.204.14.68"/>
    <n v="840"/>
    <n v="840"/>
    <x v="1"/>
    <s v="WAIR"/>
    <x v="761"/>
    <x v="1"/>
    <s v="Wholesale Distributors"/>
    <s v="$1B"/>
    <n v="1000000000"/>
    <n v="217.07"/>
    <n v="16.55"/>
    <n v="134358732"/>
    <d v="2020-07-28T00:00:00"/>
    <s v="Complete"/>
    <m/>
  </r>
  <r>
    <s v="rtribenc"/>
    <s v="nbcnews.com"/>
    <s v="Rawley"/>
    <s v="Tribe"/>
    <s v="Male"/>
    <s v="Male"/>
    <s v="37.26.36.237"/>
    <s v="145.50.87.192"/>
    <n v="841"/>
    <n v="841"/>
    <x v="0"/>
    <s v="FSAM"/>
    <x v="369"/>
    <x v="3"/>
    <s v="Investment Managers"/>
    <s v="$172.02M"/>
    <n v="172020000"/>
    <n v="870.49"/>
    <n v="11.1"/>
    <n v="198344344"/>
    <d v="2023-10-16T00:00:00"/>
    <s v="Complete"/>
    <m/>
  </r>
  <r>
    <s v="kantoszewskind"/>
    <s v="mlb.com"/>
    <s v="Kristian"/>
    <s v="Antoszewski"/>
    <s v="Male"/>
    <s v="Male"/>
    <s v="118.36.167.126"/>
    <s v="162.104.164.247"/>
    <n v="842"/>
    <n v="842"/>
    <x v="0"/>
    <s v="CLNE"/>
    <x v="762"/>
    <x v="8"/>
    <s v="Natural Gas Distribution"/>
    <s v="$380.76M"/>
    <n v="380760000"/>
    <n v="1138.17"/>
    <n v="-19.39"/>
    <n v="179353963"/>
    <d v="2026-08-31T00:00:00"/>
    <s v="Complete"/>
    <m/>
  </r>
  <r>
    <s v="pfaugheyne"/>
    <s v="scribd.com"/>
    <s v="Philbert"/>
    <s v="Faughey"/>
    <s v="Male"/>
    <s v="Male"/>
    <s v="196.23.229.59"/>
    <s v="170.97.97.41"/>
    <n v="843"/>
    <n v="843"/>
    <x v="1"/>
    <s v="ZBK"/>
    <x v="594"/>
    <x v="3"/>
    <s v="Major Banks"/>
    <s v="N/A"/>
    <n v="0"/>
    <n v="915.81"/>
    <n v="14.51"/>
    <n v="49388220"/>
    <d v="2022-09-28T00:00:00"/>
    <s v="Missing"/>
    <m/>
  </r>
  <r>
    <s v="mkretchmernf"/>
    <s v="g.co"/>
    <s v="Mord"/>
    <s v="Kretchmer"/>
    <s v="Male"/>
    <s v="Male"/>
    <s v="79.1.114.130"/>
    <s v="98.46.71.129"/>
    <n v="844"/>
    <n v="844"/>
    <x v="1"/>
    <s v="BF.A"/>
    <x v="763"/>
    <x v="2"/>
    <s v="N/A"/>
    <s v="N/A"/>
    <n v="0"/>
    <n v="1903.83"/>
    <n v="-5.75"/>
    <n v="27504328"/>
    <d v="2024-12-08T00:00:00"/>
    <s v="Missing"/>
    <m/>
  </r>
  <r>
    <s v="alegisterng"/>
    <s v="vistaprint.com"/>
    <s v="Agnese"/>
    <s v="Legister"/>
    <s v="Female"/>
    <s v="Female"/>
    <s v="91.2.134.200"/>
    <s v="160.106.30.23"/>
    <n v="845"/>
    <n v="845"/>
    <x v="0"/>
    <s v="PPSI"/>
    <x v="764"/>
    <x v="11"/>
    <s v="Electrical Products"/>
    <s v="$56.68M"/>
    <n v="56680000"/>
    <n v="183.61"/>
    <n v="-12.94"/>
    <n v="11371365"/>
    <d v="2026-05-26T00:00:00"/>
    <s v="Complete"/>
    <m/>
  </r>
  <r>
    <s v="sroomnh"/>
    <s v="answers.com"/>
    <s v="Shanna"/>
    <s v="Room"/>
    <s v="Female"/>
    <s v="Female"/>
    <s v="97.210.252.236"/>
    <s v="91.74.137.67"/>
    <n v="846"/>
    <n v="846"/>
    <x v="0"/>
    <s v="NH"/>
    <x v="765"/>
    <x v="4"/>
    <s v="EDP Services"/>
    <s v="$434.35M"/>
    <n v="434350000"/>
    <n v="674.23"/>
    <n v="-18.239999999999998"/>
    <n v="40624881"/>
    <d v="2025-08-04T00:00:00"/>
    <s v="Complete"/>
    <m/>
  </r>
  <r>
    <s v="dfiginni"/>
    <s v="surveymonkey.com"/>
    <s v="Darbie"/>
    <s v="Figin"/>
    <s v="Female"/>
    <s v="Female"/>
    <s v="101.255.106.244"/>
    <s v="11.201.17.171"/>
    <n v="847"/>
    <n v="847"/>
    <x v="1"/>
    <s v="TRCO"/>
    <x v="766"/>
    <x v="6"/>
    <s v="Broadcasting"/>
    <s v="$3.57B"/>
    <n v="3570000000"/>
    <n v="1472.36"/>
    <n v="12.14"/>
    <n v="73795516"/>
    <d v="2023-08-11T00:00:00"/>
    <s v="Complete"/>
    <m/>
  </r>
  <r>
    <s v="kduckersnj"/>
    <s v="sfgate.com"/>
    <s v="Karlens"/>
    <s v="Duckers"/>
    <s v="Male"/>
    <s v="Male"/>
    <s v="145.31.9.24"/>
    <s v="173.240.211.24"/>
    <n v="848"/>
    <n v="848"/>
    <x v="0"/>
    <s v="DRAM"/>
    <x v="767"/>
    <x v="4"/>
    <s v="Electronic Components"/>
    <s v="$23.54M"/>
    <n v="23540000"/>
    <n v="1363.97"/>
    <n v="5.19"/>
    <n v="49150672"/>
    <d v="2021-04-24T00:00:00"/>
    <s v="Complete"/>
    <m/>
  </r>
  <r>
    <s v="eotridgenk"/>
    <s v="simplemachines.org"/>
    <s v="Evey"/>
    <s v="Otridge"/>
    <s v="Female"/>
    <s v="Female"/>
    <s v="167.138.7.112"/>
    <s v="169.13.65.151"/>
    <n v="849"/>
    <n v="849"/>
    <x v="0"/>
    <s v="LOPE"/>
    <x v="768"/>
    <x v="6"/>
    <s v="Other Consumer Services"/>
    <s v="$3.9B"/>
    <n v="3900000000"/>
    <n v="875.59"/>
    <n v="-5.12"/>
    <n v="163927118"/>
    <d v="2024-01-27T00:00:00"/>
    <s v="Complete"/>
    <m/>
  </r>
  <r>
    <s v="irumensnl"/>
    <s v="columbia.edu"/>
    <s v="Iosep"/>
    <s v="Rumens"/>
    <s v="Male"/>
    <s v="Male"/>
    <s v="248.60.71.74"/>
    <s v="47.143.230.75"/>
    <n v="850"/>
    <n v="850"/>
    <x v="1"/>
    <s v="GTT"/>
    <x v="769"/>
    <x v="8"/>
    <s v="Telecommunications Equipment"/>
    <s v="$1.35B"/>
    <n v="1350000000"/>
    <n v="1230.55"/>
    <n v="-17.079999999999998"/>
    <n v="44945486"/>
    <d v="2025-01-29T00:00:00"/>
    <s v="Complete"/>
    <m/>
  </r>
  <r>
    <s v="lfiridolfinm"/>
    <s v="google.pl"/>
    <s v="Leslie"/>
    <s v="Firidolfi"/>
    <s v="Female"/>
    <s v="Female"/>
    <s v="183.100.156.26"/>
    <s v="75.237.181.53"/>
    <n v="851"/>
    <n v="851"/>
    <x v="1"/>
    <s v="AJRD"/>
    <x v="770"/>
    <x v="1"/>
    <s v="Military/Government/Technical"/>
    <s v="$1.55B"/>
    <n v="1550000000"/>
    <n v="363.38"/>
    <n v="-14.88"/>
    <n v="33577830"/>
    <d v="2024-10-14T00:00:00"/>
    <s v="Complete"/>
    <m/>
  </r>
  <r>
    <s v="hbuxsynn"/>
    <s v="histats.com"/>
    <s v="Hilliard"/>
    <s v="Buxsy"/>
    <s v="Male"/>
    <s v="Male"/>
    <s v="213.203.80.200"/>
    <s v="12.149.93.83"/>
    <n v="852"/>
    <n v="852"/>
    <x v="0"/>
    <s v="DGRW"/>
    <x v="771"/>
    <x v="2"/>
    <s v="N/A"/>
    <s v="$1.45B"/>
    <n v="1450000000"/>
    <n v="374.12"/>
    <n v="8.8699999999999992"/>
    <n v="106416632"/>
    <d v="2021-12-26T00:00:00"/>
    <s v="Missing"/>
    <m/>
  </r>
  <r>
    <s v="lfanthomeno"/>
    <s v="t.co"/>
    <s v="Lyon"/>
    <s v="Fanthome"/>
    <s v="Male"/>
    <s v="Male"/>
    <s v="101.230.163.5"/>
    <s v="73.248.134.165"/>
    <n v="853"/>
    <n v="853"/>
    <x v="0"/>
    <s v="PLSE"/>
    <x v="772"/>
    <x v="0"/>
    <s v="Medical/Dental Instruments"/>
    <s v="$494.01M"/>
    <n v="494010000"/>
    <n v="373.3"/>
    <n v="12.64"/>
    <n v="94857848"/>
    <d v="2021-05-11T00:00:00"/>
    <s v="Complete"/>
    <m/>
  </r>
  <r>
    <s v="smellernp"/>
    <s v="1und1.de"/>
    <s v="Sinclare"/>
    <s v="Meller"/>
    <s v="Male"/>
    <s v="Male"/>
    <s v="95.48.39.137"/>
    <s v="74.83.243.130"/>
    <n v="854"/>
    <n v="854"/>
    <x v="1"/>
    <s v="EGN"/>
    <x v="773"/>
    <x v="9"/>
    <s v="Oil &amp; Gas Production"/>
    <s v="$5.04B"/>
    <n v="5040000000"/>
    <n v="1565.39"/>
    <n v="17.28"/>
    <n v="135682758"/>
    <d v="2023-07-20T00:00:00"/>
    <s v="Complete"/>
    <m/>
  </r>
  <r>
    <s v="jzecchinq"/>
    <s v="go.com"/>
    <s v="Johan"/>
    <s v="Zecchi"/>
    <s v="Male"/>
    <s v="Male"/>
    <s v="120.84.176.136"/>
    <s v="109.60.76.104"/>
    <n v="855"/>
    <n v="855"/>
    <x v="0"/>
    <s v="LNDC"/>
    <x v="774"/>
    <x v="10"/>
    <s v="Major Chemicals"/>
    <s v="$390.46M"/>
    <n v="390460000"/>
    <n v="1554.04"/>
    <n v="-15.92"/>
    <n v="152045147"/>
    <d v="2022-09-21T00:00:00"/>
    <s v="Complete"/>
    <m/>
  </r>
  <r>
    <s v="lsherebrookenr"/>
    <s v="psu.edu"/>
    <s v="Lockwood"/>
    <s v="Sherebrooke"/>
    <s v="Male"/>
    <s v="Male"/>
    <s v="68.188.49.25"/>
    <s v="170.198.133.88"/>
    <n v="856"/>
    <n v="856"/>
    <x v="1"/>
    <s v="AGM^A"/>
    <x v="775"/>
    <x v="2"/>
    <s v="N/A"/>
    <s v="N/A"/>
    <n v="0"/>
    <n v="704.81"/>
    <n v="9.14"/>
    <n v="141924326"/>
    <d v="2022-01-26T00:00:00"/>
    <s v="Missing"/>
    <m/>
  </r>
  <r>
    <s v="aembrans"/>
    <s v="slashdot.org"/>
    <s v="Alasteir"/>
    <s v="Embra"/>
    <s v="Bigender"/>
    <s v="Other"/>
    <s v="69.92.114.43"/>
    <s v="12.161.115.213"/>
    <n v="857"/>
    <n v="857"/>
    <x v="0"/>
    <s v="AIQ"/>
    <x v="776"/>
    <x v="0"/>
    <s v="Medical Specialities"/>
    <s v="$143.51M"/>
    <n v="143510000"/>
    <n v="280.06"/>
    <n v="-6.8"/>
    <n v="20586395"/>
    <d v="2021-02-13T00:00:00"/>
    <s v="Complete"/>
    <m/>
  </r>
  <r>
    <s v="jkipplingnt"/>
    <s v="github.com"/>
    <s v="Jarad"/>
    <s v="Kippling"/>
    <s v="Male"/>
    <s v="Male"/>
    <s v="191.136.126.131"/>
    <s v="190.177.138.202"/>
    <n v="858"/>
    <n v="858"/>
    <x v="0"/>
    <s v="HBP"/>
    <x v="777"/>
    <x v="6"/>
    <s v="RETAIL: Building Materials"/>
    <s v="$177.28M"/>
    <n v="177280000"/>
    <n v="713.04"/>
    <n v="-17.18"/>
    <n v="193555028"/>
    <d v="2020-01-07T00:00:00"/>
    <s v="Complete"/>
    <m/>
  </r>
  <r>
    <s v="ipountainnu"/>
    <s v="omniture.com"/>
    <s v="Ignazio"/>
    <s v="Pountain"/>
    <s v="Male"/>
    <s v="Male"/>
    <s v="133.154.240.3"/>
    <s v="26.153.145.12"/>
    <n v="859"/>
    <n v="859"/>
    <x v="1"/>
    <s v="COH"/>
    <x v="402"/>
    <x v="5"/>
    <s v="Apparel"/>
    <s v="$13B"/>
    <n v="13000000000"/>
    <n v="431.15"/>
    <n v="-12.22"/>
    <n v="79222164"/>
    <d v="2020-07-17T00:00:00"/>
    <s v="Complete"/>
    <m/>
  </r>
  <r>
    <s v="mjinkinnv"/>
    <s v="house.gov"/>
    <s v="Mellicent"/>
    <s v="Jinkin"/>
    <s v="Female"/>
    <s v="Female"/>
    <s v="94.125.233.31"/>
    <s v="82.223.145.122"/>
    <n v="860"/>
    <n v="860"/>
    <x v="1"/>
    <s v="ROG"/>
    <x v="778"/>
    <x v="10"/>
    <s v="Major Chemicals"/>
    <s v="$1.92B"/>
    <n v="1920000000"/>
    <n v="1303.8599999999999"/>
    <n v="-2.4500000000000002"/>
    <n v="102200843"/>
    <d v="2025-03-12T00:00:00"/>
    <s v="Complete"/>
    <m/>
  </r>
  <r>
    <s v="cstaintonnw"/>
    <s v="woothemes.com"/>
    <s v="Ced"/>
    <s v="Stainton"/>
    <s v="Male"/>
    <s v="Male"/>
    <s v="141.55.134.232"/>
    <s v="197.150.137.197"/>
    <n v="861"/>
    <n v="861"/>
    <x v="0"/>
    <s v="CINF"/>
    <x v="779"/>
    <x v="3"/>
    <s v="Property-Casualty Insurers"/>
    <s v="$12.15B"/>
    <n v="12150000000"/>
    <n v="1960.97"/>
    <n v="13.26"/>
    <n v="9262415"/>
    <d v="2023-03-01T00:00:00"/>
    <s v="Complete"/>
    <m/>
  </r>
  <r>
    <s v="frosellininx"/>
    <s v="qq.com"/>
    <s v="Frank"/>
    <s v="Rosellini"/>
    <s v="Female"/>
    <s v="Female"/>
    <s v="194.253.89.208"/>
    <s v="246.152.141.217"/>
    <n v="862"/>
    <n v="862"/>
    <x v="1"/>
    <s v="MC"/>
    <x v="780"/>
    <x v="3"/>
    <s v="Investment Managers"/>
    <s v="$1.01B"/>
    <n v="1010000000"/>
    <n v="1989.62"/>
    <n v="4.9800000000000004"/>
    <n v="159608070"/>
    <d v="2020-12-29T00:00:00"/>
    <s v="Complete"/>
    <m/>
  </r>
  <r>
    <s v="rkitchinhamny"/>
    <s v="hugedomains.com"/>
    <s v="Renado"/>
    <s v="Kitchinham"/>
    <s v="Male"/>
    <s v="Male"/>
    <s v="193.215.179.21"/>
    <s v="159.126.35.38"/>
    <n v="863"/>
    <n v="863"/>
    <x v="1"/>
    <s v="BANC^E"/>
    <x v="781"/>
    <x v="2"/>
    <s v="N/A"/>
    <s v="N/A"/>
    <n v="0"/>
    <n v="1632.92"/>
    <n v="-15.77"/>
    <n v="175711804"/>
    <d v="2023-12-17T00:00:00"/>
    <s v="Missing"/>
    <m/>
  </r>
  <r>
    <s v="rsircombnz"/>
    <s v="hao123.com"/>
    <s v="Ray"/>
    <s v="Sircomb"/>
    <s v="Female"/>
    <s v="Female"/>
    <s v="69.221.249.62"/>
    <s v="79.215.99.247"/>
    <n v="864"/>
    <n v="864"/>
    <x v="1"/>
    <s v="TER"/>
    <x v="782"/>
    <x v="1"/>
    <s v="Electrical Products"/>
    <s v="$6.47B"/>
    <n v="6470000000"/>
    <n v="639.78"/>
    <n v="10.029999999999999"/>
    <n v="115077564"/>
    <d v="2021-08-06T00:00:00"/>
    <s v="Complete"/>
    <m/>
  </r>
  <r>
    <s v="amcmonnieso0"/>
    <s v="alexa.com"/>
    <s v="Agace"/>
    <s v="McMonnies"/>
    <s v="Female"/>
    <s v="Female"/>
    <s v="245.176.228.83"/>
    <s v="175.159.182.26"/>
    <n v="865"/>
    <n v="865"/>
    <x v="1"/>
    <s v="STT^G"/>
    <x v="584"/>
    <x v="2"/>
    <s v="N/A"/>
    <s v="N/A"/>
    <n v="0"/>
    <n v="494.06"/>
    <n v="-12.93"/>
    <n v="170563065"/>
    <d v="2020-11-26T00:00:00"/>
    <s v="Missing"/>
    <m/>
  </r>
  <r>
    <s v="niglesiaso1"/>
    <s v="moonfruit.com"/>
    <s v="Netti"/>
    <s v="Iglesias"/>
    <s v="Female"/>
    <s v="Female"/>
    <s v="153.175.174.179"/>
    <s v="122.70.8.193"/>
    <n v="866"/>
    <n v="866"/>
    <x v="1"/>
    <s v="ASA"/>
    <x v="783"/>
    <x v="2"/>
    <s v="N/A"/>
    <s v="$222.22M"/>
    <n v="222220000"/>
    <n v="262.47000000000003"/>
    <n v="11.19"/>
    <n v="21306884"/>
    <d v="2024-12-06T00:00:00"/>
    <s v="Missing"/>
    <m/>
  </r>
  <r>
    <s v="pfloato2"/>
    <s v="wikia.com"/>
    <s v="Pris"/>
    <s v="Float"/>
    <s v="Genderqueer"/>
    <s v="Other"/>
    <s v="53.144.223.30"/>
    <s v="123.183.61.220"/>
    <n v="867"/>
    <n v="867"/>
    <x v="0"/>
    <s v="TROV"/>
    <x v="784"/>
    <x v="0"/>
    <s v="Biotechnology: Biological Products (No Diagnostic Substances)"/>
    <s v="$29.24M"/>
    <n v="29240000"/>
    <n v="282.5"/>
    <n v="6.99"/>
    <n v="8262791"/>
    <d v="2024-06-03T00:00:00"/>
    <s v="Complete"/>
    <m/>
  </r>
  <r>
    <s v="nahmedo3"/>
    <s v="wikipedia.org"/>
    <s v="Nicolea"/>
    <s v="Ahmed"/>
    <s v="Female"/>
    <s v="Female"/>
    <s v="216.127.6.217"/>
    <s v="96.163.66.126"/>
    <n v="868"/>
    <n v="868"/>
    <x v="0"/>
    <s v="ESGE"/>
    <x v="785"/>
    <x v="2"/>
    <s v="N/A"/>
    <s v="$54.38M"/>
    <n v="54380000"/>
    <n v="675.06"/>
    <n v="-14.86"/>
    <n v="67075423"/>
    <d v="2020-11-15T00:00:00"/>
    <s v="Missing"/>
    <m/>
  </r>
  <r>
    <s v="ichrismaso4"/>
    <s v="ameblo.jp"/>
    <s v="Inness"/>
    <s v="Chrismas"/>
    <s v="Male"/>
    <s v="Male"/>
    <s v="239.107.81.46"/>
    <s v="49.110.79.124"/>
    <n v="869"/>
    <n v="869"/>
    <x v="0"/>
    <s v="MSCC"/>
    <x v="786"/>
    <x v="4"/>
    <s v="Semiconductors"/>
    <s v="$5.55B"/>
    <n v="5550000000"/>
    <n v="547.35"/>
    <n v="4.1100000000000003"/>
    <n v="185629195"/>
    <d v="2023-03-11T00:00:00"/>
    <s v="Complete"/>
    <m/>
  </r>
  <r>
    <s v="tbeckmanno5"/>
    <s v="ibm.com"/>
    <s v="Tallou"/>
    <s v="Beckmann"/>
    <s v="Female"/>
    <s v="Female"/>
    <s v="10.104.1.96"/>
    <s v="85.69.195.243"/>
    <n v="870"/>
    <n v="870"/>
    <x v="0"/>
    <s v="COVS"/>
    <x v="787"/>
    <x v="4"/>
    <s v="EDP Services"/>
    <s v="$99.1M"/>
    <n v="99100000"/>
    <n v="516.02"/>
    <n v="15.99"/>
    <n v="157735280"/>
    <d v="2025-12-24T00:00:00"/>
    <s v="Complete"/>
    <m/>
  </r>
  <r>
    <s v="piacovoloo6"/>
    <s v="pbs.org"/>
    <s v="Putnam"/>
    <s v="Iacovolo"/>
    <s v="Male"/>
    <s v="Male"/>
    <s v="126.248.134.144"/>
    <s v="119.13.38.225"/>
    <n v="871"/>
    <n v="871"/>
    <x v="0"/>
    <s v="AAOI"/>
    <x v="788"/>
    <x v="4"/>
    <s v="Semiconductors"/>
    <s v="$1.19B"/>
    <n v="1190000000"/>
    <n v="1004.37"/>
    <n v="-15.76"/>
    <n v="152696845"/>
    <d v="2025-03-03T00:00:00"/>
    <s v="Complete"/>
    <m/>
  </r>
  <r>
    <s v="iportchmoutho7"/>
    <s v="devhub.com"/>
    <s v="Ibbie"/>
    <s v="Portchmouth"/>
    <s v="Female"/>
    <s v="Female"/>
    <s v="187.107.132.194"/>
    <s v="36.85.221.79"/>
    <n v="872"/>
    <n v="872"/>
    <x v="1"/>
    <s v="PES"/>
    <x v="789"/>
    <x v="9"/>
    <s v="Oil &amp; Gas Production"/>
    <s v="$158.42M"/>
    <n v="158420000"/>
    <n v="1638.78"/>
    <n v="-8.3800000000000008"/>
    <n v="101081091"/>
    <d v="2026-09-08T00:00:00"/>
    <s v="Complete"/>
    <m/>
  </r>
  <r>
    <s v="ebeverleyo8"/>
    <s v="cnet.com"/>
    <s v="Ewart"/>
    <s v="Beverley"/>
    <s v="Male"/>
    <s v="Male"/>
    <s v="227.59.223.103"/>
    <s v="192.91.25.102"/>
    <n v="873"/>
    <n v="873"/>
    <x v="1"/>
    <s v="KEP"/>
    <x v="790"/>
    <x v="8"/>
    <s v="Electric Utilities: Central"/>
    <s v="$24.6B"/>
    <n v="24600000000"/>
    <n v="208.83"/>
    <n v="2.4700000000000002"/>
    <n v="20901070"/>
    <d v="2024-06-02T00:00:00"/>
    <s v="Complete"/>
    <m/>
  </r>
  <r>
    <s v="phenriqueto9"/>
    <s v="last.fm"/>
    <s v="Paddie"/>
    <s v="Henriquet"/>
    <s v="Male"/>
    <s v="Male"/>
    <s v="6.155.101.92"/>
    <s v="253.210.144.46"/>
    <n v="874"/>
    <n v="874"/>
    <x v="1"/>
    <s v="APTS"/>
    <x v="791"/>
    <x v="6"/>
    <s v="Real Estate Investment Trusts"/>
    <s v="$497.06M"/>
    <n v="497060000"/>
    <n v="807.54"/>
    <n v="-14.18"/>
    <n v="64625198"/>
    <d v="2021-11-27T00:00:00"/>
    <s v="Complete"/>
    <m/>
  </r>
  <r>
    <s v="pmitchamoa"/>
    <s v="japanpost.jp"/>
    <s v="Piggy"/>
    <s v="Mitcham"/>
    <s v="Male"/>
    <s v="Male"/>
    <s v="190.24.38.0"/>
    <s v="70.172.29.181"/>
    <n v="875"/>
    <n v="875"/>
    <x v="1"/>
    <s v="KGC"/>
    <x v="792"/>
    <x v="10"/>
    <s v="Precious Metals"/>
    <s v="$5.1B"/>
    <n v="5100000000"/>
    <n v="1041.3900000000001"/>
    <n v="6.73"/>
    <n v="117448272"/>
    <d v="2024-02-07T00:00:00"/>
    <s v="Complete"/>
    <m/>
  </r>
  <r>
    <s v="abridalob"/>
    <s v="shutterfly.com"/>
    <s v="Adelaide"/>
    <s v="Bridal"/>
    <s v="Female"/>
    <s v="Female"/>
    <s v="190.204.120.74"/>
    <s v="161.210.45.81"/>
    <n v="876"/>
    <n v="876"/>
    <x v="0"/>
    <s v="WVVI"/>
    <x v="291"/>
    <x v="5"/>
    <s v="Beverages (Production/Distribution)"/>
    <s v="$40.16M"/>
    <n v="40160000"/>
    <n v="861.45"/>
    <n v="-3.41"/>
    <n v="118623540"/>
    <d v="2024-02-22T00:00:00"/>
    <s v="Complete"/>
    <m/>
  </r>
  <r>
    <s v="rbraybrooksoc"/>
    <s v="pinterest.com"/>
    <s v="Rosemaria"/>
    <s v="Braybrooks"/>
    <s v="Female"/>
    <s v="Female"/>
    <s v="165.30.61.17"/>
    <s v="55.171.211.15"/>
    <n v="877"/>
    <n v="877"/>
    <x v="1"/>
    <s v="GOL"/>
    <x v="793"/>
    <x v="12"/>
    <s v="Air Freight/Delivery Services"/>
    <s v="$6.06B"/>
    <n v="6060000000"/>
    <n v="1180.04"/>
    <n v="11.82"/>
    <n v="113253888"/>
    <d v="2026-06-14T00:00:00"/>
    <s v="Complete"/>
    <m/>
  </r>
  <r>
    <s v="amckeneyod"/>
    <s v="netscape.com"/>
    <s v="Alyosha"/>
    <s v="McKeney"/>
    <s v="Male"/>
    <s v="Male"/>
    <s v="51.158.45.187"/>
    <s v="115.223.249.186"/>
    <n v="878"/>
    <n v="878"/>
    <x v="0"/>
    <s v="ZSAN"/>
    <x v="794"/>
    <x v="0"/>
    <s v="Major Pharmaceuticals"/>
    <s v="$52.53M"/>
    <n v="52530000"/>
    <n v="1241.6400000000001"/>
    <n v="17.93"/>
    <n v="136368142"/>
    <d v="2026-03-19T00:00:00"/>
    <s v="Complete"/>
    <m/>
  </r>
  <r>
    <s v="dpionteroe"/>
    <s v="si.edu"/>
    <s v="Durand"/>
    <s v="Pionter"/>
    <s v="Male"/>
    <s v="Male"/>
    <s v="124.182.51.103"/>
    <s v="162.219.128.145"/>
    <n v="879"/>
    <n v="879"/>
    <x v="1"/>
    <s v="MRIN"/>
    <x v="795"/>
    <x v="4"/>
    <s v="EDP Services"/>
    <s v="$47.31M"/>
    <n v="47310000"/>
    <n v="900.28"/>
    <n v="14.22"/>
    <n v="108267078"/>
    <d v="2023-10-07T00:00:00"/>
    <s v="Complete"/>
    <m/>
  </r>
  <r>
    <s v="edorseyof"/>
    <s v="usa.gov"/>
    <s v="Eugenio"/>
    <s v="Dorsey"/>
    <s v="Male"/>
    <s v="Male"/>
    <s v="34.248.211.195"/>
    <s v="88.32.33.225"/>
    <n v="880"/>
    <n v="880"/>
    <x v="1"/>
    <s v="TSS"/>
    <x v="796"/>
    <x v="7"/>
    <s v="Business Services"/>
    <s v="$10.85B"/>
    <n v="10850000000"/>
    <n v="369.64"/>
    <n v="9.64"/>
    <n v="179504647"/>
    <d v="2026-11-11T00:00:00"/>
    <s v="Complete"/>
    <m/>
  </r>
  <r>
    <s v="cmacrowog"/>
    <s v="360.cn"/>
    <s v="Caldwell"/>
    <s v="Macrow"/>
    <s v="Male"/>
    <s v="Male"/>
    <s v="86.64.99.163"/>
    <s v="84.209.107.231"/>
    <n v="881"/>
    <n v="881"/>
    <x v="1"/>
    <s v="AJG"/>
    <x v="797"/>
    <x v="3"/>
    <s v="Specialty Insurers"/>
    <s v="$10.59B"/>
    <n v="10590000000"/>
    <n v="1302.28"/>
    <n v="17.37"/>
    <n v="189727041"/>
    <d v="2021-12-12T00:00:00"/>
    <s v="Complete"/>
    <m/>
  </r>
  <r>
    <s v="amerwedeoh"/>
    <s v="thetimes.co.uk"/>
    <s v="Alwyn"/>
    <s v="Merwede"/>
    <s v="Agender"/>
    <s v="Other"/>
    <s v="49.158.175.22"/>
    <s v="9.190.83.132"/>
    <n v="882"/>
    <n v="882"/>
    <x v="1"/>
    <s v="CBS"/>
    <x v="798"/>
    <x v="6"/>
    <s v="Broadcasting"/>
    <s v="$25.26B"/>
    <n v="25260000000"/>
    <n v="700.7"/>
    <n v="16.03"/>
    <n v="66754782"/>
    <d v="2025-03-21T00:00:00"/>
    <s v="Complete"/>
    <m/>
  </r>
  <r>
    <s v="hclemotoi"/>
    <s v="washingtonpost.com"/>
    <s v="Halette"/>
    <s v="Clemot"/>
    <s v="Female"/>
    <s v="Female"/>
    <s v="176.137.238.77"/>
    <s v="88.218.97.80"/>
    <n v="883"/>
    <n v="883"/>
    <x v="1"/>
    <s v="GRX^A"/>
    <x v="799"/>
    <x v="2"/>
    <s v="N/A"/>
    <s v="N/A"/>
    <n v="0"/>
    <n v="1381.25"/>
    <n v="3.3"/>
    <n v="6426845"/>
    <d v="2024-03-07T00:00:00"/>
    <s v="Missing"/>
    <m/>
  </r>
  <r>
    <s v="ajuniferoj"/>
    <s v="linkedin.com"/>
    <s v="Ax"/>
    <s v="Junifer"/>
    <s v="Male"/>
    <s v="Male"/>
    <s v="93.14.221.162"/>
    <s v="36.73.66.236"/>
    <n v="884"/>
    <n v="884"/>
    <x v="0"/>
    <s v="BBOX"/>
    <x v="800"/>
    <x v="4"/>
    <s v="Computer Communications Equipment"/>
    <s v="$117.47M"/>
    <n v="117470000"/>
    <n v="1341.22"/>
    <n v="-0.22"/>
    <n v="31768594"/>
    <d v="2026-01-08T00:00:00"/>
    <s v="Complete"/>
    <m/>
  </r>
  <r>
    <s v="dmacnairok"/>
    <s v="mozilla.com"/>
    <s v="Dacia"/>
    <s v="MacNair"/>
    <s v="Female"/>
    <s v="Female"/>
    <s v="239.226.89.219"/>
    <s v="100.61.143.59"/>
    <n v="885"/>
    <n v="885"/>
    <x v="1"/>
    <s v="WK"/>
    <x v="801"/>
    <x v="4"/>
    <s v="Computer Software: Prepackaged Software"/>
    <s v="$788.23M"/>
    <n v="788230000"/>
    <n v="1612.04"/>
    <n v="-7.24"/>
    <n v="161870393"/>
    <d v="2025-09-12T00:00:00"/>
    <s v="Complete"/>
    <m/>
  </r>
  <r>
    <s v="skippieol"/>
    <s v="4shared.com"/>
    <s v="Shae"/>
    <s v="Kippie"/>
    <s v="Female"/>
    <s v="Female"/>
    <s v="203.243.180.168"/>
    <s v="222.173.30.29"/>
    <n v="886"/>
    <n v="886"/>
    <x v="0"/>
    <s v="SNSS"/>
    <x v="802"/>
    <x v="0"/>
    <s v="Major Pharmaceuticals"/>
    <s v="$59.23M"/>
    <n v="59230000"/>
    <n v="1385.53"/>
    <n v="-12.94"/>
    <n v="59189495"/>
    <d v="2024-06-07T00:00:00"/>
    <s v="Complete"/>
    <m/>
  </r>
  <r>
    <s v="tturbanom"/>
    <s v="census.gov"/>
    <s v="Tome"/>
    <s v="Turban"/>
    <s v="Male"/>
    <s v="Male"/>
    <s v="141.30.244.161"/>
    <s v="39.166.58.59"/>
    <n v="887"/>
    <n v="887"/>
    <x v="1"/>
    <s v="AWR"/>
    <x v="118"/>
    <x v="8"/>
    <s v="Water Supply"/>
    <s v="$1.83B"/>
    <n v="1830000000"/>
    <n v="1327.37"/>
    <n v="13.73"/>
    <n v="158376047"/>
    <d v="2025-07-01T00:00:00"/>
    <s v="Complete"/>
    <m/>
  </r>
  <r>
    <s v="mpetrosellion"/>
    <s v="eepurl.com"/>
    <s v="Madeline"/>
    <s v="Petroselli"/>
    <s v="Female"/>
    <s v="Female"/>
    <s v="142.31.206.50"/>
    <s v="129.214.182.134"/>
    <n v="888"/>
    <n v="888"/>
    <x v="1"/>
    <s v="MUH"/>
    <x v="803"/>
    <x v="2"/>
    <s v="N/A"/>
    <s v="$180.01M"/>
    <n v="180010000"/>
    <n v="1736.83"/>
    <n v="10.11"/>
    <n v="42752180"/>
    <d v="2020-12-23T00:00:00"/>
    <s v="Missing"/>
    <m/>
  </r>
  <r>
    <s v="cbootymanoo"/>
    <s v="taobao.com"/>
    <s v="Cissy"/>
    <s v="Bootyman"/>
    <s v="Female"/>
    <s v="Female"/>
    <s v="167.48.182.10"/>
    <s v="166.151.60.31"/>
    <n v="889"/>
    <n v="889"/>
    <x v="0"/>
    <s v="STRT"/>
    <x v="804"/>
    <x v="1"/>
    <s v="Auto Parts:O.E.M."/>
    <s v="$121.47M"/>
    <n v="121470000"/>
    <n v="225.62"/>
    <n v="10.7"/>
    <n v="164136831"/>
    <d v="2021-03-26T00:00:00"/>
    <s v="Complete"/>
    <m/>
  </r>
  <r>
    <s v="oschuleop"/>
    <s v="aol.com"/>
    <s v="Orrin"/>
    <s v="Schule"/>
    <s v="Male"/>
    <s v="Male"/>
    <s v="182.125.160.103"/>
    <s v="170.233.200.154"/>
    <n v="890"/>
    <n v="890"/>
    <x v="0"/>
    <s v="DXYN"/>
    <x v="126"/>
    <x v="11"/>
    <s v="Home Furnishings"/>
    <s v="$71.76M"/>
    <n v="71760000"/>
    <n v="1736.1"/>
    <n v="19.399999999999999"/>
    <n v="58872444"/>
    <d v="2026-03-19T00:00:00"/>
    <s v="Complete"/>
    <m/>
  </r>
  <r>
    <s v="kchurchleyoq"/>
    <s v="apple.com"/>
    <s v="Kare"/>
    <s v="Churchley"/>
    <s v="Female"/>
    <s v="Female"/>
    <s v="10.223.209.185"/>
    <s v="249.224.210.72"/>
    <n v="891"/>
    <n v="891"/>
    <x v="1"/>
    <s v="GS^A"/>
    <x v="805"/>
    <x v="2"/>
    <s v="N/A"/>
    <s v="N/A"/>
    <n v="0"/>
    <n v="507.37"/>
    <n v="12.64"/>
    <n v="32229571"/>
    <d v="2023-01-16T00:00:00"/>
    <s v="Missing"/>
    <m/>
  </r>
  <r>
    <s v="fthowesor"/>
    <s v="blog.com"/>
    <s v="Fina"/>
    <s v="Thowes"/>
    <s v="Female"/>
    <s v="Female"/>
    <s v="2.57.202.147"/>
    <s v="164.204.62.6"/>
    <n v="892"/>
    <n v="892"/>
    <x v="0"/>
    <s v="FSBW"/>
    <x v="806"/>
    <x v="3"/>
    <s v="Banks"/>
    <s v="$139.32M"/>
    <n v="139320000"/>
    <n v="1942.87"/>
    <n v="-13.38"/>
    <n v="67896446"/>
    <d v="2020-12-22T00:00:00"/>
    <s v="Complete"/>
    <m/>
  </r>
  <r>
    <s v="ecokeos"/>
    <s v="zimbio.com"/>
    <s v="Emmalee"/>
    <s v="Coke"/>
    <s v="Polygender"/>
    <s v="Other"/>
    <s v="192.151.160.114"/>
    <s v="210.255.106.120"/>
    <n v="893"/>
    <n v="893"/>
    <x v="1"/>
    <s v="HMN"/>
    <x v="807"/>
    <x v="3"/>
    <s v="Property-Casualty Insurers"/>
    <s v="$1.59B"/>
    <n v="1590000000"/>
    <n v="638.09"/>
    <n v="4.96"/>
    <n v="163084809"/>
    <d v="2025-09-13T00:00:00"/>
    <s v="Complete"/>
    <m/>
  </r>
  <r>
    <s v="caaronsonot"/>
    <s v="tuttocitta.it"/>
    <s v="Clayton"/>
    <s v="Aaronson"/>
    <s v="Male"/>
    <s v="Male"/>
    <s v="162.75.171.122"/>
    <s v="187.83.69.124"/>
    <n v="894"/>
    <n v="894"/>
    <x v="1"/>
    <s v="INSW"/>
    <x v="808"/>
    <x v="6"/>
    <s v="Marine Transportation"/>
    <s v="$580.97M"/>
    <n v="580970000"/>
    <n v="1659"/>
    <n v="11.6"/>
    <n v="190821298"/>
    <d v="2023-08-14T00:00:00"/>
    <s v="Complete"/>
    <m/>
  </r>
  <r>
    <s v="torrisou"/>
    <s v="tinypic.com"/>
    <s v="Terri-jo"/>
    <s v="Orris"/>
    <s v="Female"/>
    <s v="Female"/>
    <s v="218.152.170.74"/>
    <s v="189.215.36.229"/>
    <n v="895"/>
    <n v="895"/>
    <x v="1"/>
    <s v="MUA"/>
    <x v="809"/>
    <x v="2"/>
    <s v="N/A"/>
    <s v="$529.78M"/>
    <n v="529780000"/>
    <n v="1603.38"/>
    <n v="-19.93"/>
    <n v="69857657"/>
    <d v="2025-03-25T00:00:00"/>
    <s v="Missing"/>
    <m/>
  </r>
  <r>
    <s v="tbodsworthov"/>
    <s v="friendfeed.com"/>
    <s v="Timothee"/>
    <s v="Bodsworth"/>
    <s v="Male"/>
    <s v="Male"/>
    <s v="205.242.26.97"/>
    <s v="114.133.67.177"/>
    <n v="896"/>
    <n v="896"/>
    <x v="0"/>
    <s v="FMCIU"/>
    <x v="810"/>
    <x v="3"/>
    <s v="Business Services"/>
    <s v="N/A"/>
    <n v="0"/>
    <n v="1129.22"/>
    <n v="-3.78"/>
    <n v="44597164"/>
    <d v="2021-03-01T00:00:00"/>
    <s v="Missing"/>
    <m/>
  </r>
  <r>
    <s v="uyokelow"/>
    <s v="liveinternet.ru"/>
    <s v="Udell"/>
    <s v="Yokel"/>
    <s v="Male"/>
    <s v="Male"/>
    <s v="165.9.148.113"/>
    <s v="70.67.102.15"/>
    <n v="897"/>
    <n v="897"/>
    <x v="1"/>
    <s v="HLT"/>
    <x v="811"/>
    <x v="6"/>
    <s v="Hotels/Resorts"/>
    <s v="$21.7B"/>
    <n v="21700000000"/>
    <n v="1124.3900000000001"/>
    <n v="-11.15"/>
    <n v="131590359"/>
    <d v="2024-05-09T00:00:00"/>
    <s v="Complete"/>
    <m/>
  </r>
  <r>
    <s v="zgarnallox"/>
    <s v="ning.com"/>
    <s v="Zena"/>
    <s v="Garnall"/>
    <s v="Female"/>
    <s v="Female"/>
    <s v="172.251.221.72"/>
    <s v="169.122.252.229"/>
    <n v="898"/>
    <n v="898"/>
    <x v="1"/>
    <s v="RIG"/>
    <x v="812"/>
    <x v="9"/>
    <s v="Oil &amp; Gas Production"/>
    <s v="$3.37B"/>
    <n v="3370000000"/>
    <n v="1951.36"/>
    <n v="5.23"/>
    <n v="100821344"/>
    <d v="2020-10-06T00:00:00"/>
    <s v="Complete"/>
    <m/>
  </r>
  <r>
    <s v="elakeroy"/>
    <s v="xrea.com"/>
    <s v="Ezechiel"/>
    <s v="Laker"/>
    <s v="Male"/>
    <s v="Male"/>
    <s v="9.211.120.32"/>
    <s v="27.19.77.119"/>
    <n v="899"/>
    <n v="899"/>
    <x v="1"/>
    <s v="BTU"/>
    <x v="813"/>
    <x v="9"/>
    <s v="Coal Mining"/>
    <s v="$2.28B"/>
    <n v="2280000000"/>
    <n v="572.04"/>
    <n v="1.67"/>
    <n v="180185781"/>
    <d v="2023-06-26T00:00:00"/>
    <s v="Complete"/>
    <m/>
  </r>
  <r>
    <s v="ldanisoz"/>
    <s v="adobe.com"/>
    <s v="Lesley"/>
    <s v="Danis"/>
    <s v="Female"/>
    <s v="Female"/>
    <s v="152.21.129.26"/>
    <s v="132.36.138.32"/>
    <n v="900"/>
    <n v="900"/>
    <x v="0"/>
    <s v="BCOR"/>
    <x v="444"/>
    <x v="4"/>
    <s v="EDP Services"/>
    <s v="$909.02M"/>
    <n v="909020000"/>
    <n v="509.42"/>
    <n v="4.33"/>
    <n v="96265081"/>
    <d v="2023-09-29T00:00:00"/>
    <s v="Complete"/>
    <m/>
  </r>
  <r>
    <s v="eraddenburyp0"/>
    <s v="people.com.cn"/>
    <s v="Effie"/>
    <s v="Raddenbury"/>
    <s v="Female"/>
    <s v="Female"/>
    <s v="161.114.101.133"/>
    <s v="11.199.45.177"/>
    <n v="901"/>
    <n v="901"/>
    <x v="0"/>
    <s v="KALV"/>
    <x v="704"/>
    <x v="0"/>
    <s v="Major Pharmaceuticals"/>
    <s v="$73.43M"/>
    <n v="73430000"/>
    <n v="212.02"/>
    <n v="-10.45"/>
    <n v="18813225"/>
    <d v="2022-02-22T00:00:00"/>
    <s v="Complete"/>
    <m/>
  </r>
  <r>
    <s v="mjeeksp1"/>
    <s v="home.pl"/>
    <s v="Midge"/>
    <s v="Jeeks"/>
    <s v="Female"/>
    <s v="Female"/>
    <s v="57.176.107.235"/>
    <s v="155.211.150.165"/>
    <n v="902"/>
    <n v="902"/>
    <x v="1"/>
    <s v="CNX"/>
    <x v="814"/>
    <x v="9"/>
    <s v="Coal Mining"/>
    <s v="$3.33B"/>
    <n v="3330000000"/>
    <n v="1550.03"/>
    <n v="-17.39"/>
    <n v="94481245"/>
    <d v="2024-04-01T00:00:00"/>
    <s v="Complete"/>
    <m/>
  </r>
  <r>
    <s v="rraubenheimp2"/>
    <s v="ed.gov"/>
    <s v="Rhonda"/>
    <s v="Raubenheim"/>
    <s v="Female"/>
    <s v="Female"/>
    <s v="187.234.10.107"/>
    <s v="79.97.15.141"/>
    <n v="903"/>
    <n v="903"/>
    <x v="1"/>
    <s v="VEC"/>
    <x v="646"/>
    <x v="6"/>
    <s v="Diversified Commercial Services"/>
    <s v="$340.82M"/>
    <n v="340820000"/>
    <n v="1224.6600000000001"/>
    <n v="-1.89"/>
    <n v="196570599"/>
    <d v="2020-12-25T00:00:00"/>
    <s v="Complete"/>
    <m/>
  </r>
  <r>
    <s v="ncrosswaitep3"/>
    <s v="hp.com"/>
    <s v="Neddy"/>
    <s v="Crosswaite"/>
    <s v="Male"/>
    <s v="Male"/>
    <s v="213.88.69.79"/>
    <s v="15.154.195.177"/>
    <n v="904"/>
    <n v="904"/>
    <x v="1"/>
    <s v="AFSS"/>
    <x v="815"/>
    <x v="3"/>
    <s v="Property-Casualty Insurers"/>
    <s v="N/A"/>
    <n v="0"/>
    <n v="215.01"/>
    <n v="9.2200000000000006"/>
    <n v="76068405"/>
    <d v="2025-10-19T00:00:00"/>
    <s v="Missing"/>
    <m/>
  </r>
  <r>
    <s v="rfeatherstonep4"/>
    <s v="e-recht24.de"/>
    <s v="Rosella"/>
    <s v="Featherstone"/>
    <s v="Female"/>
    <s v="Female"/>
    <s v="108.242.60.231"/>
    <s v="11.119.244.168"/>
    <n v="905"/>
    <n v="905"/>
    <x v="1"/>
    <s v="RH"/>
    <x v="816"/>
    <x v="6"/>
    <s v="Other Specialty Stores"/>
    <s v="$1.74B"/>
    <n v="1740000000"/>
    <n v="885.17"/>
    <n v="-15.05"/>
    <n v="89233610"/>
    <d v="2026-05-29T00:00:00"/>
    <s v="Complete"/>
    <m/>
  </r>
  <r>
    <s v="esherringtonp5"/>
    <s v="csmonitor.com"/>
    <s v="Edita"/>
    <s v="Sherrington"/>
    <s v="Female"/>
    <s v="Female"/>
    <s v="88.234.240.61"/>
    <s v="41.109.187.144"/>
    <n v="906"/>
    <n v="906"/>
    <x v="0"/>
    <s v="NVGN"/>
    <x v="817"/>
    <x v="0"/>
    <s v="Major Pharmaceuticals"/>
    <s v="$16.59M"/>
    <n v="16590000"/>
    <n v="728.44"/>
    <n v="-13.55"/>
    <n v="158395440"/>
    <d v="2025-08-06T00:00:00"/>
    <s v="Complete"/>
    <m/>
  </r>
  <r>
    <s v="sbezleyp6"/>
    <s v="cisco.com"/>
    <s v="Shandra"/>
    <s v="Bezley"/>
    <s v="Female"/>
    <s v="Female"/>
    <s v="90.103.138.85"/>
    <s v="8.78.36.248"/>
    <n v="907"/>
    <n v="907"/>
    <x v="1"/>
    <s v="PSXP"/>
    <x v="818"/>
    <x v="9"/>
    <s v="Natural Gas Distribution"/>
    <s v="$5.04B"/>
    <n v="5040000000"/>
    <n v="526.15"/>
    <n v="15.12"/>
    <n v="47855323"/>
    <d v="2026-09-16T00:00:00"/>
    <s v="Complete"/>
    <m/>
  </r>
  <r>
    <s v="obotlyp7"/>
    <s v="hubpages.com"/>
    <s v="Oran"/>
    <s v="Botly"/>
    <s v="Genderqueer"/>
    <s v="Other"/>
    <s v="15.190.156.54"/>
    <s v="58.90.36.4"/>
    <n v="908"/>
    <n v="908"/>
    <x v="1"/>
    <s v="WHG"/>
    <x v="819"/>
    <x v="3"/>
    <s v="Investment Managers"/>
    <s v="$506.48M"/>
    <n v="506480000"/>
    <n v="324.06"/>
    <n v="-10.18"/>
    <n v="122943557"/>
    <d v="2023-11-10T00:00:00"/>
    <s v="Complete"/>
    <m/>
  </r>
  <r>
    <s v="hbrocktonp8"/>
    <s v="soup.io"/>
    <s v="Hyman"/>
    <s v="Brockton"/>
    <s v="Male"/>
    <s v="Male"/>
    <s v="83.31.56.177"/>
    <s v="176.90.195.74"/>
    <n v="909"/>
    <n v="909"/>
    <x v="0"/>
    <s v="AIRR"/>
    <x v="820"/>
    <x v="2"/>
    <s v="N/A"/>
    <s v="$184.47M"/>
    <n v="184470000"/>
    <n v="658.87"/>
    <n v="-11.35"/>
    <n v="58854810"/>
    <d v="2023-10-01T00:00:00"/>
    <s v="Missing"/>
    <m/>
  </r>
  <r>
    <s v="mhallfordp9"/>
    <s v="over-blog.com"/>
    <s v="Mabel"/>
    <s v="Hallford"/>
    <s v="Female"/>
    <s v="Female"/>
    <s v="174.246.173.174"/>
    <s v="136.220.40.91"/>
    <n v="910"/>
    <n v="910"/>
    <x v="1"/>
    <s v="CLI"/>
    <x v="629"/>
    <x v="6"/>
    <s v="Real Estate Investment Trusts"/>
    <s v="$2.54B"/>
    <n v="2540000000"/>
    <n v="1332.31"/>
    <n v="7.28"/>
    <n v="48575639"/>
    <d v="2020-06-10T00:00:00"/>
    <s v="Complete"/>
    <m/>
  </r>
  <r>
    <s v="dstilliardpa"/>
    <s v="chronoengine.com"/>
    <s v="Dita"/>
    <s v="Stilliard"/>
    <s v="Female"/>
    <s v="Female"/>
    <s v="46.92.86.70"/>
    <s v="102.48.193.113"/>
    <n v="911"/>
    <n v="911"/>
    <x v="0"/>
    <s v="QCLN"/>
    <x v="740"/>
    <x v="2"/>
    <s v="N/A"/>
    <s v="$61.17M"/>
    <n v="61170000"/>
    <n v="57.87"/>
    <n v="15.79"/>
    <n v="10646311"/>
    <d v="2023-05-24T00:00:00"/>
    <s v="Missing"/>
    <m/>
  </r>
  <r>
    <s v="sbaulkpb"/>
    <s v="blogtalkradio.com"/>
    <s v="Sadye"/>
    <s v="Baulk"/>
    <s v="Female"/>
    <s v="Female"/>
    <s v="208.190.12.177"/>
    <s v="220.42.243.151"/>
    <n v="912"/>
    <n v="912"/>
    <x v="1"/>
    <s v="SFUN"/>
    <x v="821"/>
    <x v="4"/>
    <s v="EDP Services"/>
    <s v="$1.54B"/>
    <n v="1540000000"/>
    <n v="870.69"/>
    <n v="-14.19"/>
    <n v="63939802"/>
    <d v="2020-01-27T00:00:00"/>
    <s v="Complete"/>
    <m/>
  </r>
  <r>
    <s v="pcastropc"/>
    <s v="blog.com"/>
    <s v="Pierce"/>
    <s v="Castro"/>
    <s v="Male"/>
    <s v="Male"/>
    <s v="203.173.8.144"/>
    <s v="4.67.8.40"/>
    <n v="913"/>
    <n v="913"/>
    <x v="0"/>
    <s v="PSCH"/>
    <x v="822"/>
    <x v="2"/>
    <s v="N/A"/>
    <s v="$211.28M"/>
    <n v="211280000"/>
    <n v="26.23"/>
    <n v="14.25"/>
    <n v="75956200"/>
    <d v="2020-02-28T00:00:00"/>
    <s v="Missing"/>
    <m/>
  </r>
  <r>
    <s v="smosspd"/>
    <s v="shutterfly.com"/>
    <s v="Salim"/>
    <s v="Moss"/>
    <s v="Male"/>
    <s v="Male"/>
    <s v="155.203.249.188"/>
    <s v="180.61.88.222"/>
    <n v="914"/>
    <n v="914"/>
    <x v="1"/>
    <s v="HOG"/>
    <x v="823"/>
    <x v="5"/>
    <s v="Motor Vehicles"/>
    <s v="$9.71B"/>
    <n v="9710000000"/>
    <n v="743.02"/>
    <n v="-11.2"/>
    <n v="21887241"/>
    <d v="2024-02-02T00:00:00"/>
    <s v="Complete"/>
    <m/>
  </r>
  <r>
    <s v="mrivardpe"/>
    <s v="sohu.com"/>
    <s v="Merv"/>
    <s v="Rivard"/>
    <s v="Male"/>
    <s v="Male"/>
    <s v="241.77.155.66"/>
    <s v="164.235.69.37"/>
    <n v="915"/>
    <n v="915"/>
    <x v="1"/>
    <s v="SMHI"/>
    <x v="824"/>
    <x v="12"/>
    <s v="Marine Transportation"/>
    <s v="N/A"/>
    <n v="0"/>
    <n v="1615.74"/>
    <n v="-10.89"/>
    <n v="19792369"/>
    <d v="2023-07-07T00:00:00"/>
    <s v="Missing"/>
    <m/>
  </r>
  <r>
    <s v="rbrittinpf"/>
    <s v="hibu.com"/>
    <s v="Roldan"/>
    <s v="Brittin"/>
    <s v="Male"/>
    <s v="Male"/>
    <s v="67.65.46.85"/>
    <s v="38.247.72.67"/>
    <n v="916"/>
    <n v="916"/>
    <x v="0"/>
    <s v="THLD"/>
    <x v="825"/>
    <x v="0"/>
    <s v="Major Pharmaceuticals"/>
    <s v="$27.59M"/>
    <n v="27590000"/>
    <n v="1173.9100000000001"/>
    <n v="7.24"/>
    <n v="53593182"/>
    <d v="2024-04-04T00:00:00"/>
    <s v="Complete"/>
    <m/>
  </r>
  <r>
    <s v="jpearminepg"/>
    <s v="ftc.gov"/>
    <s v="Jessica"/>
    <s v="Pearmine"/>
    <s v="Female"/>
    <s v="Female"/>
    <s v="76.235.41.193"/>
    <s v="139.60.213.157"/>
    <n v="917"/>
    <n v="917"/>
    <x v="0"/>
    <s v="WMAR"/>
    <x v="826"/>
    <x v="11"/>
    <s v="Automotive Aftermarket"/>
    <s v="$245.88M"/>
    <n v="245880000"/>
    <n v="1552.9"/>
    <n v="19.350000000000001"/>
    <n v="152404727"/>
    <d v="2024-02-24T00:00:00"/>
    <s v="Complete"/>
    <m/>
  </r>
  <r>
    <s v="gjoontjesph"/>
    <s v="ft.com"/>
    <s v="Goldarina"/>
    <s v="Joontjes"/>
    <s v="Female"/>
    <s v="Female"/>
    <s v="101.240.247.68"/>
    <s v="96.98.232.42"/>
    <n v="918"/>
    <n v="918"/>
    <x v="0"/>
    <s v="CHFC"/>
    <x v="827"/>
    <x v="3"/>
    <s v="Major Banks"/>
    <s v="$3.46B"/>
    <n v="3460000000"/>
    <n v="1795.76"/>
    <n v="-17.79"/>
    <n v="78652342"/>
    <d v="2026-08-31T00:00:00"/>
    <s v="Complete"/>
    <m/>
  </r>
  <r>
    <s v="bsebertpi"/>
    <s v="sina.com.cn"/>
    <s v="Bertram"/>
    <s v="Sebert"/>
    <s v="Male"/>
    <s v="Male"/>
    <s v="59.222.131.19"/>
    <s v="251.26.111.74"/>
    <n v="919"/>
    <n v="919"/>
    <x v="0"/>
    <s v="JYNT"/>
    <x v="828"/>
    <x v="7"/>
    <s v="Multi-Sector Companies"/>
    <s v="$48.27M"/>
    <n v="48270000"/>
    <n v="1729.54"/>
    <n v="1.4"/>
    <n v="136491870"/>
    <d v="2026-01-02T00:00:00"/>
    <s v="Complete"/>
    <m/>
  </r>
  <r>
    <s v="aclairpj"/>
    <s v="constantcontact.com"/>
    <s v="Adolpho"/>
    <s v="Clair"/>
    <s v="Male"/>
    <s v="Male"/>
    <s v="109.242.151.114"/>
    <s v="183.101.218.184"/>
    <n v="920"/>
    <n v="920"/>
    <x v="1"/>
    <s v="TJX"/>
    <x v="829"/>
    <x v="6"/>
    <s v="Clothing/Shoe/Accessory Stores"/>
    <s v="$46.6B"/>
    <n v="46600000000"/>
    <n v="1821.66"/>
    <n v="-13.28"/>
    <n v="104773835"/>
    <d v="2025-03-08T00:00:00"/>
    <s v="Complete"/>
    <m/>
  </r>
  <r>
    <s v="rsherapk"/>
    <s v="umn.edu"/>
    <s v="Rustin"/>
    <s v="Shera"/>
    <s v="Male"/>
    <s v="Male"/>
    <s v="124.12.61.183"/>
    <s v="92.109.181.208"/>
    <n v="921"/>
    <n v="921"/>
    <x v="0"/>
    <s v="IRMD"/>
    <x v="830"/>
    <x v="0"/>
    <s v="Medical/Dental Instruments"/>
    <s v="$92.99M"/>
    <n v="92990000"/>
    <n v="1784.29"/>
    <n v="13.02"/>
    <n v="85969155"/>
    <d v="2025-10-31T00:00:00"/>
    <s v="Complete"/>
    <m/>
  </r>
  <r>
    <s v="yfisonpl"/>
    <s v="vimeo.com"/>
    <s v="Yasmeen"/>
    <s v="Fison"/>
    <s v="Genderfluid"/>
    <s v="Other"/>
    <s v="115.19.212.141"/>
    <s v="147.250.113.217"/>
    <n v="922"/>
    <n v="922"/>
    <x v="0"/>
    <s v="LSCC"/>
    <x v="831"/>
    <x v="4"/>
    <s v="Semiconductors"/>
    <s v="$814.95M"/>
    <n v="814950000"/>
    <n v="1539.07"/>
    <n v="-1.66"/>
    <n v="142644832"/>
    <d v="2025-07-30T00:00:00"/>
    <s v="Complete"/>
    <m/>
  </r>
  <r>
    <s v="wmonnipm"/>
    <s v="hhs.gov"/>
    <s v="Wini"/>
    <s v="Monni"/>
    <s v="Female"/>
    <s v="Female"/>
    <s v="241.39.61.214"/>
    <s v="61.199.90.152"/>
    <n v="923"/>
    <n v="923"/>
    <x v="0"/>
    <s v="KLIC"/>
    <x v="832"/>
    <x v="4"/>
    <s v="Semiconductors"/>
    <s v="$1.46B"/>
    <n v="1460000000"/>
    <n v="1131.27"/>
    <n v="14.11"/>
    <n v="73755560"/>
    <d v="2024-06-15T00:00:00"/>
    <s v="Complete"/>
    <m/>
  </r>
  <r>
    <s v="lhanbidgepn"/>
    <s v="naver.com"/>
    <s v="Leanna"/>
    <s v="Hanbidge"/>
    <s v="Female"/>
    <s v="Female"/>
    <s v="163.58.45.5"/>
    <s v="10.240.79.155"/>
    <n v="924"/>
    <n v="924"/>
    <x v="1"/>
    <s v="MITT"/>
    <x v="833"/>
    <x v="2"/>
    <s v="N/A"/>
    <s v="$518.09M"/>
    <n v="518090000.00000006"/>
    <n v="406.72"/>
    <n v="-8.1999999999999993"/>
    <n v="27401955"/>
    <d v="2024-01-19T00:00:00"/>
    <s v="Missing"/>
    <m/>
  </r>
  <r>
    <s v="uwetwoodpo"/>
    <s v="imdb.com"/>
    <s v="Ulises"/>
    <s v="Wetwood"/>
    <s v="Male"/>
    <s v="Male"/>
    <s v="236.63.147.251"/>
    <s v="107.140.145.205"/>
    <n v="925"/>
    <n v="925"/>
    <x v="0"/>
    <s v="FRAN"/>
    <x v="834"/>
    <x v="6"/>
    <s v="Clothing/Shoe/Accessory Stores"/>
    <s v="$415.04M"/>
    <n v="415040000"/>
    <n v="675.26"/>
    <n v="2.02"/>
    <n v="93437421"/>
    <d v="2026-08-07T00:00:00"/>
    <s v="Complete"/>
    <m/>
  </r>
  <r>
    <s v="csiccombepp"/>
    <s v="usgs.gov"/>
    <s v="Caz"/>
    <s v="Siccombe"/>
    <s v="Agender"/>
    <s v="Other"/>
    <s v="55.160.114.199"/>
    <s v="62.17.43.78"/>
    <n v="926"/>
    <n v="926"/>
    <x v="0"/>
    <s v="SHOS"/>
    <x v="835"/>
    <x v="6"/>
    <s v="Department/Specialty Retail Stores"/>
    <s v="$64.7M"/>
    <n v="64700000"/>
    <n v="857.02"/>
    <n v="5.5"/>
    <n v="52237003"/>
    <d v="2021-12-07T00:00:00"/>
    <s v="Complete"/>
    <m/>
  </r>
  <r>
    <s v="rszapiropq"/>
    <s v="cbc.ca"/>
    <s v="Rustin"/>
    <s v="Szapiro"/>
    <s v="Male"/>
    <s v="Male"/>
    <s v="220.255.69.86"/>
    <s v="120.94.161.253"/>
    <n v="927"/>
    <n v="927"/>
    <x v="0"/>
    <s v="USCR"/>
    <x v="836"/>
    <x v="1"/>
    <s v="Building Materials"/>
    <s v="$1.14B"/>
    <n v="1140000000"/>
    <n v="217.95"/>
    <n v="1.85"/>
    <n v="112844544"/>
    <d v="2021-08-02T00:00:00"/>
    <s v="Complete"/>
    <m/>
  </r>
  <r>
    <s v="gswinepr"/>
    <s v="reference.com"/>
    <s v="Gabriela"/>
    <s v="Swine"/>
    <s v="Female"/>
    <s v="Female"/>
    <s v="52.203.47.184"/>
    <s v="86.158.33.12"/>
    <n v="928"/>
    <n v="928"/>
    <x v="0"/>
    <s v="OXLCN"/>
    <x v="837"/>
    <x v="2"/>
    <s v="N/A"/>
    <s v="$28.04M"/>
    <n v="28040000"/>
    <n v="18.7"/>
    <n v="1.24"/>
    <n v="36234766"/>
    <d v="2025-11-04T00:00:00"/>
    <s v="Missing"/>
    <m/>
  </r>
  <r>
    <s v="lladymanps"/>
    <s v="pinterest.com"/>
    <s v="Lindy"/>
    <s v="Ladyman"/>
    <s v="Polygender"/>
    <s v="Other"/>
    <s v="171.168.45.39"/>
    <s v="104.53.244.81"/>
    <n v="929"/>
    <n v="929"/>
    <x v="1"/>
    <s v="SA"/>
    <x v="838"/>
    <x v="10"/>
    <s v="Precious Metals"/>
    <s v="$559.33M"/>
    <n v="559330000"/>
    <n v="853.9"/>
    <n v="-19.71"/>
    <n v="94625534"/>
    <d v="2022-10-14T00:00:00"/>
    <s v="Complete"/>
    <m/>
  </r>
  <r>
    <s v="mbryerpt"/>
    <s v="sun.com"/>
    <s v="Meredith"/>
    <s v="Bryer"/>
    <s v="Male"/>
    <s v="Male"/>
    <s v="180.200.166.135"/>
    <s v="3.102.128.26"/>
    <n v="930"/>
    <n v="930"/>
    <x v="1"/>
    <s v="NLY^A"/>
    <x v="313"/>
    <x v="2"/>
    <s v="N/A"/>
    <s v="N/A"/>
    <n v="0"/>
    <n v="1929"/>
    <n v="9.58"/>
    <n v="4491478"/>
    <d v="2023-02-18T00:00:00"/>
    <s v="Missing"/>
    <m/>
  </r>
  <r>
    <s v="ijendryspu"/>
    <s v="virginia.edu"/>
    <s v="Ignacio"/>
    <s v="Jendrys"/>
    <s v="Male"/>
    <s v="Male"/>
    <s v="254.184.118.95"/>
    <s v="91.45.156.89"/>
    <n v="931"/>
    <n v="931"/>
    <x v="0"/>
    <s v="CASM"/>
    <x v="839"/>
    <x v="0"/>
    <s v="Medical/Dental Instruments"/>
    <s v="$28.79M"/>
    <n v="28790000"/>
    <n v="973.69"/>
    <n v="-9.3800000000000008"/>
    <n v="136146681"/>
    <d v="2024-11-27T00:00:00"/>
    <s v="Complete"/>
    <m/>
  </r>
  <r>
    <s v="mfloyedpv"/>
    <s v="linkedin.com"/>
    <s v="Michaeline"/>
    <s v="Floyed"/>
    <s v="Female"/>
    <s v="Female"/>
    <s v="156.131.28.235"/>
    <s v="71.13.26.184"/>
    <n v="932"/>
    <n v="932"/>
    <x v="1"/>
    <s v="CSTM"/>
    <x v="539"/>
    <x v="10"/>
    <s v="Metal Fabrications"/>
    <s v="$702.12M"/>
    <n v="702120000"/>
    <n v="1279.55"/>
    <n v="3.71"/>
    <n v="169243236"/>
    <d v="2023-01-21T00:00:00"/>
    <s v="Complete"/>
    <m/>
  </r>
  <r>
    <s v="rcurrypw"/>
    <s v="amazonaws.com"/>
    <s v="Ruprecht"/>
    <s v="Curry"/>
    <s v="Male"/>
    <s v="Male"/>
    <s v="159.39.109.101"/>
    <s v="240.234.90.242"/>
    <n v="933"/>
    <n v="933"/>
    <x v="1"/>
    <s v="FI"/>
    <x v="608"/>
    <x v="9"/>
    <s v="Oilfield Services/Equipment"/>
    <s v="$1.9B"/>
    <n v="1900000000"/>
    <n v="499.46"/>
    <n v="-7.23"/>
    <n v="188483918"/>
    <d v="2026-04-28T00:00:00"/>
    <s v="Complete"/>
    <m/>
  </r>
  <r>
    <s v="aperchepx"/>
    <s v="telegraph.co.uk"/>
    <s v="Amara"/>
    <s v="Perche"/>
    <s v="Female"/>
    <s v="Female"/>
    <s v="244.23.10.157"/>
    <s v="169.121.171.181"/>
    <n v="934"/>
    <n v="934"/>
    <x v="0"/>
    <s v="KGJI"/>
    <x v="840"/>
    <x v="7"/>
    <s v="Business Services"/>
    <s v="$127.42M"/>
    <n v="127420000"/>
    <n v="171.01"/>
    <n v="12.81"/>
    <n v="4738869"/>
    <d v="2022-03-24T00:00:00"/>
    <s v="Complete"/>
    <m/>
  </r>
  <r>
    <s v="acaveaupy"/>
    <s v="state.tx.us"/>
    <s v="Andrey"/>
    <s v="Caveau"/>
    <s v="Male"/>
    <s v="Male"/>
    <s v="129.78.197.235"/>
    <s v="75.122.243.206"/>
    <n v="935"/>
    <n v="935"/>
    <x v="0"/>
    <s v="CTRE"/>
    <x v="841"/>
    <x v="6"/>
    <s v="Real Estate Investment Trusts"/>
    <s v="$1.4B"/>
    <n v="1400000000"/>
    <n v="27.22"/>
    <n v="-1.48"/>
    <n v="103690005"/>
    <d v="2024-03-23T00:00:00"/>
    <s v="Complete"/>
    <m/>
  </r>
  <r>
    <s v="bcarrettpz"/>
    <s v="abc.net.au"/>
    <s v="Brandice"/>
    <s v="Carrett"/>
    <s v="Female"/>
    <s v="Female"/>
    <s v="82.190.52.122"/>
    <s v="207.251.107.50"/>
    <n v="936"/>
    <n v="936"/>
    <x v="1"/>
    <s v="BFAM"/>
    <x v="842"/>
    <x v="7"/>
    <s v="Other Consumer Services"/>
    <s v="$4.61B"/>
    <n v="4610000000"/>
    <n v="516.16"/>
    <n v="-1.95"/>
    <n v="87044033"/>
    <d v="2021-09-13T00:00:00"/>
    <s v="Complete"/>
    <m/>
  </r>
  <r>
    <s v="aateridgeq0"/>
    <s v="networksolutions.com"/>
    <s v="Ashlan"/>
    <s v="Ateridge"/>
    <s v="Female"/>
    <s v="Female"/>
    <s v="233.240.209.193"/>
    <s v="152.136.223.187"/>
    <n v="937"/>
    <n v="937"/>
    <x v="0"/>
    <s v="SLMBP"/>
    <x v="843"/>
    <x v="3"/>
    <s v="Finance: Consumer Services"/>
    <s v="$289.76M"/>
    <n v="289760000"/>
    <n v="948.62"/>
    <n v="-6.24"/>
    <n v="157427023"/>
    <d v="2020-06-26T00:00:00"/>
    <s v="Complete"/>
    <m/>
  </r>
  <r>
    <s v="cdillamoreq1"/>
    <s v="clickbank.net"/>
    <s v="Constantina"/>
    <s v="Dillamore"/>
    <s v="Female"/>
    <s v="Female"/>
    <s v="128.136.13.128"/>
    <s v="142.101.120.64"/>
    <n v="938"/>
    <n v="938"/>
    <x v="0"/>
    <s v="TSRI"/>
    <x v="844"/>
    <x v="4"/>
    <s v="EDP Services"/>
    <s v="$10.69M"/>
    <n v="10690000"/>
    <n v="1068.94"/>
    <n v="-18.190000000000001"/>
    <n v="82395722"/>
    <d v="2026-09-09T00:00:00"/>
    <s v="Complete"/>
    <m/>
  </r>
  <r>
    <s v="dverissimoq2"/>
    <s v="w3.org"/>
    <s v="Deanna"/>
    <s v="Verissimo"/>
    <s v="Female"/>
    <s v="Female"/>
    <s v="36.17.143.103"/>
    <s v="70.24.47.1"/>
    <n v="939"/>
    <n v="939"/>
    <x v="0"/>
    <s v="COMT"/>
    <x v="845"/>
    <x v="2"/>
    <s v="N/A"/>
    <s v="$195.63M"/>
    <n v="195630000"/>
    <n v="1534.67"/>
    <n v="15.85"/>
    <n v="164473052"/>
    <d v="2021-04-15T00:00:00"/>
    <s v="Missing"/>
    <m/>
  </r>
  <r>
    <s v="sambrogioniq3"/>
    <s v="cmu.edu"/>
    <s v="Siouxie"/>
    <s v="Ambrogioni"/>
    <s v="Female"/>
    <s v="Female"/>
    <s v="97.51.56.154"/>
    <s v="66.39.69.18"/>
    <n v="940"/>
    <n v="940"/>
    <x v="1"/>
    <s v="WPC"/>
    <x v="846"/>
    <x v="6"/>
    <s v="Real Estate Investment Trusts"/>
    <s v="$7.24B"/>
    <n v="7240000000"/>
    <n v="1434.01"/>
    <n v="5.28"/>
    <n v="71162794"/>
    <d v="2023-01-06T00:00:00"/>
    <s v="Complete"/>
    <m/>
  </r>
  <r>
    <s v="ahaydenq4"/>
    <s v="dailymail.co.uk"/>
    <s v="Agnese"/>
    <s v="Hayden"/>
    <s v="Female"/>
    <s v="Female"/>
    <s v="228.232.143.33"/>
    <s v="133.29.222.235"/>
    <n v="941"/>
    <n v="941"/>
    <x v="1"/>
    <s v="SAN^A"/>
    <x v="325"/>
    <x v="2"/>
    <s v="N/A"/>
    <s v="N/A"/>
    <n v="0"/>
    <n v="1211.3699999999999"/>
    <n v="6.85"/>
    <n v="14165958"/>
    <d v="2020-08-12T00:00:00"/>
    <s v="Missing"/>
    <m/>
  </r>
  <r>
    <s v="sjiracekq5"/>
    <s v="sciencedaily.com"/>
    <s v="Shayne"/>
    <s v="Jiracek"/>
    <s v="Male"/>
    <s v="Male"/>
    <s v="229.206.39.75"/>
    <s v="224.1.123.10"/>
    <n v="942"/>
    <n v="942"/>
    <x v="1"/>
    <s v="TCAP"/>
    <x v="274"/>
    <x v="2"/>
    <s v="N/A"/>
    <s v="$842.05M"/>
    <n v="842050000"/>
    <n v="1359.01"/>
    <n v="17.2"/>
    <n v="154402178"/>
    <d v="2024-04-03T00:00:00"/>
    <s v="Missing"/>
    <m/>
  </r>
  <r>
    <s v="alongmateq6"/>
    <s v="networkadvertising.org"/>
    <s v="Amandie"/>
    <s v="Longmate"/>
    <s v="Female"/>
    <s v="Female"/>
    <s v="29.40.96.4"/>
    <s v="247.59.172.103"/>
    <n v="943"/>
    <n v="943"/>
    <x v="1"/>
    <s v="EXC"/>
    <x v="847"/>
    <x v="8"/>
    <s v="Power Generation"/>
    <s v="$34.34B"/>
    <n v="34340000000.000004"/>
    <n v="582.79"/>
    <n v="13.15"/>
    <n v="52183996"/>
    <d v="2021-08-30T00:00:00"/>
    <s v="Complete"/>
    <m/>
  </r>
  <r>
    <s v="wzottoliq7"/>
    <s v="hud.gov"/>
    <s v="William"/>
    <s v="Zottoli"/>
    <s v="Male"/>
    <s v="Male"/>
    <s v="188.138.145.196"/>
    <s v="33.77.224.155"/>
    <n v="944"/>
    <n v="944"/>
    <x v="0"/>
    <s v="SBRA"/>
    <x v="256"/>
    <x v="6"/>
    <s v="Real Estate Investment Trusts"/>
    <s v="$1.55B"/>
    <n v="1550000000"/>
    <n v="1680.46"/>
    <n v="-7.9"/>
    <n v="77940686"/>
    <d v="2025-06-27T00:00:00"/>
    <s v="Complete"/>
    <m/>
  </r>
  <r>
    <s v="dletfordq8"/>
    <s v="gizmodo.com"/>
    <s v="Dayle"/>
    <s v="Letford"/>
    <s v="Agender"/>
    <s v="Other"/>
    <s v="47.35.164.216"/>
    <s v="72.121.107.115"/>
    <n v="945"/>
    <n v="945"/>
    <x v="1"/>
    <s v="HIL"/>
    <x v="606"/>
    <x v="6"/>
    <s v="Military/Government/Technical"/>
    <s v="$251.61M"/>
    <n v="251610000"/>
    <n v="1437.08"/>
    <n v="-15.5"/>
    <n v="98415170"/>
    <d v="2026-06-18T00:00:00"/>
    <s v="Complete"/>
    <m/>
  </r>
  <r>
    <s v="hdarceyq9"/>
    <s v="soup.io"/>
    <s v="Halley"/>
    <s v="Darcey"/>
    <s v="Female"/>
    <s v="Female"/>
    <s v="159.254.239.1"/>
    <s v="194.69.191.131"/>
    <n v="946"/>
    <n v="946"/>
    <x v="0"/>
    <s v="CAVM"/>
    <x v="848"/>
    <x v="4"/>
    <s v="Semiconductors"/>
    <s v="$4.48B"/>
    <n v="4480000000"/>
    <n v="1003.71"/>
    <n v="12.91"/>
    <n v="24060000"/>
    <d v="2024-02-09T00:00:00"/>
    <s v="Complete"/>
    <m/>
  </r>
  <r>
    <s v="dzuanazziqa"/>
    <s v="mediafire.com"/>
    <s v="Drucy"/>
    <s v="Zuanazzi"/>
    <s v="Female"/>
    <s v="Female"/>
    <s v="55.170.40.12"/>
    <s v="225.132.41.215"/>
    <n v="947"/>
    <n v="947"/>
    <x v="0"/>
    <s v="OPTT"/>
    <x v="849"/>
    <x v="8"/>
    <s v="Electric Utilities: Central"/>
    <s v="$16.82M"/>
    <n v="16820000"/>
    <n v="1385.5"/>
    <n v="-12.37"/>
    <n v="12596015"/>
    <d v="2024-06-15T00:00:00"/>
    <s v="Complete"/>
    <m/>
  </r>
  <r>
    <s v="acastanagaqb"/>
    <s v="icio.us"/>
    <s v="Ansel"/>
    <s v="Castanaga"/>
    <s v="Male"/>
    <s v="Male"/>
    <s v="197.114.132.138"/>
    <s v="240.219.49.56"/>
    <n v="948"/>
    <n v="948"/>
    <x v="0"/>
    <s v="DWAT"/>
    <x v="850"/>
    <x v="2"/>
    <s v="N/A"/>
    <s v="$8.67M"/>
    <n v="8670000"/>
    <n v="1123.1600000000001"/>
    <n v="16.23"/>
    <n v="31622491"/>
    <d v="2022-03-19T00:00:00"/>
    <s v="Missing"/>
    <m/>
  </r>
  <r>
    <s v="kjendrysqc"/>
    <s v="facebook.com"/>
    <s v="Kalila"/>
    <s v="Jendrys"/>
    <s v="Female"/>
    <s v="Female"/>
    <s v="204.89.51.253"/>
    <s v="140.111.80.184"/>
    <n v="949"/>
    <n v="949"/>
    <x v="1"/>
    <s v="SSWN"/>
    <x v="174"/>
    <x v="12"/>
    <s v="Marine Transportation"/>
    <s v="N/A"/>
    <n v="0"/>
    <n v="1672.04"/>
    <n v="10.210000000000001"/>
    <n v="143622960"/>
    <d v="2022-06-19T00:00:00"/>
    <s v="Missing"/>
    <m/>
  </r>
  <r>
    <s v="rannableqd"/>
    <s v="nasa.gov"/>
    <s v="Ranice"/>
    <s v="Annable"/>
    <s v="Female"/>
    <s v="Female"/>
    <s v="245.190.31.120"/>
    <s v="110.154.28.115"/>
    <n v="950"/>
    <n v="950"/>
    <x v="0"/>
    <s v="AFHBL"/>
    <x v="851"/>
    <x v="3"/>
    <s v="Property-Casualty Insurers"/>
    <s v="N/A"/>
    <n v="0"/>
    <n v="312.45"/>
    <n v="-8.7899999999999991"/>
    <n v="155346391"/>
    <d v="2025-04-28T00:00:00"/>
    <s v="Missing"/>
    <m/>
  </r>
  <r>
    <s v="dvasyukhnovqe"/>
    <s v="cargocollective.com"/>
    <s v="Darcy"/>
    <s v="Vasyukhnov"/>
    <s v="Female"/>
    <s v="Female"/>
    <s v="70.190.47.142"/>
    <s v="237.191.149.171"/>
    <n v="951"/>
    <n v="951"/>
    <x v="0"/>
    <s v="UBNT"/>
    <x v="852"/>
    <x v="4"/>
    <s v="Radio And Television Broadcasting And Communications Equipment"/>
    <s v="$3.89B"/>
    <n v="3890000000"/>
    <n v="1491.36"/>
    <n v="16.22"/>
    <n v="77993169"/>
    <d v="2021-08-15T00:00:00"/>
    <s v="Complete"/>
    <m/>
  </r>
  <r>
    <s v="scroftqf"/>
    <s v="elegantthemes.com"/>
    <s v="Sawyer"/>
    <s v="Croft"/>
    <s v="Polygender"/>
    <s v="Other"/>
    <s v="178.154.111.185"/>
    <s v="4.83.206.122"/>
    <n v="952"/>
    <n v="952"/>
    <x v="1"/>
    <s v="TARO"/>
    <x v="853"/>
    <x v="0"/>
    <s v="Major Pharmaceuticals"/>
    <s v="$4.57B"/>
    <n v="4570000000"/>
    <n v="694.32"/>
    <n v="6.31"/>
    <n v="146839809"/>
    <d v="2026-07-16T00:00:00"/>
    <s v="Complete"/>
    <m/>
  </r>
  <r>
    <s v="hproudlerqg"/>
    <s v="shinystat.com"/>
    <s v="Hillyer"/>
    <s v="Proudler"/>
    <s v="Male"/>
    <s v="Male"/>
    <s v="181.113.133.82"/>
    <s v="219.115.108.176"/>
    <n v="953"/>
    <n v="953"/>
    <x v="1"/>
    <s v="EVN"/>
    <x v="854"/>
    <x v="2"/>
    <s v="N/A"/>
    <s v="$308.22M"/>
    <n v="308220000"/>
    <n v="420.45"/>
    <n v="-1.68"/>
    <n v="12155933"/>
    <d v="2025-01-28T00:00:00"/>
    <s v="Missing"/>
    <m/>
  </r>
  <r>
    <s v="tmontesqh"/>
    <s v="blinklist.com"/>
    <s v="Teri"/>
    <s v="Montes"/>
    <s v="Agender"/>
    <s v="Other"/>
    <s v="216.236.2.67"/>
    <s v="156.103.59.160"/>
    <n v="954"/>
    <n v="954"/>
    <x v="0"/>
    <s v="BWINB"/>
    <x v="855"/>
    <x v="3"/>
    <s v="Property-Casualty Insurers"/>
    <s v="$375.34M"/>
    <n v="375340000"/>
    <n v="1658.56"/>
    <n v="-7.96"/>
    <n v="23038682"/>
    <d v="2022-05-07T00:00:00"/>
    <s v="Complete"/>
    <m/>
  </r>
  <r>
    <s v="fchasneyqi"/>
    <s v="vinaora.com"/>
    <s v="Fidela"/>
    <s v="Chasney"/>
    <s v="Female"/>
    <s v="Female"/>
    <s v="30.174.228.169"/>
    <s v="242.138.50.56"/>
    <n v="955"/>
    <n v="955"/>
    <x v="0"/>
    <s v="APPN"/>
    <x v="39"/>
    <x v="4"/>
    <s v="Computer Software: Prepackaged Software"/>
    <s v="$1.07B"/>
    <n v="1070000000.0000001"/>
    <n v="1296.06"/>
    <n v="-10.64"/>
    <n v="115558811"/>
    <d v="2026-11-29T00:00:00"/>
    <s v="Complete"/>
    <m/>
  </r>
  <r>
    <s v="eebbingsqj"/>
    <s v="ox.ac.uk"/>
    <s v="Edwin"/>
    <s v="Ebbings"/>
    <s v="Male"/>
    <s v="Male"/>
    <s v="0.26.39.139"/>
    <s v="56.99.46.110"/>
    <n v="956"/>
    <n v="956"/>
    <x v="0"/>
    <s v="ORG"/>
    <x v="856"/>
    <x v="2"/>
    <s v="N/A"/>
    <s v="N/A"/>
    <n v="0"/>
    <n v="50.59"/>
    <n v="19.399999999999999"/>
    <n v="139727870"/>
    <d v="2026-04-15T00:00:00"/>
    <s v="Missing"/>
    <m/>
  </r>
  <r>
    <s v="tboyettqk"/>
    <s v="google.co.jp"/>
    <s v="Timothee"/>
    <s v="Boyett"/>
    <s v="Agender"/>
    <s v="Other"/>
    <s v="177.175.125.127"/>
    <s v="67.70.21.249"/>
    <n v="957"/>
    <n v="957"/>
    <x v="0"/>
    <s v="ATSG"/>
    <x v="857"/>
    <x v="12"/>
    <s v="Air Freight/Delivery Services"/>
    <s v="$1.31B"/>
    <n v="1310000000"/>
    <n v="1537.19"/>
    <n v="16.760000000000002"/>
    <n v="123305777"/>
    <d v="2024-03-23T00:00:00"/>
    <s v="Complete"/>
    <m/>
  </r>
  <r>
    <s v="citzcakql"/>
    <s v="skype.com"/>
    <s v="Cal"/>
    <s v="Itzcak"/>
    <s v="Female"/>
    <s v="Female"/>
    <s v="139.44.141.111"/>
    <s v="156.232.127.130"/>
    <n v="958"/>
    <n v="958"/>
    <x v="0"/>
    <s v="SGMO"/>
    <x v="858"/>
    <x v="0"/>
    <s v="Biotechnology: Biological Products (No Diagnostic Substances)"/>
    <s v="$535.95M"/>
    <n v="535950000.00000006"/>
    <n v="952.59"/>
    <n v="-0.12"/>
    <n v="185078465"/>
    <d v="2024-08-23T00:00:00"/>
    <s v="Complete"/>
    <m/>
  </r>
  <r>
    <s v="mlinnitqm"/>
    <s v="cnbc.com"/>
    <s v="Melanie"/>
    <s v="Linnit"/>
    <s v="Female"/>
    <s v="Female"/>
    <s v="68.187.173.166"/>
    <s v="135.116.40.48"/>
    <n v="959"/>
    <n v="959"/>
    <x v="0"/>
    <s v="OVAS"/>
    <x v="859"/>
    <x v="0"/>
    <s v="Major Pharmaceuticals"/>
    <s v="$48.5M"/>
    <n v="48500000"/>
    <n v="1096.8"/>
    <n v="-4.79"/>
    <n v="53808146"/>
    <d v="2025-03-04T00:00:00"/>
    <s v="Complete"/>
    <m/>
  </r>
  <r>
    <s v="lravenscroftqn"/>
    <s v="hibu.com"/>
    <s v="Lebbie"/>
    <s v="Ravenscroft"/>
    <s v="Non-binary"/>
    <s v="Other"/>
    <s v="28.54.128.120"/>
    <s v="26.8.181.46"/>
    <n v="960"/>
    <n v="960"/>
    <x v="1"/>
    <s v="MPV"/>
    <x v="860"/>
    <x v="2"/>
    <s v="N/A"/>
    <s v="$146.29M"/>
    <n v="146290000"/>
    <n v="1152.1300000000001"/>
    <n v="-13.34"/>
    <n v="88079239"/>
    <d v="2021-06-11T00:00:00"/>
    <s v="Missing"/>
    <m/>
  </r>
  <r>
    <s v="bbonhomeqo"/>
    <s v="msu.edu"/>
    <s v="Bing"/>
    <s v="Bonhome"/>
    <s v="Agender"/>
    <s v="Other"/>
    <s v="247.62.89.244"/>
    <s v="15.182.169.158"/>
    <n v="961"/>
    <n v="961"/>
    <x v="1"/>
    <s v="LYB"/>
    <x v="861"/>
    <x v="10"/>
    <s v="Major Chemicals"/>
    <s v="$32.58B"/>
    <n v="32580000000"/>
    <n v="1302.83"/>
    <n v="3.18"/>
    <n v="50847314"/>
    <d v="2020-03-03T00:00:00"/>
    <s v="Complete"/>
    <m/>
  </r>
  <r>
    <s v="bschulterqp"/>
    <s v="oakley.com"/>
    <s v="Bron"/>
    <s v="Schulter"/>
    <s v="Male"/>
    <s v="Male"/>
    <s v="223.69.203.87"/>
    <s v="218.53.119.200"/>
    <n v="962"/>
    <n v="962"/>
    <x v="0"/>
    <s v="CSB"/>
    <x v="862"/>
    <x v="2"/>
    <s v="N/A"/>
    <s v="N/A"/>
    <n v="0"/>
    <n v="76.41"/>
    <n v="12.65"/>
    <n v="136919707"/>
    <d v="2024-11-01T00:00:00"/>
    <s v="Missing"/>
    <m/>
  </r>
  <r>
    <s v="mpardeyqq"/>
    <s v="addthis.com"/>
    <s v="Martyn"/>
    <s v="Pardey"/>
    <s v="Male"/>
    <s v="Male"/>
    <s v="228.196.240.104"/>
    <s v="97.206.64.163"/>
    <n v="963"/>
    <n v="963"/>
    <x v="1"/>
    <s v="FBP"/>
    <x v="863"/>
    <x v="3"/>
    <s v="Major Banks"/>
    <s v="$1.26B"/>
    <n v="1260000000"/>
    <n v="58.99"/>
    <n v="18.850000000000001"/>
    <n v="20849332"/>
    <d v="2021-02-08T00:00:00"/>
    <s v="Complete"/>
    <m/>
  </r>
  <r>
    <s v="jcoltartqr"/>
    <s v="nsw.gov.au"/>
    <s v="Jule"/>
    <s v="Coltart"/>
    <s v="Male"/>
    <s v="Male"/>
    <s v="78.151.63.70"/>
    <s v="4.110.229.136"/>
    <n v="964"/>
    <n v="964"/>
    <x v="0"/>
    <s v="BPFH"/>
    <x v="864"/>
    <x v="3"/>
    <s v="Major Banks"/>
    <s v="$1.32B"/>
    <n v="1320000000"/>
    <n v="641.61"/>
    <n v="-5.12"/>
    <n v="28579241"/>
    <d v="2024-01-26T00:00:00"/>
    <s v="Complete"/>
    <m/>
  </r>
  <r>
    <s v="cgoodludqs"/>
    <s v="hexun.com"/>
    <s v="Cello"/>
    <s v="Goodlud"/>
    <s v="Male"/>
    <s v="Male"/>
    <s v="125.162.214.57"/>
    <s v="151.134.129.14"/>
    <n v="965"/>
    <n v="965"/>
    <x v="0"/>
    <s v="VEON"/>
    <x v="865"/>
    <x v="8"/>
    <s v="Telecommunications Equipment"/>
    <s v="$6.59B"/>
    <n v="6590000000"/>
    <n v="872.03"/>
    <n v="-14.8"/>
    <n v="98211331"/>
    <d v="2020-03-11T00:00:00"/>
    <s v="Complete"/>
    <m/>
  </r>
  <r>
    <s v="ngillianqt"/>
    <s v="xrea.com"/>
    <s v="Norah"/>
    <s v="Gillian"/>
    <s v="Female"/>
    <s v="Female"/>
    <s v="119.192.191.148"/>
    <s v="30.242.19.188"/>
    <n v="966"/>
    <n v="966"/>
    <x v="0"/>
    <s v="TST"/>
    <x v="653"/>
    <x v="6"/>
    <s v="Newspapers/Magazines"/>
    <s v="$30.31M"/>
    <n v="30310000"/>
    <n v="474.96"/>
    <n v="15.51"/>
    <n v="178216689"/>
    <d v="2023-01-27T00:00:00"/>
    <s v="Complete"/>
    <m/>
  </r>
  <r>
    <s v="njellisqu"/>
    <s v="aol.com"/>
    <s v="Nanny"/>
    <s v="Jellis"/>
    <s v="Female"/>
    <s v="Female"/>
    <s v="128.218.162.57"/>
    <s v="176.26.26.24"/>
    <n v="967"/>
    <n v="967"/>
    <x v="0"/>
    <s v="MRVC"/>
    <x v="866"/>
    <x v="4"/>
    <s v="Semiconductors"/>
    <s v="$63.58M"/>
    <n v="63580000"/>
    <n v="610.48"/>
    <n v="15.13"/>
    <n v="19001426"/>
    <d v="2022-11-05T00:00:00"/>
    <s v="Complete"/>
    <m/>
  </r>
  <r>
    <s v="sboothmanqv"/>
    <s v="senate.gov"/>
    <s v="Sherry"/>
    <s v="Boothman"/>
    <s v="Female"/>
    <s v="Female"/>
    <s v="193.65.255.190"/>
    <s v="254.121.40.36"/>
    <n v="968"/>
    <n v="968"/>
    <x v="0"/>
    <s v="AVHI"/>
    <x v="519"/>
    <x v="1"/>
    <s v="Homebuilding"/>
    <s v="$410.69M"/>
    <n v="410690000"/>
    <n v="1422.53"/>
    <n v="19.829999999999998"/>
    <n v="16790027"/>
    <d v="2021-02-07T00:00:00"/>
    <s v="Complete"/>
    <m/>
  </r>
  <r>
    <s v="njumonetqw"/>
    <s v="weibo.com"/>
    <s v="Nickie"/>
    <s v="Jumonet"/>
    <s v="Bigender"/>
    <s v="Other"/>
    <s v="180.164.51.68"/>
    <s v="227.2.225.109"/>
    <n v="969"/>
    <n v="969"/>
    <x v="1"/>
    <s v="MDP"/>
    <x v="527"/>
    <x v="6"/>
    <s v="Newspapers/Magazines"/>
    <s v="$2.65B"/>
    <n v="2650000000"/>
    <n v="1969.45"/>
    <n v="-8.98"/>
    <n v="84696563"/>
    <d v="2023-04-26T00:00:00"/>
    <s v="Complete"/>
    <m/>
  </r>
  <r>
    <s v="marrighiniqx"/>
    <s v="desdev.cn"/>
    <s v="Marena"/>
    <s v="Arrighini"/>
    <s v="Female"/>
    <s v="Female"/>
    <s v="106.232.166.4"/>
    <s v="124.109.39.75"/>
    <n v="970"/>
    <n v="970"/>
    <x v="0"/>
    <s v="AIMT"/>
    <x v="867"/>
    <x v="0"/>
    <s v="Major Pharmaceuticals"/>
    <s v="$829.14M"/>
    <n v="829140000"/>
    <n v="40.840000000000003"/>
    <n v="-14.32"/>
    <n v="53553656"/>
    <d v="2020-03-07T00:00:00"/>
    <s v="Complete"/>
    <m/>
  </r>
  <r>
    <s v="irecherqy"/>
    <s v="furl.net"/>
    <s v="Ingrim"/>
    <s v="Recher"/>
    <s v="Bigender"/>
    <s v="Other"/>
    <s v="221.77.245.197"/>
    <s v="178.145.203.54"/>
    <n v="971"/>
    <n v="971"/>
    <x v="1"/>
    <s v="KODK.WS.A"/>
    <x v="286"/>
    <x v="2"/>
    <s v="N/A"/>
    <s v="N/A"/>
    <n v="0"/>
    <n v="226.79"/>
    <n v="18.100000000000001"/>
    <n v="165353105"/>
    <d v="2021-09-13T00:00:00"/>
    <s v="Missing"/>
    <m/>
  </r>
  <r>
    <s v="pleteveqz"/>
    <s v="indiatimes.com"/>
    <s v="Pavia"/>
    <s v="Le Teve"/>
    <s v="Female"/>
    <s v="Female"/>
    <s v="129.120.8.228"/>
    <s v="241.217.175.166"/>
    <n v="972"/>
    <n v="972"/>
    <x v="0"/>
    <s v="VDTH"/>
    <x v="868"/>
    <x v="6"/>
    <s v="Television Services"/>
    <s v="$1.05B"/>
    <n v="1050000000"/>
    <n v="600.61"/>
    <n v="-9.58"/>
    <n v="72210351"/>
    <d v="2026-12-29T00:00:00"/>
    <s v="Complete"/>
    <m/>
  </r>
  <r>
    <s v="lbriscor0"/>
    <s v="lulu.com"/>
    <s v="Leilah"/>
    <s v="Brisco"/>
    <s v="Female"/>
    <s v="Female"/>
    <s v="135.183.11.134"/>
    <s v="212.171.192.52"/>
    <n v="973"/>
    <n v="973"/>
    <x v="1"/>
    <s v="TCCA"/>
    <x v="274"/>
    <x v="2"/>
    <s v="N/A"/>
    <s v="N/A"/>
    <n v="0"/>
    <n v="34"/>
    <n v="1.1599999999999999"/>
    <n v="133594163"/>
    <d v="2023-12-04T00:00:00"/>
    <s v="Missing"/>
    <m/>
  </r>
  <r>
    <s v="gmammattr1"/>
    <s v="moonfruit.com"/>
    <s v="Gordon"/>
    <s v="Mammatt"/>
    <s v="Male"/>
    <s v="Male"/>
    <s v="96.60.57.168"/>
    <s v="235.166.194.4"/>
    <n v="974"/>
    <n v="974"/>
    <x v="1"/>
    <s v="FCE.A"/>
    <x v="407"/>
    <x v="2"/>
    <s v="N/A"/>
    <s v="N/A"/>
    <n v="0"/>
    <n v="1026.0999999999999"/>
    <n v="5.99"/>
    <n v="24469534"/>
    <d v="2025-05-08T00:00:00"/>
    <s v="Missing"/>
    <m/>
  </r>
  <r>
    <s v="ekopfr2"/>
    <s v="va.gov"/>
    <s v="Elyn"/>
    <s v="Kopf"/>
    <s v="Female"/>
    <s v="Female"/>
    <s v="131.230.155.250"/>
    <s v="86.169.14.48"/>
    <n v="975"/>
    <n v="975"/>
    <x v="1"/>
    <s v="ENJ"/>
    <x v="869"/>
    <x v="8"/>
    <s v="Power Generation"/>
    <s v="N/A"/>
    <n v="0"/>
    <n v="567.22"/>
    <n v="-6.16"/>
    <n v="30624692"/>
    <d v="2020-03-12T00:00:00"/>
    <s v="Missing"/>
    <m/>
  </r>
  <r>
    <s v="bcowserr3"/>
    <s v="fema.gov"/>
    <s v="Bary"/>
    <s v="Cowser"/>
    <s v="Male"/>
    <s v="Male"/>
    <s v="43.112.122.13"/>
    <s v="176.241.149.146"/>
    <n v="976"/>
    <n v="976"/>
    <x v="0"/>
    <s v="OTEX"/>
    <x v="870"/>
    <x v="4"/>
    <s v="EDP Services"/>
    <s v="$8.28B"/>
    <n v="8279999999.999999"/>
    <n v="28.35"/>
    <n v="-4.17"/>
    <n v="70408962"/>
    <d v="2026-07-13T00:00:00"/>
    <s v="Complete"/>
    <m/>
  </r>
  <r>
    <s v="gzannotellir4"/>
    <s v="hc360.com"/>
    <s v="Gayle"/>
    <s v="Zannotelli"/>
    <s v="Male"/>
    <s v="Male"/>
    <s v="135.54.244.94"/>
    <s v="130.35.199.105"/>
    <n v="977"/>
    <n v="977"/>
    <x v="0"/>
    <s v="OSBC"/>
    <x v="871"/>
    <x v="3"/>
    <s v="Major Banks"/>
    <s v="$354.97M"/>
    <n v="354970000"/>
    <n v="1304.97"/>
    <n v="6.79"/>
    <n v="60265847"/>
    <d v="2023-09-30T00:00:00"/>
    <s v="Complete"/>
    <m/>
  </r>
  <r>
    <s v="maherner5"/>
    <s v="thetimes.co.uk"/>
    <s v="Maxie"/>
    <s v="Aherne"/>
    <s v="Male"/>
    <s v="Male"/>
    <s v="116.59.181.109"/>
    <s v="143.112.225.50"/>
    <n v="978"/>
    <n v="978"/>
    <x v="1"/>
    <s v="JHG"/>
    <x v="872"/>
    <x v="3"/>
    <s v="Investment Managers"/>
    <s v="$367.06M"/>
    <n v="367060000"/>
    <n v="799.95"/>
    <n v="1.69"/>
    <n v="130339201"/>
    <d v="2021-07-31T00:00:00"/>
    <s v="Complete"/>
    <m/>
  </r>
  <r>
    <s v="rcarvillar6"/>
    <s v="google.ru"/>
    <s v="Roarke"/>
    <s v="Carvilla"/>
    <s v="Male"/>
    <s v="Male"/>
    <s v="225.49.43.254"/>
    <s v="68.242.240.213"/>
    <n v="979"/>
    <n v="979"/>
    <x v="0"/>
    <s v="VNET"/>
    <x v="873"/>
    <x v="4"/>
    <s v="Computer Software: Programming, Data Processing"/>
    <s v="$617.53M"/>
    <n v="617530000"/>
    <n v="1254.7"/>
    <n v="7.95"/>
    <n v="161257825"/>
    <d v="2020-10-24T00:00:00"/>
    <s v="Complete"/>
    <m/>
  </r>
  <r>
    <s v="pholberryr7"/>
    <s v="bizjournals.com"/>
    <s v="Percy"/>
    <s v="Holberry"/>
    <s v="Male"/>
    <s v="Male"/>
    <s v="190.180.143.15"/>
    <s v="128.161.67.29"/>
    <n v="980"/>
    <n v="980"/>
    <x v="0"/>
    <s v="BIOS"/>
    <x v="874"/>
    <x v="0"/>
    <s v="Medical/Nursing Services"/>
    <s v="$306.09M"/>
    <n v="306090000"/>
    <n v="597.49"/>
    <n v="-8.86"/>
    <n v="192484268"/>
    <d v="2023-03-27T00:00:00"/>
    <s v="Complete"/>
    <m/>
  </r>
  <r>
    <s v="vhazelgrover8"/>
    <s v="gmpg.org"/>
    <s v="Veronica"/>
    <s v="Hazelgrove"/>
    <s v="Female"/>
    <s v="Female"/>
    <s v="253.23.223.109"/>
    <s v="184.15.152.137"/>
    <n v="981"/>
    <n v="981"/>
    <x v="0"/>
    <s v="HOTR"/>
    <x v="202"/>
    <x v="6"/>
    <s v="Restaurants"/>
    <s v="$6.31M"/>
    <n v="6310000"/>
    <n v="272.45999999999998"/>
    <n v="18.09"/>
    <n v="158772917"/>
    <d v="2025-07-21T00:00:00"/>
    <s v="Complete"/>
    <m/>
  </r>
  <r>
    <s v="rtwiddler9"/>
    <s v="privacy.gov.au"/>
    <s v="Rivalee"/>
    <s v="Twiddle"/>
    <s v="Female"/>
    <s v="Female"/>
    <s v="54.225.143.96"/>
    <s v="109.92.101.0"/>
    <n v="982"/>
    <n v="982"/>
    <x v="1"/>
    <s v="KBH"/>
    <x v="636"/>
    <x v="1"/>
    <s v="Homebuilding"/>
    <s v="$1.84B"/>
    <n v="1840000000"/>
    <n v="1519.54"/>
    <n v="-4.78"/>
    <n v="150827526"/>
    <d v="2020-05-14T00:00:00"/>
    <s v="Complete"/>
    <m/>
  </r>
  <r>
    <s v="mleathwoodra"/>
    <s v="wikimedia.org"/>
    <s v="Marie"/>
    <s v="Leathwood"/>
    <s v="Female"/>
    <s v="Female"/>
    <s v="49.8.102.64"/>
    <s v="169.168.247.193"/>
    <n v="983"/>
    <n v="983"/>
    <x v="1"/>
    <s v="CHT"/>
    <x v="875"/>
    <x v="8"/>
    <s v="Telecommunications Equipment"/>
    <s v="$27.64B"/>
    <n v="27640000000"/>
    <n v="1360.41"/>
    <n v="15.91"/>
    <n v="5811799"/>
    <d v="2024-12-21T00:00:00"/>
    <s v="Complete"/>
    <m/>
  </r>
  <r>
    <s v="kwalkleyrb"/>
    <s v="hubpages.com"/>
    <s v="Konstantin"/>
    <s v="Walkley"/>
    <s v="Male"/>
    <s v="Male"/>
    <s v="18.147.40.217"/>
    <s v="199.170.129.237"/>
    <n v="984"/>
    <n v="984"/>
    <x v="1"/>
    <s v="PRE^H"/>
    <x v="74"/>
    <x v="2"/>
    <s v="N/A"/>
    <s v="N/A"/>
    <n v="0"/>
    <n v="33.28"/>
    <n v="14.76"/>
    <n v="180402496"/>
    <d v="2025-11-17T00:00:00"/>
    <s v="Missing"/>
    <m/>
  </r>
  <r>
    <s v="mgarthsiderc"/>
    <s v="networksolutions.com"/>
    <s v="Morgan"/>
    <s v="Garthside"/>
    <s v="Male"/>
    <s v="Male"/>
    <s v="236.180.194.154"/>
    <s v="173.38.180.197"/>
    <n v="985"/>
    <n v="985"/>
    <x v="0"/>
    <s v="AVGR"/>
    <x v="876"/>
    <x v="0"/>
    <s v="Medical/Dental Instruments"/>
    <s v="$11.27M"/>
    <n v="11270000"/>
    <n v="1830.92"/>
    <n v="6.1"/>
    <n v="152085097"/>
    <d v="2022-03-05T00:00:00"/>
    <s v="Complete"/>
    <m/>
  </r>
  <r>
    <s v="ihemblingrd"/>
    <s v="desdev.cn"/>
    <s v="Ignace"/>
    <s v="Hembling"/>
    <s v="Male"/>
    <s v="Male"/>
    <s v="35.146.196.151"/>
    <s v="230.226.66.241"/>
    <n v="986"/>
    <n v="986"/>
    <x v="0"/>
    <s v="GLADO"/>
    <x v="52"/>
    <x v="2"/>
    <s v="N/A"/>
    <s v="$56.32M"/>
    <n v="56320000"/>
    <n v="960.35"/>
    <n v="-6.81"/>
    <n v="52431355"/>
    <d v="2022-06-29T00:00:00"/>
    <s v="Missing"/>
    <m/>
  </r>
  <r>
    <s v="bklessre"/>
    <s v="flickr.com"/>
    <s v="Barnett"/>
    <s v="Kless"/>
    <s v="Male"/>
    <s v="Male"/>
    <s v="144.126.149.185"/>
    <s v="219.232.131.205"/>
    <n v="987"/>
    <n v="987"/>
    <x v="1"/>
    <s v="KMI^A"/>
    <x v="877"/>
    <x v="2"/>
    <s v="N/A"/>
    <s v="N/A"/>
    <n v="0"/>
    <n v="1388.5"/>
    <n v="6.98"/>
    <n v="152470077"/>
    <d v="2024-02-29T00:00:00"/>
    <s v="Missing"/>
    <m/>
  </r>
  <r>
    <s v="vhamleyrf"/>
    <s v="baidu.com"/>
    <s v="Veradis"/>
    <s v="Hamley"/>
    <s v="Female"/>
    <s v="Female"/>
    <s v="170.36.254.122"/>
    <s v="62.162.251.253"/>
    <n v="988"/>
    <n v="988"/>
    <x v="1"/>
    <s v="AES^C.CL"/>
    <x v="878"/>
    <x v="2"/>
    <s v="N/A"/>
    <s v="N/A"/>
    <n v="0"/>
    <n v="90.75"/>
    <n v="-14.4"/>
    <n v="58197379"/>
    <d v="2021-08-25T00:00:00"/>
    <s v="Missing"/>
    <m/>
  </r>
  <r>
    <s v="ghowserg"/>
    <s v="ihg.com"/>
    <s v="Glennis"/>
    <s v="Howse"/>
    <s v="Female"/>
    <s v="Female"/>
    <s v="218.158.4.186"/>
    <s v="183.198.183.115"/>
    <n v="989"/>
    <n v="989"/>
    <x v="0"/>
    <s v="CVCO"/>
    <x v="879"/>
    <x v="10"/>
    <s v="Homebuilding"/>
    <s v="$1.18B"/>
    <n v="1180000000"/>
    <n v="639.48"/>
    <n v="10.53"/>
    <n v="153791246"/>
    <d v="2023-10-29T00:00:00"/>
    <s v="Complete"/>
    <m/>
  </r>
  <r>
    <s v="caldersearh"/>
    <s v="ucla.edu"/>
    <s v="Chloe"/>
    <s v="Aldersea"/>
    <s v="Female"/>
    <s v="Female"/>
    <s v="252.229.111.191"/>
    <s v="120.8.239.58"/>
    <n v="990"/>
    <n v="990"/>
    <x v="1"/>
    <s v="PCK"/>
    <x v="880"/>
    <x v="2"/>
    <s v="N/A"/>
    <s v="$324.29M"/>
    <n v="324290000"/>
    <n v="429"/>
    <n v="-18.5"/>
    <n v="102724198"/>
    <d v="2024-12-09T00:00:00"/>
    <s v="Missing"/>
    <m/>
  </r>
  <r>
    <s v="hdebankeri"/>
    <s v="illinois.edu"/>
    <s v="Haleigh"/>
    <s v="de Banke"/>
    <s v="Genderfluid"/>
    <s v="Other"/>
    <s v="124.75.231.28"/>
    <s v="116.130.149.27"/>
    <n v="991"/>
    <n v="991"/>
    <x v="0"/>
    <s v="PKBK"/>
    <x v="165"/>
    <x v="3"/>
    <s v="Major Banks"/>
    <s v="$161.78M"/>
    <n v="161780000"/>
    <n v="849.07"/>
    <n v="5.61"/>
    <n v="169977736"/>
    <d v="2021-01-17T00:00:00"/>
    <s v="Complete"/>
    <m/>
  </r>
  <r>
    <s v="ndanfordrj"/>
    <s v="goodreads.com"/>
    <s v="Nikita"/>
    <s v="Danford"/>
    <s v="Male"/>
    <s v="Male"/>
    <s v="105.218.51.29"/>
    <s v="8.118.240.2"/>
    <n v="992"/>
    <n v="992"/>
    <x v="0"/>
    <s v="SPRT"/>
    <x v="881"/>
    <x v="4"/>
    <s v="EDP Services"/>
    <s v="$45.41M"/>
    <n v="45410000"/>
    <n v="1856.08"/>
    <n v="-10.34"/>
    <n v="72808291"/>
    <d v="2025-05-24T00:00:00"/>
    <s v="Complete"/>
    <m/>
  </r>
  <r>
    <s v="gpetzrk"/>
    <s v="tmall.com"/>
    <s v="Grenville"/>
    <s v="Petz"/>
    <s v="Male"/>
    <s v="Male"/>
    <s v="164.26.88.151"/>
    <s v="97.24.213.94"/>
    <n v="993"/>
    <n v="993"/>
    <x v="1"/>
    <s v="ALL^A"/>
    <x v="654"/>
    <x v="2"/>
    <s v="N/A"/>
    <s v="N/A"/>
    <n v="0"/>
    <n v="1199.95"/>
    <n v="-14.02"/>
    <n v="180983320"/>
    <d v="2026-06-29T00:00:00"/>
    <s v="Missing"/>
    <m/>
  </r>
  <r>
    <s v="lbonellierl"/>
    <s v="bloglines.com"/>
    <s v="Lissy"/>
    <s v="Bonellie"/>
    <s v="Female"/>
    <s v="Female"/>
    <s v="190.163.231.236"/>
    <s v="234.49.30.37"/>
    <n v="994"/>
    <n v="994"/>
    <x v="0"/>
    <s v="XRAY"/>
    <x v="882"/>
    <x v="0"/>
    <s v="Medical/Dental Instruments"/>
    <s v="$14.6B"/>
    <n v="14600000000"/>
    <n v="149.74"/>
    <n v="1.98"/>
    <n v="45237830"/>
    <d v="2026-06-12T00:00:00"/>
    <s v="Complete"/>
    <m/>
  </r>
  <r>
    <s v="qkarlolakrm"/>
    <s v="vimeo.com"/>
    <s v="Quent"/>
    <s v="Karlolak"/>
    <s v="Male"/>
    <s v="Male"/>
    <s v="51.40.153.158"/>
    <s v="249.236.217.247"/>
    <n v="995"/>
    <n v="995"/>
    <x v="0"/>
    <s v="STRL"/>
    <x v="883"/>
    <x v="10"/>
    <s v="Military/Government/Technical"/>
    <s v="$286.77M"/>
    <n v="286770000"/>
    <n v="1094.1199999999999"/>
    <n v="-19.86"/>
    <n v="96164656"/>
    <d v="2023-07-24T00:00:00"/>
    <s v="Complete"/>
    <m/>
  </r>
  <r>
    <s v="omarrianrn"/>
    <s v="patch.com"/>
    <s v="Oran"/>
    <s v="Marrian"/>
    <s v="Male"/>
    <s v="Male"/>
    <s v="244.39.230.195"/>
    <s v="155.101.146.173"/>
    <n v="996"/>
    <n v="996"/>
    <x v="1"/>
    <s v="CAJ"/>
    <x v="884"/>
    <x v="7"/>
    <s v="Industrial Machinery/Components"/>
    <s v="$38.48B"/>
    <n v="38480000000"/>
    <n v="1948.08"/>
    <n v="-7.64"/>
    <n v="53673997"/>
    <d v="2021-07-21T00:00:00"/>
    <s v="Complete"/>
    <m/>
  </r>
  <r>
    <s v="pcasieroro"/>
    <s v="unc.edu"/>
    <s v="Phyllys"/>
    <s v="Casiero"/>
    <s v="Female"/>
    <s v="Female"/>
    <s v="159.253.151.165"/>
    <s v="112.251.140.138"/>
    <n v="997"/>
    <n v="997"/>
    <x v="1"/>
    <s v="DLX"/>
    <x v="641"/>
    <x v="11"/>
    <s v="Publishing"/>
    <s v="$3.46B"/>
    <n v="3460000000"/>
    <n v="976.04"/>
    <n v="-16.440000000000001"/>
    <n v="16754926"/>
    <d v="2026-09-23T00:00:00"/>
    <s v="Complete"/>
    <m/>
  </r>
  <r>
    <s v="baldridgerp"/>
    <s v="about.me"/>
    <s v="Benjamin"/>
    <s v="Aldridge"/>
    <s v="Male"/>
    <s v="Male"/>
    <s v="104.94.192.178"/>
    <s v="214.166.68.105"/>
    <n v="998"/>
    <n v="998"/>
    <x v="1"/>
    <s v="NXP"/>
    <x v="521"/>
    <x v="2"/>
    <s v="N/A"/>
    <s v="$239.77M"/>
    <n v="239770000"/>
    <n v="112.73"/>
    <n v="9.5"/>
    <n v="37912319"/>
    <d v="2024-05-24T00:00:00"/>
    <s v="Missing"/>
    <m/>
  </r>
  <r>
    <s v="jbrunsdenrq"/>
    <s v="berkeley.edu"/>
    <s v="Jeana"/>
    <s v="Brunsden"/>
    <s v="Female"/>
    <s v="Female"/>
    <s v="133.53.20.82"/>
    <s v="244.199.246.153"/>
    <n v="999"/>
    <n v="999"/>
    <x v="1"/>
    <s v="MUC"/>
    <x v="885"/>
    <x v="2"/>
    <s v="N/A"/>
    <s v="$594.95M"/>
    <n v="594950000"/>
    <n v="1270.1099999999999"/>
    <n v="1.06"/>
    <n v="70440874"/>
    <d v="2021-07-26T00:00:00"/>
    <s v="Missing"/>
    <m/>
  </r>
  <r>
    <s v="efullardrr"/>
    <s v="ca.gov"/>
    <s v="Erika"/>
    <s v="Fullard"/>
    <s v="Female"/>
    <s v="Female"/>
    <s v="32.226.223.16"/>
    <s v="62.81.90.7"/>
    <n v="1000"/>
    <n v="1000"/>
    <x v="0"/>
    <s v="BJRI"/>
    <x v="226"/>
    <x v="6"/>
    <s v="Restaurants"/>
    <s v="$834.31M"/>
    <n v="834310000"/>
    <n v="774.19"/>
    <n v="-0.09"/>
    <n v="117229741"/>
    <d v="2023-07-12T00:00:00"/>
    <s v="Complete"/>
    <m/>
  </r>
  <r>
    <m/>
    <m/>
    <m/>
    <m/>
    <m/>
    <m/>
    <m/>
    <m/>
    <m/>
    <m/>
    <x v="2"/>
    <m/>
    <x v="886"/>
    <x v="13"/>
    <m/>
    <m/>
    <m/>
    <m/>
    <m/>
    <m/>
    <m/>
    <s v="Complete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s v="ddurman0"/>
    <s v="vimeo.com"/>
    <s v="Dode"/>
    <s v="Durman"/>
    <s v="Female"/>
    <s v="Female"/>
    <s v="210.173.114.59"/>
    <s v="210.143.162.158"/>
    <n v="1"/>
    <n v="1"/>
    <s v="NASDAQ"/>
    <s v="EGRX"/>
    <s v="Eagle Pharmaceuticals, Inc."/>
    <x v="0"/>
    <s v="Major Pharmaceuticals"/>
    <s v="$1.12B"/>
    <n v="1120000000"/>
    <n v="1572.07"/>
    <n v="16.100000000000001"/>
    <n v="81848616"/>
    <d v="2024-08-03T00:00:00"/>
    <s v="Complete"/>
  </r>
  <r>
    <s v="rsutheran1"/>
    <s v="wired.com"/>
    <s v="Riobard"/>
    <s v="Sutheran"/>
    <s v="Male"/>
    <s v="Male"/>
    <s v="209.73.3.19"/>
    <s v="21.198.196.112"/>
    <n v="2"/>
    <n v="2"/>
    <s v="NASDAQ"/>
    <s v="MDVXW"/>
    <s v="Medovex Corp."/>
    <x v="0"/>
    <s v="Medical/Dental Instruments"/>
    <s v="N/A"/>
    <n v="0"/>
    <n v="12.53"/>
    <n v="-5.53"/>
    <n v="126342391"/>
    <d v="2022-03-23T00:00:00"/>
    <s v="Missing"/>
  </r>
  <r>
    <s v="mmangon2"/>
    <s v="deliciousdays.com"/>
    <s v="Malchy"/>
    <s v="Mangon"/>
    <s v="Male"/>
    <s v="Male"/>
    <s v="40.96.8.198"/>
    <s v="66.110.198.128"/>
    <n v="3"/>
    <n v="3"/>
    <s v="NASDAQ"/>
    <s v="SHLO"/>
    <s v="Shiloh Industries, Inc."/>
    <x v="1"/>
    <s v="Industrial Specialties"/>
    <s v="$243.62M"/>
    <n v="243620000"/>
    <n v="537.51"/>
    <n v="5.39"/>
    <n v="152161816"/>
    <d v="2022-08-10T00:00:00"/>
    <s v="Complete"/>
  </r>
  <r>
    <s v="ncouzens3"/>
    <s v="t.co"/>
    <s v="Neely"/>
    <s v="Couzens"/>
    <s v="Female"/>
    <s v="Female"/>
    <s v="40.74.42.144"/>
    <s v="62.92.237.109"/>
    <n v="4"/>
    <n v="4"/>
    <s v="NYSE"/>
    <s v="CYS^A"/>
    <s v="CYS Investments, Inc."/>
    <x v="2"/>
    <s v="N/A"/>
    <s v="N/A"/>
    <n v="0"/>
    <n v="1385.02"/>
    <n v="2.4900000000000002"/>
    <n v="20936922"/>
    <d v="2021-09-19T00:00:00"/>
    <s v="Missing"/>
  </r>
  <r>
    <s v="sslyvester4"/>
    <s v="mapquest.com"/>
    <s v="Shell"/>
    <s v="Slyvester"/>
    <s v="Male"/>
    <s v="Male"/>
    <s v="34.16.92.152"/>
    <s v="232.89.64.25"/>
    <n v="5"/>
    <n v="5"/>
    <s v="NYSE"/>
    <s v="SPE"/>
    <s v="Special Opportunities Fund Inc."/>
    <x v="2"/>
    <s v="N/A"/>
    <s v="$128.56M"/>
    <n v="128560000"/>
    <n v="394.86"/>
    <n v="11.19"/>
    <n v="199860928"/>
    <d v="2022-11-08T00:00:00"/>
    <s v="Missing"/>
  </r>
  <r>
    <s v="nbullent5"/>
    <s v="webeden.co.uk"/>
    <s v="Nerissa"/>
    <s v="Bullent"/>
    <s v="Female"/>
    <s v="Female"/>
    <s v="132.195.230.106"/>
    <s v="97.167.198.83"/>
    <n v="6"/>
    <n v="6"/>
    <s v="NASDAQ"/>
    <s v="ACGLP"/>
    <s v="Arch Capital Group Ltd."/>
    <x v="3"/>
    <s v="Property-Casualty Insurers"/>
    <s v="N/A"/>
    <n v="0"/>
    <n v="1985.06"/>
    <n v="11.31"/>
    <n v="140412451"/>
    <d v="2021-08-18T00:00:00"/>
    <s v="Missing"/>
  </r>
  <r>
    <s v="semanuel6"/>
    <s v="merriam-webster.com"/>
    <s v="Si"/>
    <s v="Emanuel"/>
    <s v="Genderfluid"/>
    <s v="Other"/>
    <s v="67.15.21.205"/>
    <s v="145.65.85.16"/>
    <n v="7"/>
    <n v="7"/>
    <s v="NYSE"/>
    <s v="ITCB"/>
    <s v="Ita? CorpBanca"/>
    <x v="3"/>
    <s v="Major Banks"/>
    <s v="$4.74B"/>
    <n v="4740000000"/>
    <n v="1925.97"/>
    <n v="-9.34"/>
    <n v="111983247"/>
    <d v="2020-03-19T00:00:00"/>
    <s v="Complete"/>
  </r>
  <r>
    <s v="npinnocke7"/>
    <s v="google.co.uk"/>
    <s v="Nicky"/>
    <s v="Pinnocke"/>
    <s v="Bigender"/>
    <s v="Other"/>
    <s v="215.169.21.208"/>
    <s v="25.75.213.68"/>
    <n v="8"/>
    <n v="8"/>
    <s v="NASDAQ"/>
    <s v="PSDO"/>
    <s v="Presidio, Inc."/>
    <x v="4"/>
    <s v="Retail: Computer Software &amp; Peripheral Equipment"/>
    <s v="$1.36B"/>
    <n v="1360000000"/>
    <n v="483.93"/>
    <n v="5.86"/>
    <n v="160273478"/>
    <d v="2025-12-16T00:00:00"/>
    <s v="Complete"/>
  </r>
  <r>
    <s v="vwannes8"/>
    <s v="e-recht24.de"/>
    <s v="Vivienne"/>
    <s v="Wannes"/>
    <s v="Female"/>
    <s v="Female"/>
    <s v="145.246.146.239"/>
    <s v="229.124.56.138"/>
    <n v="9"/>
    <n v="9"/>
    <s v="NASDAQ"/>
    <s v="PMTS"/>
    <s v="CPI Card Group Inc."/>
    <x v="3"/>
    <s v="Finance Companies"/>
    <s v="$127.33M"/>
    <n v="127330000"/>
    <n v="398.34"/>
    <n v="-18.77"/>
    <n v="192380907"/>
    <d v="2024-02-23T00:00:00"/>
    <s v="Complete"/>
  </r>
  <r>
    <s v="glongman9"/>
    <s v="theguardian.com"/>
    <s v="Glennis"/>
    <s v="Longman"/>
    <s v="Female"/>
    <s v="Female"/>
    <s v="106.222.212.88"/>
    <s v="222.206.200.212"/>
    <n v="10"/>
    <n v="10"/>
    <s v="NYSE"/>
    <s v="GDO"/>
    <s v="Western Asset Global Corporate Defined Opportunity Fund Inc."/>
    <x v="2"/>
    <s v="N/A"/>
    <s v="$267.88M"/>
    <n v="267880000"/>
    <n v="1753.78"/>
    <n v="-5.66"/>
    <n v="379405"/>
    <d v="2024-03-16T00:00:00"/>
    <s v="Missing"/>
  </r>
  <r>
    <s v="bmccarrisona"/>
    <s v="cbslocal.com"/>
    <s v="Baily"/>
    <s v="McCarrison"/>
    <s v="Male"/>
    <s v="Male"/>
    <s v="202.221.149.77"/>
    <s v="38.35.206.135"/>
    <n v="11"/>
    <n v="11"/>
    <s v="NYSE"/>
    <s v="GIS"/>
    <s v="General Mills, Inc."/>
    <x v="5"/>
    <s v="Packaged Foods"/>
    <s v="$32.9B"/>
    <n v="32900000000"/>
    <n v="944.97"/>
    <n v="18.98"/>
    <n v="151704924"/>
    <d v="2022-12-05T00:00:00"/>
    <s v="Complete"/>
  </r>
  <r>
    <s v="cmoseleyb"/>
    <s v="apple.com"/>
    <s v="Carny"/>
    <s v="Moseley"/>
    <s v="Male"/>
    <s v="Male"/>
    <s v="79.118.24.26"/>
    <s v="211.144.90.61"/>
    <n v="12"/>
    <n v="12"/>
    <s v="NYSE"/>
    <s v="MNR"/>
    <s v="Monmouth Real Estate Investment Corporation"/>
    <x v="6"/>
    <s v="Real Estate Investment Trusts"/>
    <s v="$1.1B"/>
    <n v="1100000000"/>
    <n v="486.82"/>
    <n v="6.32"/>
    <n v="173617472"/>
    <d v="2023-02-21T00:00:00"/>
    <s v="Complete"/>
  </r>
  <r>
    <s v="twillmerc"/>
    <s v="gov.uk"/>
    <s v="Tommi"/>
    <s v="Willmer"/>
    <s v="Non-binary"/>
    <s v="Other"/>
    <s v="173.82.144.240"/>
    <s v="226.168.242.14"/>
    <n v="13"/>
    <n v="13"/>
    <s v="NYSE"/>
    <s v="WBAI"/>
    <s v="500.com Limited"/>
    <x v="6"/>
    <s v="Services-Misc. Amusement &amp; Recreation"/>
    <s v="$384.71M"/>
    <n v="384710000"/>
    <n v="549.07000000000005"/>
    <n v="-10.94"/>
    <n v="54588753"/>
    <d v="2026-03-21T00:00:00"/>
    <s v="Complete"/>
  </r>
  <r>
    <s v="rcoringtond"/>
    <s v="symantec.com"/>
    <s v="Rowney"/>
    <s v="Corington"/>
    <s v="Male"/>
    <s v="Male"/>
    <s v="196.138.204.62"/>
    <s v="200.126.204.163"/>
    <n v="14"/>
    <n v="14"/>
    <s v="NASDAQ"/>
    <s v="ATHN"/>
    <s v="athenahealth, Inc."/>
    <x v="7"/>
    <s v="Business Services"/>
    <s v="$5.79B"/>
    <n v="5790000000"/>
    <n v="1646.87"/>
    <n v="14.73"/>
    <n v="27077006"/>
    <d v="2026-05-12T00:00:00"/>
    <s v="Complete"/>
  </r>
  <r>
    <s v="bmccambroise"/>
    <s v="ow.ly"/>
    <s v="Beryl"/>
    <s v="McCambrois"/>
    <s v="Female"/>
    <s v="Female"/>
    <s v="41.180.17.152"/>
    <s v="199.38.70.203"/>
    <n v="15"/>
    <n v="15"/>
    <s v="NASDAQ"/>
    <s v="CCCL"/>
    <s v="China Ceramics Co., Ltd."/>
    <x v="1"/>
    <s v="Building Materials"/>
    <s v="$4.5M"/>
    <n v="4500000"/>
    <n v="1380.58"/>
    <n v="15.63"/>
    <n v="51474524"/>
    <d v="2021-07-26T00:00:00"/>
    <s v="Complete"/>
  </r>
  <r>
    <s v="ltalmadgef"/>
    <s v="lycos.com"/>
    <s v="Lorrie"/>
    <s v="Talmadge"/>
    <s v="Male"/>
    <s v="Male"/>
    <s v="109.175.19.221"/>
    <s v="54.26.56.207"/>
    <n v="16"/>
    <n v="16"/>
    <s v="NYSE"/>
    <s v="UZB"/>
    <s v="United States Cellular Corporation"/>
    <x v="8"/>
    <s v="Telecommunications Equipment"/>
    <s v="N/A"/>
    <n v="0"/>
    <n v="594.49"/>
    <n v="1.24"/>
    <n v="139738511"/>
    <d v="2026-10-05T00:00:00"/>
    <s v="Missing"/>
  </r>
  <r>
    <s v="ctellenbachg"/>
    <s v="miibeian.gov.cn"/>
    <s v="Correy"/>
    <s v="Tellenbach"/>
    <s v="Male"/>
    <s v="Male"/>
    <s v="55.159.252.253"/>
    <s v="128.9.189.109"/>
    <n v="17"/>
    <n v="17"/>
    <s v="NYSE"/>
    <s v="COG"/>
    <s v="Cabot Oil &amp; Gas Corporation"/>
    <x v="9"/>
    <s v="Oil &amp; Gas Production"/>
    <s v="$10.76B"/>
    <n v="10760000000"/>
    <n v="1841.2"/>
    <n v="-2.2599999999999998"/>
    <n v="99838632"/>
    <d v="2021-04-27T00:00:00"/>
    <s v="Complete"/>
  </r>
  <r>
    <s v="bnevilleh"/>
    <s v="behance.net"/>
    <s v="Bertina"/>
    <s v="Neville"/>
    <s v="Genderfluid"/>
    <s v="Other"/>
    <s v="17.3.77.165"/>
    <s v="236.15.146.191"/>
    <n v="18"/>
    <n v="18"/>
    <s v="NYSE"/>
    <s v="HMLP"/>
    <s v="Hoegh LNG Partners LP"/>
    <x v="6"/>
    <s v="Marine Transportation"/>
    <s v="$628.6M"/>
    <n v="628600000"/>
    <n v="997.21"/>
    <n v="4.51"/>
    <n v="18856343"/>
    <d v="2020-09-17T00:00:00"/>
    <s v="Complete"/>
  </r>
  <r>
    <s v="ameeusi"/>
    <s v="mozilla.org"/>
    <s v="Allyson"/>
    <s v="Meeus"/>
    <s v="Female"/>
    <s v="Female"/>
    <s v="90.150.220.134"/>
    <s v="85.0.4.56"/>
    <n v="19"/>
    <n v="19"/>
    <s v="NYSE"/>
    <s v="MTB.WS"/>
    <s v="M&amp;T Bank Corporation"/>
    <x v="2"/>
    <s v="N/A"/>
    <s v="N/A"/>
    <n v="0"/>
    <n v="1332.11"/>
    <n v="19.95"/>
    <n v="78140111"/>
    <d v="2023-11-07T00:00:00"/>
    <s v="Missing"/>
  </r>
  <r>
    <s v="kbateupj"/>
    <s v="eventbrite.com"/>
    <s v="Kevon"/>
    <s v="Bateup"/>
    <s v="Genderqueer"/>
    <s v="Other"/>
    <s v="135.154.249.129"/>
    <s v="69.250.2.111"/>
    <n v="20"/>
    <n v="20"/>
    <s v="NYSE"/>
    <s v="BDX"/>
    <s v="Becton, Dickinson and Company"/>
    <x v="0"/>
    <s v="Medical/Dental Instruments"/>
    <s v="$43.49B"/>
    <n v="43490000000"/>
    <n v="69.09"/>
    <n v="7.63"/>
    <n v="91361040"/>
    <d v="2020-01-13T00:00:00"/>
    <s v="Complete"/>
  </r>
  <r>
    <s v="fcarillok"/>
    <s v="simplemachines.org"/>
    <s v="Falkner"/>
    <s v="Carillo"/>
    <s v="Male"/>
    <s v="Male"/>
    <s v="136.51.38.130"/>
    <s v="184.33.28.109"/>
    <n v="21"/>
    <n v="21"/>
    <s v="NYSE"/>
    <s v="SO"/>
    <s v="Southern Company (The)"/>
    <x v="8"/>
    <s v="Electric Utilities: Central"/>
    <s v="$51.25B"/>
    <n v="51250000000"/>
    <n v="95.3"/>
    <n v="-0.51"/>
    <n v="28474693"/>
    <d v="2022-03-04T00:00:00"/>
    <s v="Complete"/>
  </r>
  <r>
    <s v="dblackabyl"/>
    <s v="about.me"/>
    <s v="Davon"/>
    <s v="Blackaby"/>
    <s v="Bigender"/>
    <s v="Other"/>
    <s v="16.86.86.206"/>
    <s v="163.90.221.30"/>
    <n v="22"/>
    <n v="22"/>
    <s v="NASDAQ"/>
    <s v="ZNGA"/>
    <s v="Zynga Inc."/>
    <x v="4"/>
    <s v="EDP Services"/>
    <s v="$3.17B"/>
    <n v="3170000000"/>
    <n v="160.37"/>
    <n v="14.11"/>
    <n v="149428459"/>
    <d v="2021-11-18T00:00:00"/>
    <s v="Complete"/>
  </r>
  <r>
    <s v="pdockerym"/>
    <s v="themeforest.net"/>
    <s v="Pat"/>
    <s v="Dockery"/>
    <s v="Male"/>
    <s v="Male"/>
    <s v="111.84.168.172"/>
    <s v="217.63.119.27"/>
    <n v="23"/>
    <n v="23"/>
    <s v="NYSE"/>
    <s v="LXU"/>
    <s v="Lsb Industries Inc."/>
    <x v="10"/>
    <s v="Major Chemicals"/>
    <s v="$295.41M"/>
    <n v="295410000"/>
    <n v="1496.68"/>
    <n v="-5.87"/>
    <n v="134000009"/>
    <d v="2026-06-13T00:00:00"/>
    <s v="Complete"/>
  </r>
  <r>
    <s v="ewinhamn"/>
    <s v="irs.gov"/>
    <s v="Emogene"/>
    <s v="Winham"/>
    <s v="Female"/>
    <s v="Female"/>
    <s v="8.163.158.231"/>
    <s v="45.119.88.135"/>
    <n v="24"/>
    <n v="24"/>
    <s v="NASDAQ"/>
    <s v="ABMD"/>
    <s v="ABIOMED, Inc."/>
    <x v="0"/>
    <s v="Medical/Dental Instruments"/>
    <s v="$6.28B"/>
    <n v="6280000000"/>
    <n v="1367.88"/>
    <n v="16.190000000000001"/>
    <n v="138361710"/>
    <d v="2022-09-19T00:00:00"/>
    <s v="Complete"/>
  </r>
  <r>
    <s v="lburghallo"/>
    <s v="phpbb.com"/>
    <s v="Lorrie"/>
    <s v="Burghall"/>
    <s v="Male"/>
    <s v="Male"/>
    <s v="106.204.167.215"/>
    <s v="63.95.202.97"/>
    <n v="25"/>
    <n v="25"/>
    <s v="NASDAQ"/>
    <s v="PYDS"/>
    <s v="Payment Data Systems, Inc."/>
    <x v="3"/>
    <s v="Investment Bankers/Brokers/Service"/>
    <s v="$15.38M"/>
    <n v="15380000"/>
    <n v="1558.44"/>
    <n v="-6.67"/>
    <n v="196729450"/>
    <d v="2025-04-20T00:00:00"/>
    <s v="Complete"/>
  </r>
  <r>
    <s v="hdecrusep"/>
    <s v="4shared.com"/>
    <s v="Hy"/>
    <s v="Decruse"/>
    <s v="Agender"/>
    <s v="Other"/>
    <s v="140.147.219.233"/>
    <s v="128.91.63.41"/>
    <n v="26"/>
    <n v="26"/>
    <s v="NASDAQ"/>
    <s v="ASUR"/>
    <s v="Asure Software Inc"/>
    <x v="4"/>
    <s v="EDP Services"/>
    <s v="$172.9M"/>
    <n v="172900000"/>
    <n v="1296.78"/>
    <n v="-14.9"/>
    <n v="41442258"/>
    <d v="2026-06-28T00:00:00"/>
    <s v="Complete"/>
  </r>
  <r>
    <s v="tpicklessq"/>
    <s v="cocolog-nifty.com"/>
    <s v="Tucky"/>
    <s v="Pickless"/>
    <s v="Non-binary"/>
    <s v="Other"/>
    <s v="239.215.147.130"/>
    <s v="250.221.251.194"/>
    <n v="27"/>
    <n v="27"/>
    <s v="NYSE"/>
    <s v="JMT"/>
    <s v="Nuven Mortgage Opportunity Term Fund 2"/>
    <x v="2"/>
    <s v="N/A"/>
    <s v="$118.37M"/>
    <n v="118370000"/>
    <n v="1163.92"/>
    <n v="-19.59"/>
    <n v="139981740"/>
    <d v="2026-06-29T00:00:00"/>
    <s v="Missing"/>
  </r>
  <r>
    <s v="pbamblettr"/>
    <s v="wp.com"/>
    <s v="Palmer"/>
    <s v="Bamblett"/>
    <s v="Male"/>
    <s v="Male"/>
    <s v="103.105.98.208"/>
    <s v="135.149.3.175"/>
    <n v="28"/>
    <n v="28"/>
    <s v="NYSE"/>
    <s v="AVK"/>
    <s v="Advent Claymore Convertible Securities and Income Fund"/>
    <x v="2"/>
    <s v="N/A"/>
    <s v="$378.24M"/>
    <n v="378240000"/>
    <n v="1467.57"/>
    <n v="-9"/>
    <n v="194795912"/>
    <d v="2025-01-29T00:00:00"/>
    <s v="Missing"/>
  </r>
  <r>
    <s v="wflecknoes"/>
    <s v="sina.com.cn"/>
    <s v="Wandie"/>
    <s v="Flecknoe"/>
    <s v="Female"/>
    <s v="Female"/>
    <s v="83.187.21.149"/>
    <s v="238.0.177.1"/>
    <n v="29"/>
    <n v="29"/>
    <s v="NYSE"/>
    <s v="LFGR"/>
    <s v="Leaf Group Ltd."/>
    <x v="4"/>
    <s v="EDP Services"/>
    <s v="$162.87M"/>
    <n v="162870000"/>
    <n v="805.98"/>
    <n v="6.73"/>
    <n v="1041919"/>
    <d v="2025-03-04T00:00:00"/>
    <s v="Complete"/>
  </r>
  <r>
    <s v="ssoamest"/>
    <s v="php.net"/>
    <s v="Stan"/>
    <s v="Soames"/>
    <s v="Male"/>
    <s v="Male"/>
    <s v="18.46.16.89"/>
    <s v="102.173.226.153"/>
    <n v="30"/>
    <n v="30"/>
    <s v="NASDAQ"/>
    <s v="ICFI"/>
    <s v="ICF International, Inc."/>
    <x v="6"/>
    <s v="Professional Services"/>
    <s v="$882.65M"/>
    <n v="882650000"/>
    <n v="1510.86"/>
    <n v="5.96"/>
    <n v="94730962"/>
    <d v="2026-09-14T00:00:00"/>
    <s v="Complete"/>
  </r>
  <r>
    <s v="ematzu"/>
    <s v="w3.org"/>
    <s v="Elsworth"/>
    <s v="Matz"/>
    <s v="Male"/>
    <s v="Male"/>
    <s v="73.209.240.224"/>
    <s v="178.58.14.171"/>
    <n v="31"/>
    <n v="31"/>
    <s v="NASDAQ"/>
    <s v="CEMI"/>
    <s v="Chembio Diagnostics, Inc."/>
    <x v="0"/>
    <s v="Major Pharmaceuticals"/>
    <s v="$73.79M"/>
    <n v="73790000"/>
    <n v="1915.27"/>
    <n v="13.85"/>
    <n v="54209644"/>
    <d v="2020-01-20T00:00:00"/>
    <s v="Complete"/>
  </r>
  <r>
    <s v="rtenderv"/>
    <s v="ebay.com"/>
    <s v="Raviv"/>
    <s v="Tender"/>
    <s v="Male"/>
    <s v="Male"/>
    <s v="223.71.83.74"/>
    <s v="119.66.199.215"/>
    <n v="32"/>
    <n v="32"/>
    <s v="NASDAQ"/>
    <s v="WCFB"/>
    <s v="WCF Bancorp, Inc."/>
    <x v="3"/>
    <s v="Major Banks"/>
    <s v="$26.13M"/>
    <n v="26130000"/>
    <n v="178.74"/>
    <n v="-16.91"/>
    <n v="70251160"/>
    <d v="2026-05-23T00:00:00"/>
    <s v="Complete"/>
  </r>
  <r>
    <s v="boldacrew"/>
    <s v="skype.com"/>
    <s v="Barbabas"/>
    <s v="Oldacre"/>
    <s v="Genderfluid"/>
    <s v="Other"/>
    <s v="122.251.70.24"/>
    <s v="7.180.32.24"/>
    <n v="33"/>
    <n v="33"/>
    <s v="NASDAQ"/>
    <s v="ETSY"/>
    <s v="Etsy, Inc."/>
    <x v="7"/>
    <s v="Business Services"/>
    <s v="$1.59B"/>
    <n v="1590000000"/>
    <n v="922.91"/>
    <n v="14.8"/>
    <n v="181271276"/>
    <d v="2026-11-19T00:00:00"/>
    <s v="Complete"/>
  </r>
  <r>
    <s v="zdefranciscix"/>
    <s v="google.com.hk"/>
    <s v="Zebedee"/>
    <s v="De Francisci"/>
    <s v="Male"/>
    <s v="Male"/>
    <s v="91.1.27.179"/>
    <s v="39.16.70.225"/>
    <n v="34"/>
    <n v="34"/>
    <s v="NASDAQ"/>
    <s v="IIIN"/>
    <s v="Insteel Industries, Inc."/>
    <x v="1"/>
    <s v="Steel/Iron Ore"/>
    <s v="$605.76M"/>
    <n v="605760000"/>
    <n v="1272.42"/>
    <n v="13.97"/>
    <n v="79997222"/>
    <d v="2020-05-26T00:00:00"/>
    <s v="Complete"/>
  </r>
  <r>
    <s v="rmacdowaly"/>
    <s v="yelp.com"/>
    <s v="Rochell"/>
    <s v="MacDowal"/>
    <s v="Female"/>
    <s v="Female"/>
    <s v="153.109.6.43"/>
    <s v="236.18.213.165"/>
    <n v="35"/>
    <n v="35"/>
    <s v="NASDAQ"/>
    <s v="NHLD"/>
    <s v="National Holdings Corporation"/>
    <x v="3"/>
    <s v="Investment Bankers/Brokers/Service"/>
    <s v="$34.45M"/>
    <n v="34450000"/>
    <n v="502.61"/>
    <n v="18.84"/>
    <n v="64784873"/>
    <d v="2023-10-25T00:00:00"/>
    <s v="Complete"/>
  </r>
  <r>
    <s v="owarlawez"/>
    <s v="deliciousdays.com"/>
    <s v="Onfroi"/>
    <s v="Warlawe"/>
    <s v="Male"/>
    <s v="Male"/>
    <s v="113.77.100.238"/>
    <s v="156.160.243.167"/>
    <n v="36"/>
    <n v="36"/>
    <s v="NYSE"/>
    <s v="RGC"/>
    <s v="Regal Entertainment Group"/>
    <x v="6"/>
    <s v="Movies/Entertainment"/>
    <s v="$3.36B"/>
    <n v="3360000000"/>
    <n v="648.34"/>
    <n v="-2.06"/>
    <n v="52870009"/>
    <d v="2025-11-06T00:00:00"/>
    <s v="Complete"/>
  </r>
  <r>
    <s v="dsanford10"/>
    <s v="bloomberg.com"/>
    <s v="Darcee"/>
    <s v="Sanford"/>
    <s v="Female"/>
    <s v="Female"/>
    <s v="135.130.206.58"/>
    <s v="93.221.148.232"/>
    <n v="37"/>
    <n v="37"/>
    <s v="NASDAQ"/>
    <s v="NTWK"/>
    <s v="NetSol Technologies Inc."/>
    <x v="4"/>
    <s v="Computer Software: Prepackaged Software"/>
    <s v="$45.09M"/>
    <n v="45090000"/>
    <n v="620.94000000000005"/>
    <n v="-13.96"/>
    <n v="153684697"/>
    <d v="2023-06-11T00:00:00"/>
    <s v="Complete"/>
  </r>
  <r>
    <s v="wfoulkes11"/>
    <s v="businesswire.com"/>
    <s v="Warren"/>
    <s v="Foulkes"/>
    <s v="Male"/>
    <s v="Male"/>
    <s v="26.130.69.54"/>
    <s v="227.24.211.159"/>
    <n v="38"/>
    <n v="38"/>
    <s v="NYSE"/>
    <s v="ORC"/>
    <s v="Orchid Island Capital, Inc."/>
    <x v="6"/>
    <s v="Real Estate Investment Trusts"/>
    <s v="$350.52M"/>
    <n v="350520000"/>
    <n v="1965.59"/>
    <n v="17.96"/>
    <n v="96749130"/>
    <d v="2023-12-30T00:00:00"/>
    <s v="Complete"/>
  </r>
  <r>
    <s v="mkenzie12"/>
    <s v="bloomberg.com"/>
    <s v="Melitta"/>
    <s v="Kenzie"/>
    <s v="Female"/>
    <s v="Female"/>
    <s v="221.115.169.0"/>
    <s v="68.126.128.3"/>
    <n v="39"/>
    <n v="39"/>
    <s v="NYSE"/>
    <s v="OA"/>
    <s v="Orbital ATK, Inc."/>
    <x v="1"/>
    <s v="Military/Government/Technical"/>
    <s v="$5.74B"/>
    <n v="5740000000"/>
    <n v="956.14"/>
    <n v="4.3099999999999996"/>
    <n v="44583222"/>
    <d v="2021-06-11T00:00:00"/>
    <s v="Complete"/>
  </r>
  <r>
    <s v="ljiggins13"/>
    <s v="cornell.edu"/>
    <s v="Lucas"/>
    <s v="Jiggins"/>
    <s v="Male"/>
    <s v="Male"/>
    <s v="210.212.164.166"/>
    <s v="90.196.134.29"/>
    <n v="40"/>
    <n v="40"/>
    <s v="NASDAQ"/>
    <s v="APPN"/>
    <s v="Appian Corporation"/>
    <x v="4"/>
    <s v="Computer Software: Prepackaged Software"/>
    <s v="$1.07B"/>
    <n v="1070000000.0000001"/>
    <n v="904.14"/>
    <n v="-1.86"/>
    <n v="184214630"/>
    <d v="2021-06-06T00:00:00"/>
    <s v="Complete"/>
  </r>
  <r>
    <s v="kstoad14"/>
    <s v="prlog.org"/>
    <s v="Kelcie"/>
    <s v="Stoad"/>
    <s v="Female"/>
    <s v="Female"/>
    <s v="31.209.201.116"/>
    <s v="231.18.224.146"/>
    <n v="41"/>
    <n v="41"/>
    <s v="NASDAQ"/>
    <s v="TANNZ"/>
    <s v="TravelCenters of America LLC"/>
    <x v="11"/>
    <s v="Automotive Aftermarket"/>
    <s v="N/A"/>
    <n v="0"/>
    <n v="1851.58"/>
    <n v="-5.1100000000000003"/>
    <n v="197095068"/>
    <d v="2022-04-18T00:00:00"/>
    <s v="Missing"/>
  </r>
  <r>
    <s v="ccasiroli15"/>
    <s v="miitbeian.gov.cn"/>
    <s v="Chickie"/>
    <s v="Casiroli"/>
    <s v="Female"/>
    <s v="Female"/>
    <s v="96.139.76.66"/>
    <s v="221.157.14.19"/>
    <n v="42"/>
    <n v="42"/>
    <s v="NASDAQ"/>
    <s v="RARE"/>
    <s v="Ultragenyx Pharmaceutical Inc."/>
    <x v="0"/>
    <s v="Major Pharmaceuticals"/>
    <s v="$2.64B"/>
    <n v="2640000000"/>
    <n v="720.02"/>
    <n v="-17.46"/>
    <n v="180211723"/>
    <d v="2025-07-21T00:00:00"/>
    <s v="Complete"/>
  </r>
  <r>
    <s v="pgobourn16"/>
    <s v="e-recht24.de"/>
    <s v="Pierrette"/>
    <s v="Gobourn"/>
    <s v="Female"/>
    <s v="Female"/>
    <s v="184.248.76.50"/>
    <s v="229.216.218.215"/>
    <n v="43"/>
    <n v="43"/>
    <s v="NYSE"/>
    <s v="NTEST"/>
    <s v="NASDAQ TEST STOCK"/>
    <x v="2"/>
    <s v="N/A"/>
    <s v="N/A"/>
    <n v="0"/>
    <n v="1316.16"/>
    <n v="-15.58"/>
    <n v="194741029"/>
    <d v="2025-10-24T00:00:00"/>
    <s v="Missing"/>
  </r>
  <r>
    <s v="celam17"/>
    <s v="mozilla.com"/>
    <s v="Cchaddie"/>
    <s v="Elam"/>
    <s v="Male"/>
    <s v="Male"/>
    <s v="106.100.176.178"/>
    <s v="55.210.84.234"/>
    <n v="44"/>
    <n v="44"/>
    <s v="NASDAQ"/>
    <s v="AETI"/>
    <s v="American Electric Technologies, Inc."/>
    <x v="9"/>
    <s v="Industrial Machinery/Components"/>
    <s v="$12.31M"/>
    <n v="12310000"/>
    <n v="1628.53"/>
    <n v="5.58"/>
    <n v="92048561"/>
    <d v="2020-10-06T00:00:00"/>
    <s v="Complete"/>
  </r>
  <r>
    <s v="dmatitiaho18"/>
    <s v="imgur.com"/>
    <s v="Dick"/>
    <s v="Matitiaho"/>
    <s v="Male"/>
    <s v="Male"/>
    <s v="44.46.235.48"/>
    <s v="212.22.136.255"/>
    <n v="45"/>
    <n v="45"/>
    <s v="NYSE"/>
    <s v="PL^C"/>
    <s v="Protective Life Corporation"/>
    <x v="2"/>
    <s v="N/A"/>
    <s v="N/A"/>
    <n v="0"/>
    <n v="633.30999999999995"/>
    <n v="19.12"/>
    <n v="8126008"/>
    <d v="2021-02-27T00:00:00"/>
    <s v="Missing"/>
  </r>
  <r>
    <s v="lneillans19"/>
    <s v="sourceforge.net"/>
    <s v="Lisbeth"/>
    <s v="Neillans"/>
    <s v="Female"/>
    <s v="Female"/>
    <s v="122.15.171.200"/>
    <s v="88.47.117.99"/>
    <n v="46"/>
    <n v="46"/>
    <s v="NYSE"/>
    <s v="BAC^L"/>
    <s v="Bank of America Corporation"/>
    <x v="2"/>
    <s v="N/A"/>
    <s v="N/A"/>
    <n v="0"/>
    <n v="385.73"/>
    <n v="12.34"/>
    <n v="79648289"/>
    <d v="2025-12-29T00:00:00"/>
    <s v="Missing"/>
  </r>
  <r>
    <s v="alamdin1a"/>
    <s v="photobucket.com"/>
    <s v="Alyse"/>
    <s v="Lamdin"/>
    <s v="Female"/>
    <s v="Female"/>
    <s v="116.44.232.1"/>
    <s v="237.200.136.16"/>
    <n v="47"/>
    <n v="47"/>
    <s v="NASDAQ"/>
    <s v="CACC"/>
    <s v="Credit Acceptance Corporation"/>
    <x v="3"/>
    <s v="Finance: Consumer Services"/>
    <s v="$4.64B"/>
    <n v="4640000000"/>
    <n v="1831.05"/>
    <n v="4.87"/>
    <n v="136527708"/>
    <d v="2020-09-24T00:00:00"/>
    <s v="Complete"/>
  </r>
  <r>
    <s v="acruddace1b"/>
    <s v="springer.com"/>
    <s v="Alistair"/>
    <s v="Cruddace"/>
    <s v="Male"/>
    <s v="Male"/>
    <s v="242.5.103.114"/>
    <s v="174.34.12.135"/>
    <n v="48"/>
    <n v="48"/>
    <s v="NASDAQ"/>
    <s v="TAPR"/>
    <s v="Barclays Inverse US Treasury Composite ETN"/>
    <x v="3"/>
    <s v="Commercial Banks"/>
    <s v="$14.79M"/>
    <n v="14790000"/>
    <n v="1771.36"/>
    <n v="-19.86"/>
    <n v="102121445"/>
    <d v="2025-06-20T00:00:00"/>
    <s v="Complete"/>
  </r>
  <r>
    <s v="fsiddele1c"/>
    <s v="macromedia.com"/>
    <s v="Fidelity"/>
    <s v="Siddele"/>
    <s v="Female"/>
    <s v="Female"/>
    <s v="62.147.43.8"/>
    <s v="75.112.186.158"/>
    <n v="49"/>
    <n v="49"/>
    <s v="NYSE"/>
    <s v="TISI"/>
    <s v="Team, Inc."/>
    <x v="6"/>
    <s v="Other Consumer Services"/>
    <s v="$751.34M"/>
    <n v="751340000"/>
    <n v="882.05"/>
    <n v="-0.44"/>
    <n v="84604444"/>
    <d v="2022-10-27T00:00:00"/>
    <s v="Complete"/>
  </r>
  <r>
    <s v="hsaleway1d"/>
    <s v="gravatar.com"/>
    <s v="Happy"/>
    <s v="Saleway"/>
    <s v="Female"/>
    <s v="Female"/>
    <s v="22.26.238.238"/>
    <s v="15.137.154.148"/>
    <n v="50"/>
    <n v="50"/>
    <s v="NYSE"/>
    <s v="PZC"/>
    <s v="PIMCO California Municipal Income Fund III"/>
    <x v="2"/>
    <s v="N/A"/>
    <s v="$283.89M"/>
    <n v="283890000"/>
    <n v="750.55"/>
    <n v="-8.9"/>
    <n v="143293854"/>
    <d v="2024-09-25T00:00:00"/>
    <s v="Missing"/>
  </r>
  <r>
    <s v="pgriffithe1e"/>
    <s v="bloglines.com"/>
    <s v="Phelia"/>
    <s v="Griffithe"/>
    <s v="Female"/>
    <s v="Female"/>
    <s v="35.45.204.0"/>
    <s v="171.36.92.103"/>
    <n v="51"/>
    <n v="51"/>
    <s v="NYSE"/>
    <s v="WALA"/>
    <s v="Western Alliance Bancorporation"/>
    <x v="3"/>
    <s v="Major Banks"/>
    <s v="N/A"/>
    <n v="0"/>
    <n v="1403.81"/>
    <n v="-9.15"/>
    <n v="43382305"/>
    <d v="2026-12-20T00:00:00"/>
    <s v="Missing"/>
  </r>
  <r>
    <s v="bcaldow1f"/>
    <s v="hhs.gov"/>
    <s v="Brigitte"/>
    <s v="Caldow"/>
    <s v="Female"/>
    <s v="Female"/>
    <s v="154.196.35.29"/>
    <s v="140.1.206.7"/>
    <n v="52"/>
    <n v="52"/>
    <s v="NYSE"/>
    <s v="MTR"/>
    <s v="Mesa Royalty Trust"/>
    <x v="9"/>
    <s v="Oil &amp; Gas Production"/>
    <s v="$22.46M"/>
    <n v="22460000"/>
    <n v="649.53"/>
    <n v="-8.24"/>
    <n v="152637868"/>
    <d v="2025-01-24T00:00:00"/>
    <s v="Complete"/>
  </r>
  <r>
    <s v="lgosse1g"/>
    <s v="multiply.com"/>
    <s v="Lizzy"/>
    <s v="Gosse"/>
    <s v="Female"/>
    <s v="Female"/>
    <s v="16.161.130.55"/>
    <s v="192.245.205.20"/>
    <n v="53"/>
    <n v="53"/>
    <s v="NASDAQ"/>
    <s v="GLAD"/>
    <s v="Gladstone Capital Corporation"/>
    <x v="2"/>
    <s v="N/A"/>
    <s v="$253.65M"/>
    <n v="253650000"/>
    <n v="986.75"/>
    <n v="8.09"/>
    <n v="144932302"/>
    <d v="2023-05-23T00:00:00"/>
    <s v="Missing"/>
  </r>
  <r>
    <s v="kcathery1h"/>
    <s v="alibaba.com"/>
    <s v="Korney"/>
    <s v="Cathery"/>
    <s v="Bigender"/>
    <s v="Other"/>
    <s v="84.70.178.170"/>
    <s v="134.24.150.125"/>
    <n v="54"/>
    <n v="54"/>
    <s v="NYSE"/>
    <s v="AFSD"/>
    <s v="Aflac Incorporated"/>
    <x v="3"/>
    <s v="Accident &amp;Health Insurance"/>
    <s v="N/A"/>
    <n v="0"/>
    <n v="1056.47"/>
    <n v="11.83"/>
    <n v="6056229"/>
    <d v="2026-02-13T00:00:00"/>
    <s v="Missing"/>
  </r>
  <r>
    <s v="ijancar1i"/>
    <s v="biglobe.ne.jp"/>
    <s v="Iorgos"/>
    <s v="Jancar"/>
    <s v="Male"/>
    <s v="Male"/>
    <s v="141.31.179.142"/>
    <s v="101.125.106.238"/>
    <n v="55"/>
    <n v="55"/>
    <s v="NASDAQ"/>
    <s v="UCTT"/>
    <s v="Ultra Clean Holdings, Inc."/>
    <x v="4"/>
    <s v="Semiconductors"/>
    <s v="$690.58M"/>
    <n v="690580000"/>
    <n v="130.68"/>
    <n v="-14.63"/>
    <n v="130248022"/>
    <d v="2023-07-09T00:00:00"/>
    <s v="Complete"/>
  </r>
  <r>
    <s v="fbegent1j"/>
    <s v="usda.gov"/>
    <s v="Frieda"/>
    <s v="Begent"/>
    <s v="Female"/>
    <s v="Female"/>
    <s v="74.111.228.61"/>
    <s v="44.77.11.249"/>
    <n v="56"/>
    <n v="56"/>
    <s v="NYSE"/>
    <s v="JPM^E"/>
    <s v="J P Morgan Chase &amp; Co"/>
    <x v="2"/>
    <s v="N/A"/>
    <s v="N/A"/>
    <n v="0"/>
    <n v="61.73"/>
    <n v="-4.68"/>
    <n v="98835364"/>
    <d v="2022-08-31T00:00:00"/>
    <s v="Missing"/>
  </r>
  <r>
    <s v="kscoffham1k"/>
    <s v="networkadvertising.org"/>
    <s v="Ker"/>
    <s v="Scoffham"/>
    <s v="Male"/>
    <s v="Male"/>
    <s v="129.97.7.155"/>
    <s v="152.104.222.181"/>
    <n v="57"/>
    <n v="57"/>
    <s v="NASDAQ"/>
    <s v="IBKR"/>
    <s v="Interactive Brokers Group, Inc."/>
    <x v="3"/>
    <s v="Investment Bankers/Brokers/Service"/>
    <s v="$14.98B"/>
    <n v="14980000000"/>
    <n v="197.86"/>
    <n v="14.86"/>
    <n v="2375423"/>
    <d v="2024-03-24T00:00:00"/>
    <s v="Complete"/>
  </r>
  <r>
    <s v="vprince1l"/>
    <s v="msu.edu"/>
    <s v="Velma"/>
    <s v="Prince"/>
    <s v="Female"/>
    <s v="Female"/>
    <s v="169.104.84.10"/>
    <s v="99.176.239.198"/>
    <n v="58"/>
    <n v="58"/>
    <s v="NASDAQ"/>
    <s v="FFWM"/>
    <s v="First Foundation Inc."/>
    <x v="3"/>
    <s v="Major Banks"/>
    <s v="$543.15M"/>
    <n v="543150000"/>
    <n v="1811.05"/>
    <n v="-18.079999999999998"/>
    <n v="188371461"/>
    <d v="2022-11-23T00:00:00"/>
    <s v="Complete"/>
  </r>
  <r>
    <s v="jdavidovics1m"/>
    <s v="paypal.com"/>
    <s v="Jefferson"/>
    <s v="Davidovics"/>
    <s v="Male"/>
    <s v="Male"/>
    <s v="115.17.211.223"/>
    <s v="206.108.202.108"/>
    <n v="59"/>
    <n v="59"/>
    <s v="NYSE"/>
    <s v="DNB"/>
    <s v="Dun &amp; Bradstreet Corporation (The)"/>
    <x v="3"/>
    <s v="Finance: Consumer Services"/>
    <s v="$3.91B"/>
    <n v="3910000000"/>
    <n v="1010.92"/>
    <n v="13.8"/>
    <n v="132129358"/>
    <d v="2025-05-04T00:00:00"/>
    <s v="Complete"/>
  </r>
  <r>
    <s v="dupham1n"/>
    <s v="nba.com"/>
    <s v="Dav"/>
    <s v="Upham"/>
    <s v="Male"/>
    <s v="Male"/>
    <s v="238.255.180.85"/>
    <s v="53.206.80.187"/>
    <n v="60"/>
    <n v="60"/>
    <s v="NYSE"/>
    <s v="IIM"/>
    <s v="Invesco Value Municipal Income Trust"/>
    <x v="2"/>
    <s v="N/A"/>
    <s v="$713.38M"/>
    <n v="713380000"/>
    <n v="1370.52"/>
    <n v="-13.4"/>
    <n v="60185377"/>
    <d v="2025-07-22T00:00:00"/>
    <s v="Missing"/>
  </r>
  <r>
    <s v="athursby1o"/>
    <s v="yahoo.com"/>
    <s v="Anatollo"/>
    <s v="Thursby"/>
    <s v="Male"/>
    <s v="Male"/>
    <s v="73.181.58.197"/>
    <s v="175.24.223.71"/>
    <n v="61"/>
    <n v="61"/>
    <s v="NYSE"/>
    <s v="SHO^F"/>
    <s v="Sunstone Hotel Investors, Inc."/>
    <x v="2"/>
    <s v="N/A"/>
    <s v="N/A"/>
    <n v="0"/>
    <n v="736.92"/>
    <n v="-7.52"/>
    <n v="173261648"/>
    <d v="2024-02-01T00:00:00"/>
    <s v="Missing"/>
  </r>
  <r>
    <s v="bdollman1p"/>
    <s v="a8.net"/>
    <s v="Brockie"/>
    <s v="Dollman"/>
    <s v="Male"/>
    <s v="Male"/>
    <s v="243.189.99.247"/>
    <s v="84.222.239.5"/>
    <n v="62"/>
    <n v="62"/>
    <s v="NYSE"/>
    <s v="MCO"/>
    <s v="Moody's Corporation"/>
    <x v="3"/>
    <s v="Finance: Consumer Services"/>
    <s v="$23.39B"/>
    <n v="23390000000"/>
    <n v="785.18"/>
    <n v="9.23"/>
    <n v="142169489"/>
    <d v="2024-04-16T00:00:00"/>
    <s v="Complete"/>
  </r>
  <r>
    <s v="jatwood1q"/>
    <s v="angelfire.com"/>
    <s v="Joellen"/>
    <s v="Atwood"/>
    <s v="Female"/>
    <s v="Female"/>
    <s v="32.252.253.172"/>
    <s v="167.23.3.247"/>
    <n v="63"/>
    <n v="63"/>
    <s v="NASDAQ"/>
    <s v="GLDI"/>
    <s v="X-Links Gold Shares Covered Call ETN"/>
    <x v="3"/>
    <s v="Investment Bankers/Brokers/Service"/>
    <s v="$126.29M"/>
    <n v="126290000"/>
    <n v="1676.63"/>
    <n v="-3.6"/>
    <n v="18557893"/>
    <d v="2026-01-02T00:00:00"/>
    <s v="Complete"/>
  </r>
  <r>
    <s v="sbudden1r"/>
    <s v="gmpg.org"/>
    <s v="Sullivan"/>
    <s v="Budden"/>
    <s v="Male"/>
    <s v="Male"/>
    <s v="4.232.40.103"/>
    <s v="185.73.54.11"/>
    <n v="64"/>
    <n v="64"/>
    <s v="NASDAQ"/>
    <s v="BCBP"/>
    <s v="BCB Bancorp, Inc. (NJ)"/>
    <x v="3"/>
    <s v="Savings Institutions"/>
    <s v="$174.42M"/>
    <n v="174420000"/>
    <n v="561.39"/>
    <n v="-7.01"/>
    <n v="3288981"/>
    <d v="2024-10-22T00:00:00"/>
    <s v="Complete"/>
  </r>
  <r>
    <s v="gpayze1s"/>
    <s v="imgur.com"/>
    <s v="Gherardo"/>
    <s v="Payze"/>
    <s v="Male"/>
    <s v="Male"/>
    <s v="170.59.50.97"/>
    <s v="11.107.174.150"/>
    <n v="65"/>
    <n v="65"/>
    <s v="NASDAQ"/>
    <s v="KTCC"/>
    <s v="Key Tronic Corporation"/>
    <x v="4"/>
    <s v="Computer peripheral equipment"/>
    <s v="$73.17M"/>
    <n v="73170000"/>
    <n v="613.75"/>
    <n v="-9.98"/>
    <n v="126755075"/>
    <d v="2023-11-07T00:00:00"/>
    <s v="Complete"/>
  </r>
  <r>
    <s v="gpetel1t"/>
    <s v="java.com"/>
    <s v="Genevieve"/>
    <s v="Petel"/>
    <s v="Female"/>
    <s v="Female"/>
    <s v="96.76.60.24"/>
    <s v="212.2.173.16"/>
    <n v="66"/>
    <n v="66"/>
    <s v="NYSE"/>
    <s v="NTEST.B"/>
    <s v="NASDAQ TEST STOCK"/>
    <x v="2"/>
    <s v="N/A"/>
    <s v="N/A"/>
    <n v="0"/>
    <n v="1023.08"/>
    <n v="18.670000000000002"/>
    <n v="57346495"/>
    <d v="2021-05-07T00:00:00"/>
    <s v="Missing"/>
  </r>
  <r>
    <s v="tlabrow1u"/>
    <s v="squarespace.com"/>
    <s v="Tracey"/>
    <s v="Labrow"/>
    <s v="Female"/>
    <s v="Female"/>
    <s v="158.72.5.180"/>
    <s v="30.61.56.84"/>
    <n v="67"/>
    <n v="67"/>
    <s v="NYSE"/>
    <s v="CRC"/>
    <s v="California Resources Corporation"/>
    <x v="9"/>
    <s v="Oil &amp; Gas Production"/>
    <s v="$441.26M"/>
    <n v="441260000"/>
    <n v="953.79"/>
    <n v="-7"/>
    <n v="82271495"/>
    <d v="2021-01-29T00:00:00"/>
    <s v="Complete"/>
  </r>
  <r>
    <s v="cmckirton1v"/>
    <s v="utexas.edu"/>
    <s v="Cris"/>
    <s v="McKirton"/>
    <s v="Male"/>
    <s v="Male"/>
    <s v="33.241.203.151"/>
    <s v="113.153.102.57"/>
    <n v="68"/>
    <n v="68"/>
    <s v="NYSE"/>
    <s v="BDX"/>
    <s v="Becton, Dickinson and Company"/>
    <x v="0"/>
    <s v="Medical/Dental Instruments"/>
    <s v="$43.49B"/>
    <n v="43490000000"/>
    <n v="75.34"/>
    <n v="18.89"/>
    <n v="157125033"/>
    <d v="2022-11-14T00:00:00"/>
    <s v="Complete"/>
  </r>
  <r>
    <s v="fogeaney1w"/>
    <s v="tripod.com"/>
    <s v="Farlee"/>
    <s v="O'Geaney"/>
    <s v="Male"/>
    <s v="Male"/>
    <s v="198.154.45.203"/>
    <s v="123.123.51.131"/>
    <n v="69"/>
    <n v="69"/>
    <s v="NYSE"/>
    <s v="FHN^A"/>
    <s v="First Horizon National Corporation"/>
    <x v="2"/>
    <s v="N/A"/>
    <s v="N/A"/>
    <n v="0"/>
    <n v="1389.33"/>
    <n v="17.86"/>
    <n v="187657309"/>
    <d v="2021-01-07T00:00:00"/>
    <s v="Missing"/>
  </r>
  <r>
    <s v="hsomerscales1x"/>
    <s v="google.ca"/>
    <s v="Harvey"/>
    <s v="Somerscales"/>
    <s v="Male"/>
    <s v="Male"/>
    <s v="31.52.167.175"/>
    <s v="183.221.9.43"/>
    <n v="70"/>
    <n v="70"/>
    <s v="NASDAQ"/>
    <s v="NBN"/>
    <s v="Northeast Bancorp"/>
    <x v="3"/>
    <s v="Major Banks"/>
    <s v="$180.4M"/>
    <n v="180400000"/>
    <n v="957.53"/>
    <n v="-14.32"/>
    <n v="45479048"/>
    <d v="2026-08-01T00:00:00"/>
    <s v="Complete"/>
  </r>
  <r>
    <s v="nvedenisov1y"/>
    <s v="ocn.ne.jp"/>
    <s v="Natale"/>
    <s v="Vedenisov"/>
    <s v="Male"/>
    <s v="Male"/>
    <s v="139.255.207.48"/>
    <s v="201.110.130.172"/>
    <n v="71"/>
    <n v="71"/>
    <s v="NASDAQ"/>
    <s v="LVHD"/>
    <s v="Legg Mason Low Volatility High Dividend ETF"/>
    <x v="2"/>
    <s v="N/A"/>
    <s v="N/A"/>
    <n v="0"/>
    <n v="1463.97"/>
    <n v="6.08"/>
    <n v="171622545"/>
    <d v="2026-09-10T00:00:00"/>
    <s v="Missing"/>
  </r>
  <r>
    <s v="ckinnon1z"/>
    <s v="blinklist.com"/>
    <s v="Chev"/>
    <s v="Kinnon"/>
    <s v="Male"/>
    <s v="Male"/>
    <s v="9.235.50.248"/>
    <s v="206.2.116.18"/>
    <n v="72"/>
    <n v="72"/>
    <s v="NYSE"/>
    <s v="LGI"/>
    <s v="Lazard Global Total Return and Income Fund"/>
    <x v="2"/>
    <s v="N/A"/>
    <s v="$156.37M"/>
    <n v="156370000"/>
    <n v="1301.98"/>
    <n v="5.13"/>
    <n v="99605384"/>
    <d v="2023-04-29T00:00:00"/>
    <s v="Missing"/>
  </r>
  <r>
    <s v="mgeater20"/>
    <s v="sitemeter.com"/>
    <s v="Maurita"/>
    <s v="Geater"/>
    <s v="Female"/>
    <s v="Female"/>
    <s v="253.107.167.137"/>
    <s v="17.147.233.147"/>
    <n v="73"/>
    <n v="73"/>
    <s v="NYSE"/>
    <s v="HT^C"/>
    <s v="Hersha Hospitality Trust"/>
    <x v="2"/>
    <s v="N/A"/>
    <s v="N/A"/>
    <n v="0"/>
    <n v="1975.3"/>
    <n v="-6.07"/>
    <n v="108921333"/>
    <d v="2024-03-23T00:00:00"/>
    <s v="Missing"/>
  </r>
  <r>
    <s v="kswarbrick21"/>
    <s v="prnewswire.com"/>
    <s v="Kirsten"/>
    <s v="Swarbrick"/>
    <s v="Female"/>
    <s v="Female"/>
    <s v="62.114.139.114"/>
    <s v="218.206.61.2"/>
    <n v="74"/>
    <n v="74"/>
    <s v="NASDAQ"/>
    <s v="BSTC"/>
    <s v="BioSpecifics Technologies Corp"/>
    <x v="0"/>
    <s v="Major Pharmaceuticals"/>
    <s v="$345.31M"/>
    <n v="345310000"/>
    <n v="563.24"/>
    <n v="-0.5"/>
    <n v="122889349"/>
    <d v="2022-03-04T00:00:00"/>
    <s v="Complete"/>
  </r>
  <r>
    <s v="acolombier22"/>
    <s v="berkeley.edu"/>
    <s v="Antonia"/>
    <s v="Colombier"/>
    <s v="Female"/>
    <s v="Female"/>
    <s v="196.132.8.219"/>
    <s v="102.68.77.251"/>
    <n v="75"/>
    <n v="75"/>
    <s v="NASDAQ"/>
    <s v="RNST"/>
    <s v="Renasant Corporation"/>
    <x v="3"/>
    <s v="Major Banks"/>
    <s v="$1.94B"/>
    <n v="1940000000"/>
    <n v="1136.01"/>
    <n v="-1.36"/>
    <n v="126397315"/>
    <d v="2022-12-29T00:00:00"/>
    <s v="Complete"/>
  </r>
  <r>
    <s v="chenrie23"/>
    <s v="seattletimes.com"/>
    <s v="Cort"/>
    <s v="Henrie"/>
    <s v="Male"/>
    <s v="Male"/>
    <s v="100.180.232.9"/>
    <s v="63.115.70.85"/>
    <n v="76"/>
    <n v="76"/>
    <s v="NYSE"/>
    <s v="BORN"/>
    <s v="China New Borun Corporation"/>
    <x v="5"/>
    <s v="Beverages (Production/Distribution)"/>
    <s v="$34.21M"/>
    <n v="34210000"/>
    <n v="1916.04"/>
    <n v="9.65"/>
    <n v="62335111"/>
    <d v="2020-04-30T00:00:00"/>
    <s v="Complete"/>
  </r>
  <r>
    <s v="mwarsop24"/>
    <s v="salon.com"/>
    <s v="Miquela"/>
    <s v="Warsop"/>
    <s v="Female"/>
    <s v="Female"/>
    <s v="52.104.221.123"/>
    <s v="180.220.177.32"/>
    <n v="77"/>
    <n v="77"/>
    <s v="NYSE"/>
    <s v="PRE^G"/>
    <s v="PartnerRe Ltd."/>
    <x v="2"/>
    <s v="N/A"/>
    <s v="N/A"/>
    <n v="0"/>
    <n v="1968.73"/>
    <n v="19.059999999999999"/>
    <n v="194101242"/>
    <d v="2021-09-22T00:00:00"/>
    <s v="Missing"/>
  </r>
  <r>
    <s v="lmoraleda25"/>
    <s v="uol.com.br"/>
    <s v="Lyon"/>
    <s v="Moraleda"/>
    <s v="Male"/>
    <s v="Male"/>
    <s v="172.210.186.208"/>
    <s v="153.65.84.159"/>
    <n v="78"/>
    <n v="78"/>
    <s v="NYSE"/>
    <s v="PEB^D"/>
    <s v="Pebblebrook Hotel Trust"/>
    <x v="2"/>
    <s v="N/A"/>
    <s v="N/A"/>
    <n v="0"/>
    <n v="1430.46"/>
    <n v="-6.23"/>
    <n v="16264152"/>
    <d v="2025-04-14T00:00:00"/>
    <s v="Missing"/>
  </r>
  <r>
    <s v="anickoll26"/>
    <s v="sciencedaily.com"/>
    <s v="Abner"/>
    <s v="Nickoll"/>
    <s v="Male"/>
    <s v="Male"/>
    <s v="230.120.181.252"/>
    <s v="157.176.173.141"/>
    <n v="79"/>
    <n v="79"/>
    <s v="NYSE"/>
    <s v="BML^G"/>
    <s v="Bank of America Corporation"/>
    <x v="2"/>
    <s v="N/A"/>
    <s v="N/A"/>
    <n v="0"/>
    <n v="1250.4000000000001"/>
    <n v="16.73"/>
    <n v="35591014"/>
    <d v="2026-11-07T00:00:00"/>
    <s v="Missing"/>
  </r>
  <r>
    <s v="mphizacklea27"/>
    <s v="gizmodo.com"/>
    <s v="Mikkel"/>
    <s v="Phizacklea"/>
    <s v="Male"/>
    <s v="Male"/>
    <s v="222.86.98.194"/>
    <s v="195.42.75.196"/>
    <n v="80"/>
    <n v="80"/>
    <s v="NYSE"/>
    <s v="AHL^C"/>
    <s v="Aspen Insurance Holdings Limited"/>
    <x v="2"/>
    <s v="N/A"/>
    <s v="N/A"/>
    <n v="0"/>
    <n v="1370.69"/>
    <n v="-0.99"/>
    <n v="94442945"/>
    <d v="2025-02-15T00:00:00"/>
    <s v="Missing"/>
  </r>
  <r>
    <s v="hkliemke28"/>
    <s v="unicef.org"/>
    <s v="Had"/>
    <s v="Kliemke"/>
    <s v="Male"/>
    <s v="Male"/>
    <s v="229.115.45.54"/>
    <s v="156.156.135.36"/>
    <n v="81"/>
    <n v="81"/>
    <s v="NYSE"/>
    <s v="WNS"/>
    <s v="WNS (Holdings) Limited"/>
    <x v="7"/>
    <s v="Business Services"/>
    <s v="$1.63B"/>
    <n v="1630000000"/>
    <n v="1241.76"/>
    <n v="-0.04"/>
    <n v="62090166"/>
    <d v="2022-09-28T00:00:00"/>
    <s v="Complete"/>
  </r>
  <r>
    <s v="byoungman29"/>
    <s v="utexas.edu"/>
    <s v="Brianne"/>
    <s v="Youngman"/>
    <s v="Genderqueer"/>
    <s v="Other"/>
    <s v="147.161.161.161"/>
    <s v="1.12.47.68"/>
    <n v="82"/>
    <n v="82"/>
    <s v="NYSE"/>
    <s v="NVTA"/>
    <s v="Invitae Corporation"/>
    <x v="0"/>
    <s v="Medical Specialities"/>
    <s v="$395.64M"/>
    <n v="395640000"/>
    <n v="1778.93"/>
    <n v="-5.26"/>
    <n v="85225275"/>
    <d v="2024-10-08T00:00:00"/>
    <s v="Complete"/>
  </r>
  <r>
    <s v="lkellert2a"/>
    <s v="1688.com"/>
    <s v="Lorant"/>
    <s v="Kellert"/>
    <s v="Male"/>
    <s v="Male"/>
    <s v="201.124.67.19"/>
    <s v="101.134.73.159"/>
    <n v="83"/>
    <n v="83"/>
    <s v="NYSE"/>
    <s v="UZA"/>
    <s v="United States Cellular Corporation"/>
    <x v="8"/>
    <s v="Telecommunications Equipment"/>
    <s v="N/A"/>
    <n v="0"/>
    <n v="1455.13"/>
    <n v="8.1300000000000008"/>
    <n v="198030859"/>
    <d v="2026-12-18T00:00:00"/>
    <s v="Missing"/>
  </r>
  <r>
    <s v="rvalentelli2b"/>
    <s v="arizona.edu"/>
    <s v="Roman"/>
    <s v="Valentelli"/>
    <s v="Male"/>
    <s v="Male"/>
    <s v="57.77.54.55"/>
    <s v="232.181.48.245"/>
    <n v="84"/>
    <n v="84"/>
    <s v="NYSE"/>
    <s v="CR"/>
    <s v="Crane Company"/>
    <x v="1"/>
    <s v="Metal Fabrications"/>
    <s v="$4.72B"/>
    <n v="4720000000"/>
    <n v="1536.17"/>
    <n v="7.55"/>
    <n v="21651288"/>
    <d v="2021-04-27T00:00:00"/>
    <s v="Complete"/>
  </r>
  <r>
    <s v="bsunderland2c"/>
    <s v="joomla.org"/>
    <s v="Bayard"/>
    <s v="Sunderland"/>
    <s v="Male"/>
    <s v="Male"/>
    <s v="66.162.98.5"/>
    <s v="189.12.79.23"/>
    <n v="85"/>
    <n v="85"/>
    <s v="NASDAQ"/>
    <s v="SCACU"/>
    <s v="Saban Capital Acquisition Corp."/>
    <x v="2"/>
    <s v="N/A"/>
    <s v="N/A"/>
    <n v="0"/>
    <n v="1128.0899999999999"/>
    <n v="-7.76"/>
    <n v="74481238"/>
    <d v="2022-01-07T00:00:00"/>
    <s v="Missing"/>
  </r>
  <r>
    <s v="crossey2d"/>
    <s v="youtu.be"/>
    <s v="Corbett"/>
    <s v="Rossey"/>
    <s v="Male"/>
    <s v="Male"/>
    <s v="142.249.64.59"/>
    <s v="95.56.30.75"/>
    <n v="86"/>
    <n v="86"/>
    <s v="NYSE"/>
    <s v="QEP"/>
    <s v="QEP Resources, Inc."/>
    <x v="9"/>
    <s v="Oil &amp; Gas Production"/>
    <s v="$2.18B"/>
    <n v="2180000000"/>
    <n v="188.68"/>
    <n v="9.1300000000000008"/>
    <n v="32426784"/>
    <d v="2024-05-24T00:00:00"/>
    <s v="Complete"/>
  </r>
  <r>
    <s v="ytrubshaw2e"/>
    <s v="imageshack.us"/>
    <s v="Yurik"/>
    <s v="Trubshaw"/>
    <s v="Male"/>
    <s v="Male"/>
    <s v="185.122.150.142"/>
    <s v="209.38.140.114"/>
    <n v="87"/>
    <n v="87"/>
    <s v="NYSE"/>
    <s v="FT"/>
    <s v="Franklin Universal Trust"/>
    <x v="2"/>
    <s v="N/A"/>
    <s v="$184.47M"/>
    <n v="184470000"/>
    <n v="540.97"/>
    <n v="-15.14"/>
    <n v="78581562"/>
    <d v="2024-07-15T00:00:00"/>
    <s v="Missing"/>
  </r>
  <r>
    <s v="swright2f"/>
    <s v="nytimes.com"/>
    <s v="Susanetta"/>
    <s v="Wright"/>
    <s v="Female"/>
    <s v="Female"/>
    <s v="36.152.77.240"/>
    <s v="64.209.218.227"/>
    <n v="88"/>
    <n v="88"/>
    <s v="NASDAQ"/>
    <s v="NVIV"/>
    <s v="InVivo Therapeutics Holdings Corp."/>
    <x v="0"/>
    <s v="Medical/Dental Instruments"/>
    <s v="$69.13M"/>
    <n v="69130000"/>
    <n v="1289.3399999999999"/>
    <n v="11.87"/>
    <n v="62169079"/>
    <d v="2022-03-28T00:00:00"/>
    <s v="Complete"/>
  </r>
  <r>
    <s v="rgallyhaock2g"/>
    <s v="tinyurl.com"/>
    <s v="Risa"/>
    <s v="Gallyhaock"/>
    <s v="Female"/>
    <s v="Female"/>
    <s v="240.152.53.255"/>
    <s v="176.129.201.251"/>
    <n v="89"/>
    <n v="89"/>
    <s v="NASDAQ"/>
    <s v="EKSO"/>
    <s v="Ekso Bionics Holdings, Inc."/>
    <x v="1"/>
    <s v="Industrial Machinery/Components"/>
    <s v="$49.22M"/>
    <n v="49220000"/>
    <n v="1033.4000000000001"/>
    <n v="16.79"/>
    <n v="38465455"/>
    <d v="2023-10-28T00:00:00"/>
    <s v="Complete"/>
  </r>
  <r>
    <s v="kheard2h"/>
    <s v="infoseek.co.jp"/>
    <s v="Katerina"/>
    <s v="Heard"/>
    <s v="Female"/>
    <s v="Female"/>
    <s v="58.121.240.101"/>
    <s v="217.223.139.198"/>
    <n v="90"/>
    <n v="90"/>
    <s v="NASDAQ"/>
    <s v="ITI"/>
    <s v="Iteris, Inc."/>
    <x v="11"/>
    <s v="Telecommunications Equipment"/>
    <s v="$182.94M"/>
    <n v="182940000"/>
    <n v="872.08"/>
    <n v="9.77"/>
    <n v="31234104"/>
    <d v="2023-09-10T00:00:00"/>
    <s v="Complete"/>
  </r>
  <r>
    <s v="jbarnbrook2i"/>
    <s v="businessweek.com"/>
    <s v="Jeanette"/>
    <s v="Barnbrook"/>
    <s v="Female"/>
    <s v="Female"/>
    <s v="73.130.227.135"/>
    <s v="184.184.167.106"/>
    <n v="91"/>
    <n v="91"/>
    <s v="NYSE"/>
    <s v="COT"/>
    <s v="Cott Corporation"/>
    <x v="5"/>
    <s v="Beverages (Production/Distribution)"/>
    <s v="$1.97B"/>
    <n v="1970000000"/>
    <n v="497.37"/>
    <n v="-4.12"/>
    <n v="124374862"/>
    <d v="2023-01-16T00:00:00"/>
    <s v="Complete"/>
  </r>
  <r>
    <s v="mlucey2j"/>
    <s v="cornell.edu"/>
    <s v="Mychal"/>
    <s v="Lucey"/>
    <s v="Male"/>
    <s v="Male"/>
    <s v="35.202.97.120"/>
    <s v="106.206.70.212"/>
    <n v="92"/>
    <n v="92"/>
    <s v="NYSE"/>
    <s v="RLGY"/>
    <s v="Realogy Holdings Corp."/>
    <x v="3"/>
    <s v="Real Estate"/>
    <s v="$4.14B"/>
    <n v="4139999999.9999995"/>
    <n v="233.08"/>
    <n v="-11.03"/>
    <n v="4356642"/>
    <d v="2023-05-18T00:00:00"/>
    <s v="Complete"/>
  </r>
  <r>
    <s v="schatfield2k"/>
    <s v="sun.com"/>
    <s v="Shanda"/>
    <s v="Chatfield"/>
    <s v="Female"/>
    <s v="Female"/>
    <s v="156.81.55.249"/>
    <s v="83.237.195.156"/>
    <n v="93"/>
    <n v="93"/>
    <s v="NASDAQ"/>
    <s v="MSBI"/>
    <s v="Midland States Bancorp, Inc."/>
    <x v="3"/>
    <s v="Major Banks"/>
    <s v="$655.78M"/>
    <n v="655780000"/>
    <n v="573.25"/>
    <n v="12.55"/>
    <n v="121898054"/>
    <d v="2026-01-29T00:00:00"/>
    <s v="Complete"/>
  </r>
  <r>
    <s v="econant2l"/>
    <s v="gov.uk"/>
    <s v="El"/>
    <s v="Conant"/>
    <s v="Male"/>
    <s v="Male"/>
    <s v="6.153.176.217"/>
    <s v="88.19.34.178"/>
    <n v="94"/>
    <n v="94"/>
    <s v="NYSE"/>
    <s v="REVG"/>
    <s v="REV Group, Inc."/>
    <x v="1"/>
    <s v="Auto Manufacturing"/>
    <s v="$1.92B"/>
    <n v="1920000000"/>
    <n v="1020.42"/>
    <n v="7.22"/>
    <n v="25429401"/>
    <d v="2025-09-25T00:00:00"/>
    <s v="Complete"/>
  </r>
  <r>
    <s v="spenrose2m"/>
    <s v="tmall.com"/>
    <s v="Shanan"/>
    <s v="Penrose"/>
    <s v="Male"/>
    <s v="Male"/>
    <s v="159.59.99.174"/>
    <s v="167.16.215.229"/>
    <n v="95"/>
    <n v="95"/>
    <s v="NASDAQ"/>
    <s v="LMOS"/>
    <s v="Lumos Networks Corp."/>
    <x v="8"/>
    <s v="Telecommunications Equipment"/>
    <s v="$427.4M"/>
    <n v="427400000"/>
    <n v="32.270000000000003"/>
    <n v="13.11"/>
    <n v="26218439"/>
    <d v="2021-04-15T00:00:00"/>
    <s v="Complete"/>
  </r>
  <r>
    <s v="mashe2n"/>
    <s v="angelfire.com"/>
    <s v="Monroe"/>
    <s v="Ashe"/>
    <s v="Male"/>
    <s v="Male"/>
    <s v="56.58.85.93"/>
    <s v="175.218.180.36"/>
    <n v="96"/>
    <n v="96"/>
    <s v="NYSE"/>
    <s v="TSLF"/>
    <s v="THL Credit Senior Loan Fund"/>
    <x v="2"/>
    <s v="N/A"/>
    <s v="$133.17M"/>
    <n v="133169999.99999999"/>
    <n v="447.9"/>
    <n v="-8.0299999999999994"/>
    <n v="136116150"/>
    <d v="2020-07-22T00:00:00"/>
    <s v="Missing"/>
  </r>
  <r>
    <s v="lmccolm2o"/>
    <s v="last.fm"/>
    <s v="Libbey"/>
    <s v="McColm"/>
    <s v="Female"/>
    <s v="Female"/>
    <s v="198.160.30.62"/>
    <s v="218.225.76.141"/>
    <n v="97"/>
    <n v="97"/>
    <s v="NASDAQ"/>
    <s v="CHDN"/>
    <s v="Churchill Downs, Incorporated"/>
    <x v="6"/>
    <s v="Services-Misc. Amusement &amp; Recreation"/>
    <s v="$2.83B"/>
    <n v="2830000000"/>
    <n v="599.4"/>
    <n v="16.170000000000002"/>
    <n v="28100951"/>
    <d v="2022-02-15T00:00:00"/>
    <s v="Complete"/>
  </r>
  <r>
    <s v="lnolan2p"/>
    <s v="youtube.com"/>
    <s v="Lanette"/>
    <s v="Nolan"/>
    <s v="Female"/>
    <s v="Female"/>
    <s v="212.51.251.28"/>
    <s v="46.78.254.184"/>
    <n v="98"/>
    <n v="98"/>
    <s v="NYSE"/>
    <s v="LII"/>
    <s v="Lennox International, Inc."/>
    <x v="1"/>
    <s v="Industrial Machinery/Components"/>
    <s v="$8.05B"/>
    <n v="8050000000.000001"/>
    <n v="794.34"/>
    <n v="16.86"/>
    <n v="149411695"/>
    <d v="2022-02-04T00:00:00"/>
    <s v="Complete"/>
  </r>
  <r>
    <s v="adyshart2q"/>
    <s v="stumbleupon.com"/>
    <s v="Aldrich"/>
    <s v="Dyshart"/>
    <s v="Bigender"/>
    <s v="Other"/>
    <s v="112.183.116.115"/>
    <s v="254.202.111.65"/>
    <n v="99"/>
    <n v="99"/>
    <s v="NASDAQ"/>
    <s v="CDW"/>
    <s v="CDW Corporation"/>
    <x v="6"/>
    <s v="Catalog/Specialty Distribution"/>
    <s v="$9.73B"/>
    <n v="9730000000"/>
    <n v="1988.92"/>
    <n v="19.670000000000002"/>
    <n v="168609941"/>
    <d v="2021-05-23T00:00:00"/>
    <s v="Complete"/>
  </r>
  <r>
    <s v="afilochov2r"/>
    <s v="cornell.edu"/>
    <s v="Ashien"/>
    <s v="Filochov"/>
    <s v="Female"/>
    <s v="Female"/>
    <s v="7.78.72.171"/>
    <s v="134.33.247.187"/>
    <n v="100"/>
    <n v="100"/>
    <s v="NASDAQ"/>
    <s v="PCYO"/>
    <s v="Pure Cycle Corporation"/>
    <x v="8"/>
    <s v="Water Supply"/>
    <s v="$188.85M"/>
    <n v="188850000"/>
    <n v="157.22"/>
    <n v="-7.62"/>
    <n v="129723433"/>
    <d v="2023-09-27T00:00:00"/>
    <s v="Complete"/>
  </r>
  <r>
    <s v="wfishly2s"/>
    <s v="uiuc.edu"/>
    <s v="Westbrooke"/>
    <s v="Fishly"/>
    <s v="Male"/>
    <s v="Male"/>
    <s v="156.243.177.219"/>
    <s v="208.241.111.222"/>
    <n v="101"/>
    <n v="101"/>
    <s v="NASDAQ"/>
    <s v="SRUNU"/>
    <s v="Silver Run Acquisition Corporation II"/>
    <x v="3"/>
    <s v="Business Services"/>
    <s v="N/A"/>
    <n v="0"/>
    <n v="1219.6500000000001"/>
    <n v="9.35"/>
    <n v="109620162"/>
    <d v="2023-11-17T00:00:00"/>
    <s v="Missing"/>
  </r>
  <r>
    <s v="lfain2t"/>
    <s v="cafepress.com"/>
    <s v="Lonna"/>
    <s v="Fain"/>
    <s v="Female"/>
    <s v="Female"/>
    <s v="93.97.121.185"/>
    <s v="185.151.233.216"/>
    <n v="102"/>
    <n v="102"/>
    <s v="NYSE"/>
    <s v="TCF.WS"/>
    <s v="TCF Financial Corporation"/>
    <x v="2"/>
    <s v="N/A"/>
    <s v="N/A"/>
    <n v="0"/>
    <n v="127.01"/>
    <n v="-2.17"/>
    <n v="188106513"/>
    <d v="2022-10-16T00:00:00"/>
    <s v="Missing"/>
  </r>
  <r>
    <s v="ryelyashev2u"/>
    <s v="hc360.com"/>
    <s v="Rosa"/>
    <s v="Yelyashev"/>
    <s v="Genderqueer"/>
    <s v="Other"/>
    <s v="240.106.131.145"/>
    <s v="218.9.224.20"/>
    <n v="103"/>
    <n v="103"/>
    <s v="NASDAQ"/>
    <s v="AMOV"/>
    <s v="America Movil, S.A.B. de C.V."/>
    <x v="8"/>
    <s v="Telecommunications Equipment"/>
    <s v="$51.95B"/>
    <n v="51950000000"/>
    <n v="1300.58"/>
    <n v="-12.57"/>
    <n v="1096096"/>
    <d v="2021-04-21T00:00:00"/>
    <s v="Complete"/>
  </r>
  <r>
    <s v="sarnaudon2v"/>
    <s v="wiley.com"/>
    <s v="Sutherlan"/>
    <s v="Arnaudon"/>
    <s v="Male"/>
    <s v="Male"/>
    <s v="0.29.179.173"/>
    <s v="239.245.152.212"/>
    <n v="104"/>
    <n v="104"/>
    <s v="NASDAQ"/>
    <s v="NTRS"/>
    <s v="Northern Trust Corporation"/>
    <x v="3"/>
    <s v="Major Banks"/>
    <s v="$21.71B"/>
    <n v="21710000000"/>
    <n v="1363.41"/>
    <n v="-1.84"/>
    <n v="155653743"/>
    <d v="2023-11-28T00:00:00"/>
    <s v="Complete"/>
  </r>
  <r>
    <s v="gfarey2w"/>
    <s v="cbc.ca"/>
    <s v="Garner"/>
    <s v="Farey"/>
    <s v="Male"/>
    <s v="Male"/>
    <s v="113.201.203.40"/>
    <s v="200.217.133.242"/>
    <n v="105"/>
    <n v="105"/>
    <s v="NASDAQ"/>
    <s v="GFN"/>
    <s v="General Finance Corporation"/>
    <x v="4"/>
    <s v="Diversified Commercial Services"/>
    <s v="$125.85M"/>
    <n v="125850000"/>
    <n v="1756.48"/>
    <n v="6.85"/>
    <n v="49961408"/>
    <d v="2020-04-21T00:00:00"/>
    <s v="Complete"/>
  </r>
  <r>
    <s v="lfilipiak2x"/>
    <s v="issuu.com"/>
    <s v="Lani"/>
    <s v="Filipiak"/>
    <s v="Female"/>
    <s v="Female"/>
    <s v="129.129.234.91"/>
    <s v="87.135.122.129"/>
    <n v="106"/>
    <n v="106"/>
    <s v="NYSE"/>
    <s v="WFC^Q"/>
    <s v="Wells Fargo &amp; Company"/>
    <x v="2"/>
    <s v="N/A"/>
    <s v="N/A"/>
    <n v="0"/>
    <n v="828.02"/>
    <n v="-5.55"/>
    <n v="34730067"/>
    <d v="2026-02-07T00:00:00"/>
    <s v="Missing"/>
  </r>
  <r>
    <s v="htrett2y"/>
    <s v="gmpg.org"/>
    <s v="Hube"/>
    <s v="Trett"/>
    <s v="Genderfluid"/>
    <s v="Other"/>
    <s v="47.210.235.155"/>
    <s v="160.35.213.107"/>
    <n v="107"/>
    <n v="107"/>
    <s v="NYSE"/>
    <s v="AGU"/>
    <s v="Agrium Inc."/>
    <x v="10"/>
    <s v="Agricultural Chemicals"/>
    <s v="$12.97B"/>
    <n v="12970000000"/>
    <n v="1496.85"/>
    <n v="-14.41"/>
    <n v="15627245"/>
    <d v="2021-03-20T00:00:00"/>
    <s v="Complete"/>
  </r>
  <r>
    <s v="sgyngyll2z"/>
    <s v="google.it"/>
    <s v="Sisely"/>
    <s v="Gyngyll"/>
    <s v="Female"/>
    <s v="Female"/>
    <s v="92.0.97.207"/>
    <s v="120.206.47.203"/>
    <n v="108"/>
    <n v="108"/>
    <s v="NASDAQ"/>
    <s v="CHEKW"/>
    <s v="Check-Cap Ltd."/>
    <x v="0"/>
    <s v="Medical Electronics"/>
    <s v="N/A"/>
    <n v="0"/>
    <n v="236.92"/>
    <n v="12.69"/>
    <n v="89130586"/>
    <d v="2026-04-06T00:00:00"/>
    <s v="Missing"/>
  </r>
  <r>
    <s v="dantoniades30"/>
    <s v="dagondesign.com"/>
    <s v="Darby"/>
    <s v="Antoniades"/>
    <s v="Male"/>
    <s v="Male"/>
    <s v="53.41.86.111"/>
    <s v="196.183.94.65"/>
    <n v="109"/>
    <n v="109"/>
    <s v="NYSE"/>
    <s v="EMF"/>
    <s v="Templeton Emerging Markets Fund"/>
    <x v="2"/>
    <s v="N/A"/>
    <s v="$266.9M"/>
    <n v="266899999.99999997"/>
    <n v="698.93"/>
    <n v="-0.68"/>
    <n v="126127031"/>
    <d v="2023-09-09T00:00:00"/>
    <s v="Missing"/>
  </r>
  <r>
    <s v="akuhnel31"/>
    <s v="surveymonkey.com"/>
    <s v="Avictor"/>
    <s v="Kuhnel"/>
    <s v="Male"/>
    <s v="Male"/>
    <s v="173.203.199.57"/>
    <s v="78.187.82.11"/>
    <n v="110"/>
    <n v="110"/>
    <s v="NYSE"/>
    <s v="BTE"/>
    <s v="Baytex Energy Corp"/>
    <x v="9"/>
    <s v="Oil &amp; Gas Production"/>
    <s v="$592.54M"/>
    <n v="592540000"/>
    <n v="589.23"/>
    <n v="-0.2"/>
    <n v="149528143"/>
    <d v="2022-04-06T00:00:00"/>
    <s v="Complete"/>
  </r>
  <r>
    <s v="ldivall32"/>
    <s v="loc.gov"/>
    <s v="Lorry"/>
    <s v="Divall"/>
    <s v="Male"/>
    <s v="Male"/>
    <s v="67.177.72.88"/>
    <s v="232.163.210.77"/>
    <n v="111"/>
    <n v="111"/>
    <s v="NASDAQ"/>
    <s v="NXEOW"/>
    <s v="Nexeo Solutions, Inc."/>
    <x v="11"/>
    <s v="Specialty Chemicals"/>
    <s v="N/A"/>
    <n v="0"/>
    <n v="1416.79"/>
    <n v="-17"/>
    <n v="183913102"/>
    <d v="2022-11-07T00:00:00"/>
    <s v="Missing"/>
  </r>
  <r>
    <s v="ifronzek33"/>
    <s v="pcworld.com"/>
    <s v="Ignazio"/>
    <s v="Fronzek"/>
    <s v="Male"/>
    <s v="Male"/>
    <s v="73.240.218.80"/>
    <s v="95.56.93.226"/>
    <n v="112"/>
    <n v="112"/>
    <s v="NYSE"/>
    <s v="EGF"/>
    <s v="Blackrock Enhanced Government Fund, Inc"/>
    <x v="2"/>
    <s v="N/A"/>
    <s v="$86.58M"/>
    <n v="86580000"/>
    <n v="1727.54"/>
    <n v="-12.45"/>
    <n v="149095583"/>
    <d v="2026-02-23T00:00:00"/>
    <s v="Missing"/>
  </r>
  <r>
    <s v="ieskrick34"/>
    <s v="booking.com"/>
    <s v="Inness"/>
    <s v="Eskrick"/>
    <s v="Male"/>
    <s v="Male"/>
    <s v="106.100.66.182"/>
    <s v="234.168.81.172"/>
    <n v="113"/>
    <n v="113"/>
    <s v="NYSE"/>
    <s v="ARNC"/>
    <s v="Arconic Inc."/>
    <x v="1"/>
    <s v="Metal Fabrications"/>
    <s v="$11.65B"/>
    <n v="11650000000"/>
    <n v="1034.51"/>
    <n v="-4.7"/>
    <n v="143392427"/>
    <d v="2020-07-28T00:00:00"/>
    <s v="Complete"/>
  </r>
  <r>
    <s v="dtroop35"/>
    <s v="buzzfeed.com"/>
    <s v="Danie"/>
    <s v="Troop"/>
    <s v="Male"/>
    <s v="Male"/>
    <s v="234.173.41.0"/>
    <s v="161.5.145.139"/>
    <n v="114"/>
    <n v="114"/>
    <s v="NYSE"/>
    <s v="CNK"/>
    <s v="Cinemark Holdings Inc"/>
    <x v="6"/>
    <s v="Movies/Entertainment"/>
    <s v="$4.82B"/>
    <n v="4820000000"/>
    <n v="102.89"/>
    <n v="-9.7100000000000009"/>
    <n v="48554099"/>
    <d v="2023-11-01T00:00:00"/>
    <s v="Complete"/>
  </r>
  <r>
    <s v="rgenicke36"/>
    <s v="harvard.edu"/>
    <s v="Rosalind"/>
    <s v="Genicke"/>
    <s v="Female"/>
    <s v="Female"/>
    <s v="53.152.51.39"/>
    <s v="185.147.140.139"/>
    <n v="115"/>
    <n v="115"/>
    <s v="NYSE"/>
    <s v="VTA"/>
    <s v="Invesco Credit Opportunities Fund"/>
    <x v="2"/>
    <s v="N/A"/>
    <s v="$888.39M"/>
    <n v="888390000"/>
    <n v="746.37"/>
    <n v="-11.33"/>
    <n v="2828427"/>
    <d v="2020-10-14T00:00:00"/>
    <s v="Missing"/>
  </r>
  <r>
    <s v="glozano37"/>
    <s v="yale.edu"/>
    <s v="Gaby"/>
    <s v="Lozano"/>
    <s v="Male"/>
    <s v="Male"/>
    <s v="232.203.22.125"/>
    <s v="74.23.142.37"/>
    <n v="116"/>
    <n v="116"/>
    <s v="NASDAQ"/>
    <s v="CASI"/>
    <s v="CASI Pharmaceuticals, Inc."/>
    <x v="0"/>
    <s v="Biotechnology: Biological Products (No Diagnostic Substances)"/>
    <s v="$55.38M"/>
    <n v="55380000"/>
    <n v="557.53"/>
    <n v="19.899999999999999"/>
    <n v="37183396"/>
    <d v="2024-08-11T00:00:00"/>
    <s v="Complete"/>
  </r>
  <r>
    <s v="jclaxson38"/>
    <s v="ted.com"/>
    <s v="Jaime"/>
    <s v="Claxson"/>
    <s v="Male"/>
    <s v="Male"/>
    <s v="212.69.63.227"/>
    <s v="230.207.100.49"/>
    <n v="117"/>
    <n v="117"/>
    <s v="NASDAQ"/>
    <s v="QPAC"/>
    <s v="Quinpario Acquisition Corp. 2"/>
    <x v="7"/>
    <s v="Business Services"/>
    <s v="$288.2M"/>
    <n v="288200000"/>
    <n v="47.28"/>
    <n v="18.649999999999999"/>
    <n v="80058295"/>
    <d v="2021-10-24T00:00:00"/>
    <s v="Complete"/>
  </r>
  <r>
    <s v="fguyonneau39"/>
    <s v="imgur.com"/>
    <s v="Florian"/>
    <s v="Guyonneau"/>
    <s v="Male"/>
    <s v="Male"/>
    <s v="187.71.133.169"/>
    <s v="247.171.168.150"/>
    <n v="118"/>
    <n v="118"/>
    <s v="NASDAQ"/>
    <s v="HQY"/>
    <s v="HealthEquity, Inc."/>
    <x v="7"/>
    <s v="Business Services"/>
    <s v="$3.07B"/>
    <n v="3070000000"/>
    <n v="850.36"/>
    <n v="-3.83"/>
    <n v="48593368"/>
    <d v="2025-05-01T00:00:00"/>
    <s v="Complete"/>
  </r>
  <r>
    <s v="naharoni3a"/>
    <s v="last.fm"/>
    <s v="Noland"/>
    <s v="Aharoni"/>
    <s v="Male"/>
    <s v="Male"/>
    <s v="102.104.87.227"/>
    <s v="58.243.237.162"/>
    <n v="119"/>
    <n v="119"/>
    <s v="NASDAQ"/>
    <s v="AMAG"/>
    <s v="AMAG Pharmaceuticals, Inc."/>
    <x v="0"/>
    <s v="Major Pharmaceuticals"/>
    <s v="$574.74M"/>
    <n v="574740000"/>
    <n v="629.96"/>
    <n v="-2.3199999999999998"/>
    <n v="188531613"/>
    <d v="2023-02-08T00:00:00"/>
    <s v="Complete"/>
  </r>
  <r>
    <s v="sdinley3b"/>
    <s v="soup.io"/>
    <s v="Si"/>
    <s v="Dinley"/>
    <s v="Male"/>
    <s v="Male"/>
    <s v="158.182.16.69"/>
    <s v="13.105.94.232"/>
    <n v="120"/>
    <n v="120"/>
    <s v="NASDAQ"/>
    <s v="FNBG"/>
    <s v="FNB Bancorp"/>
    <x v="3"/>
    <s v="Major Banks"/>
    <s v="$200.83M"/>
    <n v="200830000"/>
    <n v="78.489999999999995"/>
    <n v="-18.829999999999998"/>
    <n v="170086056"/>
    <d v="2022-10-09T00:00:00"/>
    <s v="Complete"/>
  </r>
  <r>
    <s v="rleasor3c"/>
    <s v="admin.ch"/>
    <s v="Rebecka"/>
    <s v="Leasor"/>
    <s v="Female"/>
    <s v="Female"/>
    <s v="137.80.0.97"/>
    <s v="72.253.11.127"/>
    <n v="121"/>
    <n v="121"/>
    <s v="NYSE"/>
    <s v="GJP"/>
    <s v="Synthetic Fixed-Income Securities, Inc."/>
    <x v="2"/>
    <s v="N/A"/>
    <s v="N/A"/>
    <n v="0"/>
    <n v="753.6"/>
    <n v="-2.2599999999999998"/>
    <n v="179370937"/>
    <d v="2024-05-04T00:00:00"/>
    <s v="Missing"/>
  </r>
  <r>
    <s v="apenrith3d"/>
    <s v="mac.com"/>
    <s v="Albina"/>
    <s v="Penrith"/>
    <s v="Female"/>
    <s v="Female"/>
    <s v="158.112.26.101"/>
    <s v="128.135.35.11"/>
    <n v="122"/>
    <n v="122"/>
    <s v="NASDAQ"/>
    <s v="FIBK"/>
    <s v="First Interstate BancSystem, Inc."/>
    <x v="3"/>
    <s v="Major Banks"/>
    <s v="$2.13B"/>
    <n v="2130000000"/>
    <n v="402.82"/>
    <n v="-10.74"/>
    <n v="188336918"/>
    <d v="2021-05-24T00:00:00"/>
    <s v="Complete"/>
  </r>
  <r>
    <s v="amilksop3e"/>
    <s v="reference.com"/>
    <s v="Ado"/>
    <s v="Milksop"/>
    <s v="Male"/>
    <s v="Male"/>
    <s v="231.189.126.1"/>
    <s v="102.213.17.69"/>
    <n v="123"/>
    <n v="123"/>
    <s v="NYSE"/>
    <s v="AWR"/>
    <s v="American States Water Company"/>
    <x v="8"/>
    <s v="Water Supply"/>
    <s v="$1.83B"/>
    <n v="1830000000"/>
    <n v="1989.1"/>
    <n v="-19.2"/>
    <n v="120909502"/>
    <d v="2022-08-14T00:00:00"/>
    <s v="Complete"/>
  </r>
  <r>
    <s v="sgreaser3f"/>
    <s v="cyberchimps.com"/>
    <s v="Saw"/>
    <s v="Greaser"/>
    <s v="Male"/>
    <s v="Male"/>
    <s v="247.116.173.112"/>
    <s v="164.159.126.162"/>
    <n v="124"/>
    <n v="124"/>
    <s v="NYSE"/>
    <s v="HP"/>
    <s v="Helmerich &amp; Payne, Inc."/>
    <x v="9"/>
    <s v="Oil &amp; Gas Production"/>
    <s v="$5.97B"/>
    <n v="5970000000"/>
    <n v="1816.25"/>
    <n v="-13.9"/>
    <n v="140544936"/>
    <d v="2025-10-03T00:00:00"/>
    <s v="Complete"/>
  </r>
  <r>
    <s v="eheddy3g"/>
    <s v="dagondesign.com"/>
    <s v="Ede"/>
    <s v="Heddy"/>
    <s v="Female"/>
    <s v="Female"/>
    <s v="95.14.98.7"/>
    <s v="180.226.216.216"/>
    <n v="125"/>
    <n v="125"/>
    <s v="NYSE"/>
    <s v="WMK"/>
    <s v="Weis Markets, Inc."/>
    <x v="6"/>
    <s v="Food Chains"/>
    <s v="$1.3B"/>
    <n v="1300000000"/>
    <n v="971.6"/>
    <n v="12.28"/>
    <n v="38486599"/>
    <d v="2026-11-28T00:00:00"/>
    <s v="Complete"/>
  </r>
  <r>
    <s v="blongland3h"/>
    <s v="imgur.com"/>
    <s v="Brandtr"/>
    <s v="Longland"/>
    <s v="Male"/>
    <s v="Male"/>
    <s v="131.166.119.117"/>
    <s v="100.30.52.63"/>
    <n v="126"/>
    <n v="126"/>
    <s v="NASDAQ"/>
    <s v="LECO"/>
    <s v="Lincoln Electric Holdings, Inc."/>
    <x v="4"/>
    <s v="Industrial Machinery/Components"/>
    <s v="$6.35B"/>
    <n v="6350000000"/>
    <n v="673.9"/>
    <n v="-2.31"/>
    <n v="123531873"/>
    <d v="2026-11-07T00:00:00"/>
    <s v="Complete"/>
  </r>
  <r>
    <s v="spylkynyton3i"/>
    <s v="wordpress.org"/>
    <s v="Silvana"/>
    <s v="Pylkynyton"/>
    <s v="Female"/>
    <s v="Female"/>
    <s v="88.60.63.137"/>
    <s v="168.72.164.52"/>
    <n v="127"/>
    <n v="127"/>
    <s v="NASDAQ"/>
    <s v="VYMI"/>
    <s v="Vanguard International High Dividend Yield ETF"/>
    <x v="2"/>
    <s v="N/A"/>
    <s v="$371.88M"/>
    <n v="371880000"/>
    <n v="387.69"/>
    <n v="7.87"/>
    <n v="42785377"/>
    <d v="2021-07-08T00:00:00"/>
    <s v="Missing"/>
  </r>
  <r>
    <s v="kscroxton3j"/>
    <s v="wordpress.org"/>
    <s v="King"/>
    <s v="Scroxton"/>
    <s v="Male"/>
    <s v="Male"/>
    <s v="207.4.0.208"/>
    <s v="231.188.128.210"/>
    <n v="128"/>
    <n v="128"/>
    <s v="NASDAQ"/>
    <s v="TICC"/>
    <s v="TICC Capital Corp."/>
    <x v="2"/>
    <s v="N/A"/>
    <s v="$361.9M"/>
    <n v="361900000"/>
    <n v="1817.74"/>
    <n v="-15.99"/>
    <n v="122360752"/>
    <d v="2026-06-29T00:00:00"/>
    <s v="Missing"/>
  </r>
  <r>
    <s v="kbanton3k"/>
    <s v="paginegialle.it"/>
    <s v="Kit"/>
    <s v="Banton"/>
    <s v="Female"/>
    <s v="Female"/>
    <s v="56.28.144.1"/>
    <s v="84.100.139.58"/>
    <n v="129"/>
    <n v="129"/>
    <s v="NYSE"/>
    <s v="AVT"/>
    <s v="Avnet, Inc."/>
    <x v="5"/>
    <s v="Electronic Components"/>
    <s v="$4.82B"/>
    <n v="4820000000"/>
    <n v="38.130000000000003"/>
    <n v="7.42"/>
    <n v="121985755"/>
    <d v="2021-04-25T00:00:00"/>
    <s v="Complete"/>
  </r>
  <r>
    <s v="fstruss3l"/>
    <s v="flickr.com"/>
    <s v="Flin"/>
    <s v="Struss"/>
    <s v="Male"/>
    <s v="Male"/>
    <s v="190.125.111.83"/>
    <s v="242.114.20.11"/>
    <n v="130"/>
    <n v="130"/>
    <s v="NYSE"/>
    <s v="CFR^A"/>
    <s v="Cullen/Frost Bankers, Inc."/>
    <x v="2"/>
    <s v="N/A"/>
    <s v="N/A"/>
    <n v="0"/>
    <n v="1803.55"/>
    <n v="-8.9700000000000006"/>
    <n v="196225609"/>
    <d v="2025-10-11T00:00:00"/>
    <s v="Missing"/>
  </r>
  <r>
    <s v="mspurgeon3m"/>
    <s v="tmall.com"/>
    <s v="Margalo"/>
    <s v="Spurgeon"/>
    <s v="Female"/>
    <s v="Female"/>
    <s v="240.15.196.87"/>
    <s v="226.27.104.39"/>
    <n v="131"/>
    <n v="131"/>
    <s v="NASDAQ"/>
    <s v="DXYN"/>
    <s v="The Dixie Group, Inc."/>
    <x v="11"/>
    <s v="Home Furnishings"/>
    <s v="$71.76M"/>
    <n v="71760000"/>
    <n v="1061.3699999999999"/>
    <n v="-8.76"/>
    <n v="152594374"/>
    <d v="2026-10-30T00:00:00"/>
    <s v="Complete"/>
  </r>
  <r>
    <s v="llondors3n"/>
    <s v="g.co"/>
    <s v="Lindy"/>
    <s v="Londors"/>
    <s v="Female"/>
    <s v="Female"/>
    <s v="224.244.244.178"/>
    <s v="240.136.179.19"/>
    <n v="132"/>
    <n v="132"/>
    <s v="NASDAQ"/>
    <s v="DWLD"/>
    <s v="Davis Select Worldwide ETF"/>
    <x v="2"/>
    <s v="N/A"/>
    <s v="N/A"/>
    <n v="0"/>
    <n v="1036.01"/>
    <n v="-11.41"/>
    <n v="3309772"/>
    <d v="2025-12-02T00:00:00"/>
    <s v="Missing"/>
  </r>
  <r>
    <s v="aedmonson3o"/>
    <s v="hc360.com"/>
    <s v="Abby"/>
    <s v="Edmonson"/>
    <s v="Female"/>
    <s v="Female"/>
    <s v="226.121.85.250"/>
    <s v="215.51.51.201"/>
    <n v="133"/>
    <n v="133"/>
    <s v="NASDAQ"/>
    <s v="HCOM"/>
    <s v="Hawaiian Telcom Holdco, Inc."/>
    <x v="6"/>
    <s v="Telecommunications Equipment"/>
    <s v="$301.17M"/>
    <n v="301170000"/>
    <n v="1856.42"/>
    <n v="0.18"/>
    <n v="163734551"/>
    <d v="2022-01-19T00:00:00"/>
    <s v="Complete"/>
  </r>
  <r>
    <s v="dgoodlad3p"/>
    <s v="cdbaby.com"/>
    <s v="Dionis"/>
    <s v="Goodlad"/>
    <s v="Female"/>
    <s v="Female"/>
    <s v="108.255.228.118"/>
    <s v="63.119.171.91"/>
    <n v="134"/>
    <n v="134"/>
    <s v="NYSE"/>
    <s v="RRC"/>
    <s v="Range Resources Corporation"/>
    <x v="9"/>
    <s v="Oil &amp; Gas Production"/>
    <s v="$5.79B"/>
    <n v="5790000000"/>
    <n v="770.98"/>
    <n v="-4.1900000000000004"/>
    <n v="112856062"/>
    <d v="2022-08-11T00:00:00"/>
    <s v="Complete"/>
  </r>
  <r>
    <s v="chedon3q"/>
    <s v="admin.ch"/>
    <s v="Christina"/>
    <s v="Hedon"/>
    <s v="Female"/>
    <s v="Female"/>
    <s v="137.169.211.57"/>
    <s v="79.154.152.122"/>
    <n v="135"/>
    <n v="135"/>
    <s v="NYSE"/>
    <s v="CBPX"/>
    <s v="Continental Building Products, Inc."/>
    <x v="1"/>
    <s v="Building Materials"/>
    <s v="$927.58M"/>
    <n v="927580000"/>
    <n v="321.08"/>
    <n v="-7.53"/>
    <n v="182058723"/>
    <d v="2023-10-12T00:00:00"/>
    <s v="Complete"/>
  </r>
  <r>
    <s v="dbroggini3r"/>
    <s v="google.pl"/>
    <s v="Denis"/>
    <s v="Broggini"/>
    <s v="Male"/>
    <s v="Male"/>
    <s v="148.53.52.226"/>
    <s v="17.154.254.149"/>
    <n v="136"/>
    <n v="136"/>
    <s v="NASDAQ"/>
    <s v="CASS"/>
    <s v="Cass Information Systems, Inc"/>
    <x v="7"/>
    <s v="Business Services"/>
    <s v="$738.7M"/>
    <n v="738700000"/>
    <n v="583.66999999999996"/>
    <n v="4.78"/>
    <n v="147098482"/>
    <d v="2023-01-16T00:00:00"/>
    <s v="Complete"/>
  </r>
  <r>
    <s v="velphey3s"/>
    <s v="facebook.com"/>
    <s v="Vivianne"/>
    <s v="Elphey"/>
    <s v="Female"/>
    <s v="Female"/>
    <s v="149.181.96.104"/>
    <s v="199.208.149.15"/>
    <n v="137"/>
    <n v="137"/>
    <s v="NYSE"/>
    <s v="PSA^X"/>
    <s v="Public Storage"/>
    <x v="2"/>
    <s v="N/A"/>
    <s v="N/A"/>
    <n v="0"/>
    <n v="1833.1"/>
    <n v="1.77"/>
    <n v="126724626"/>
    <d v="2024-06-21T00:00:00"/>
    <s v="Missing"/>
  </r>
  <r>
    <s v="tcavil3t"/>
    <s v="microsoft.com"/>
    <s v="Timmy"/>
    <s v="Cavil"/>
    <s v="Female"/>
    <s v="Female"/>
    <s v="134.84.119.216"/>
    <s v="66.226.109.141"/>
    <n v="138"/>
    <n v="138"/>
    <s v="NASDAQ"/>
    <s v="AGZD"/>
    <s v="WisdomTree Barclays Interest Rate Hedged U.S. Aggregate Bond F"/>
    <x v="2"/>
    <s v="N/A"/>
    <s v="$23.97M"/>
    <n v="23970000"/>
    <n v="818.89"/>
    <n v="8.07"/>
    <n v="84686987"/>
    <d v="2022-02-21T00:00:00"/>
    <s v="Missing"/>
  </r>
  <r>
    <s v="tkarlmann3u"/>
    <s v="pagesperso-orange.fr"/>
    <s v="Thorndike"/>
    <s v="Karlmann"/>
    <s v="Male"/>
    <s v="Male"/>
    <s v="58.154.176.189"/>
    <s v="178.87.213.234"/>
    <n v="139"/>
    <n v="139"/>
    <s v="NYSE"/>
    <s v="PCF"/>
    <s v="Putnam High Income Bond Fund"/>
    <x v="2"/>
    <s v="N/A"/>
    <s v="$114.59M"/>
    <n v="114590000"/>
    <n v="1862.42"/>
    <n v="-10.35"/>
    <n v="32932841"/>
    <d v="2023-05-20T00:00:00"/>
    <s v="Missing"/>
  </r>
  <r>
    <s v="bdehooch3v"/>
    <s v="nsw.gov.au"/>
    <s v="Borden"/>
    <s v="De Hooch"/>
    <s v="Male"/>
    <s v="Male"/>
    <s v="253.59.251.208"/>
    <s v="162.238.248.39"/>
    <n v="140"/>
    <n v="140"/>
    <s v="NASDAQ"/>
    <s v="GAINO"/>
    <s v="Gladstone Investment Corporation"/>
    <x v="2"/>
    <s v="N/A"/>
    <s v="N/A"/>
    <n v="0"/>
    <n v="573.91"/>
    <n v="11.34"/>
    <n v="55744992"/>
    <d v="2022-03-08T00:00:00"/>
    <s v="Missing"/>
  </r>
  <r>
    <s v="fpennigar3w"/>
    <s v="pen.io"/>
    <s v="Florina"/>
    <s v="Pennigar"/>
    <s v="Female"/>
    <s v="Female"/>
    <s v="215.117.111.193"/>
    <s v="255.249.191.11"/>
    <n v="141"/>
    <n v="141"/>
    <s v="NASDAQ"/>
    <s v="OTIV"/>
    <s v="On Track Innovations Ltd"/>
    <x v="4"/>
    <s v="Semiconductors"/>
    <s v="$51.37M"/>
    <n v="51370000"/>
    <n v="40.74"/>
    <n v="-7.38"/>
    <n v="184965939"/>
    <d v="2023-10-03T00:00:00"/>
    <s v="Complete"/>
  </r>
  <r>
    <s v="ghowe3x"/>
    <s v="java.com"/>
    <s v="Gilligan"/>
    <s v="Howe"/>
    <s v="Female"/>
    <s v="Female"/>
    <s v="37.36.62.211"/>
    <s v="208.230.115.172"/>
    <n v="142"/>
    <n v="142"/>
    <s v="NYSE"/>
    <s v="JRS"/>
    <s v="Nuveen Real Estate Fund"/>
    <x v="2"/>
    <s v="N/A"/>
    <s v="$328.51M"/>
    <n v="328510000"/>
    <n v="1969.03"/>
    <n v="-9.2899999999999991"/>
    <n v="72893855"/>
    <d v="2023-01-14T00:00:00"/>
    <s v="Missing"/>
  </r>
  <r>
    <s v="nkillshaw3y"/>
    <s v="last.fm"/>
    <s v="Nappy"/>
    <s v="Killshaw"/>
    <s v="Male"/>
    <s v="Male"/>
    <s v="241.72.181.202"/>
    <s v="156.140.121.142"/>
    <n v="143"/>
    <n v="143"/>
    <s v="NASDAQ"/>
    <s v="AXGN"/>
    <s v="AxoGen, Inc."/>
    <x v="0"/>
    <s v="Biotechnology: Electromedical &amp; Electrotherapeutic Apparatus"/>
    <s v="$488.16M"/>
    <n v="488160000"/>
    <n v="1533.82"/>
    <n v="9.36"/>
    <n v="86872522"/>
    <d v="2020-10-05T00:00:00"/>
    <s v="Complete"/>
  </r>
  <r>
    <s v="jpadilla3z"/>
    <s v="soundcloud.com"/>
    <s v="Jeramie"/>
    <s v="Padilla"/>
    <s v="Male"/>
    <s v="Male"/>
    <s v="25.172.11.83"/>
    <s v="137.253.54.247"/>
    <n v="144"/>
    <n v="144"/>
    <s v="NASDAQ"/>
    <s v="HLG"/>
    <s v="Hailiang Education Group Inc."/>
    <x v="6"/>
    <s v="Other Consumer Services"/>
    <s v="$205.6M"/>
    <n v="205600000"/>
    <n v="14.1"/>
    <n v="-5.74"/>
    <n v="991184"/>
    <d v="2026-09-26T00:00:00"/>
    <s v="Complete"/>
  </r>
  <r>
    <s v="spyrah40"/>
    <s v="xrea.com"/>
    <s v="Sigismond"/>
    <s v="Pyrah"/>
    <s v="Male"/>
    <s v="Male"/>
    <s v="208.191.61.213"/>
    <s v="79.118.70.48"/>
    <n v="145"/>
    <n v="145"/>
    <s v="NYSE"/>
    <s v="ORN"/>
    <s v="Orion Group Holdings, Inc."/>
    <x v="10"/>
    <s v="Military/Government/Technical"/>
    <s v="$198.43M"/>
    <n v="198430000"/>
    <n v="1584.38"/>
    <n v="0.12"/>
    <n v="44677890"/>
    <d v="2021-05-07T00:00:00"/>
    <s v="Complete"/>
  </r>
  <r>
    <s v="alintall41"/>
    <s v="google.fr"/>
    <s v="Agnesse"/>
    <s v="Lintall"/>
    <s v="Female"/>
    <s v="Female"/>
    <s v="155.1.196.55"/>
    <s v="140.167.1.116"/>
    <n v="146"/>
    <n v="146"/>
    <s v="NYSE"/>
    <s v="COTY"/>
    <s v="Coty Inc."/>
    <x v="5"/>
    <s v="Package Goods/Cosmetics"/>
    <s v="$14.24B"/>
    <n v="14240000000"/>
    <n v="1038.8"/>
    <n v="-6.1"/>
    <n v="103606752"/>
    <d v="2025-10-28T00:00:00"/>
    <s v="Complete"/>
  </r>
  <r>
    <s v="bgillion42"/>
    <s v="facebook.com"/>
    <s v="Borden"/>
    <s v="Gillion"/>
    <s v="Male"/>
    <s v="Male"/>
    <s v="180.11.149.178"/>
    <s v="177.103.27.10"/>
    <n v="147"/>
    <n v="147"/>
    <s v="NYSE"/>
    <s v="MFT"/>
    <s v="Blackrock MuniYield Investment QualityFund"/>
    <x v="2"/>
    <s v="N/A"/>
    <s v="$120.08M"/>
    <n v="120080000"/>
    <n v="1272.1500000000001"/>
    <n v="6.82"/>
    <n v="164794385"/>
    <d v="2026-10-02T00:00:00"/>
    <s v="Missing"/>
  </r>
  <r>
    <s v="mmolyneux43"/>
    <s v="amazon.co.uk"/>
    <s v="Moria"/>
    <s v="Molyneux"/>
    <s v="Female"/>
    <s v="Female"/>
    <s v="4.169.113.107"/>
    <s v="216.25.49.19"/>
    <n v="148"/>
    <n v="148"/>
    <s v="NYSE"/>
    <s v="FLT"/>
    <s v="FleetCor Technologies, Inc."/>
    <x v="7"/>
    <s v="Business Services"/>
    <s v="$13.32B"/>
    <n v="13320000000"/>
    <n v="636.5"/>
    <n v="-0.85"/>
    <n v="195028494"/>
    <d v="2025-08-08T00:00:00"/>
    <s v="Complete"/>
  </r>
  <r>
    <s v="dmckeurtan44"/>
    <s v="php.net"/>
    <s v="Dyanne"/>
    <s v="McKeurtan"/>
    <s v="Female"/>
    <s v="Female"/>
    <s v="50.120.203.112"/>
    <s v="98.72.51.140"/>
    <n v="149"/>
    <n v="149"/>
    <s v="NASDAQ"/>
    <s v="VSAT"/>
    <s v="ViaSat, Inc."/>
    <x v="4"/>
    <s v="Radio And Television Broadcasting And Communications Equipment"/>
    <s v="$3.9B"/>
    <n v="3900000000"/>
    <n v="934.39"/>
    <n v="1.38"/>
    <n v="182176822"/>
    <d v="2026-04-09T00:00:00"/>
    <s v="Complete"/>
  </r>
  <r>
    <s v="zgergler45"/>
    <s v="imdb.com"/>
    <s v="Zane"/>
    <s v="Gergler"/>
    <s v="Male"/>
    <s v="Male"/>
    <s v="222.242.250.99"/>
    <s v="231.16.229.30"/>
    <n v="150"/>
    <n v="150"/>
    <s v="NYSE"/>
    <s v="TRNO^A.CL"/>
    <s v="Terreno Realty Corporation"/>
    <x v="2"/>
    <s v="N/A"/>
    <s v="N/A"/>
    <n v="0"/>
    <n v="1077.69"/>
    <n v="-5.6"/>
    <n v="89734530"/>
    <d v="2020-07-09T00:00:00"/>
    <s v="Missing"/>
  </r>
  <r>
    <s v="stedorenko46"/>
    <s v="europa.eu"/>
    <s v="Sophia"/>
    <s v="Tedorenko"/>
    <s v="Female"/>
    <s v="Female"/>
    <s v="204.36.23.168"/>
    <s v="93.47.32.53"/>
    <n v="151"/>
    <n v="151"/>
    <s v="NASDAQ"/>
    <s v="WB"/>
    <s v="Weibo Corporation"/>
    <x v="4"/>
    <s v="Computer Software: Programming, Data Processing"/>
    <s v="$15.51B"/>
    <n v="15510000000"/>
    <n v="365.73"/>
    <n v="-5.57"/>
    <n v="28683693"/>
    <d v="2021-11-28T00:00:00"/>
    <s v="Complete"/>
  </r>
  <r>
    <s v="gbrumen47"/>
    <s v="youtu.be"/>
    <s v="Giavani"/>
    <s v="Brumen"/>
    <s v="Male"/>
    <s v="Male"/>
    <s v="27.231.69.95"/>
    <s v="45.34.170.235"/>
    <n v="152"/>
    <n v="152"/>
    <s v="NASDAQ"/>
    <s v="EAGL"/>
    <s v="Double Eagle Acquisition Corp."/>
    <x v="3"/>
    <s v="Business Services"/>
    <s v="$628.13M"/>
    <n v="628130000"/>
    <n v="204.67"/>
    <n v="-8.64"/>
    <n v="106999137"/>
    <d v="2020-11-12T00:00:00"/>
    <s v="Complete"/>
  </r>
  <r>
    <s v="gbagnall48"/>
    <s v="baidu.com"/>
    <s v="Georgie"/>
    <s v="Bagnall"/>
    <s v="Male"/>
    <s v="Male"/>
    <s v="168.100.55.9"/>
    <s v="225.104.77.236"/>
    <n v="153"/>
    <n v="153"/>
    <s v="NASDAQ"/>
    <s v="SLGN"/>
    <s v="Silgan Holdings Inc."/>
    <x v="11"/>
    <s v="Containers/Packaging"/>
    <s v="$3.49B"/>
    <n v="3490000000"/>
    <n v="315.56"/>
    <n v="-7.11"/>
    <n v="192596129"/>
    <d v="2021-11-08T00:00:00"/>
    <s v="Complete"/>
  </r>
  <r>
    <s v="hsommerton49"/>
    <s v="prnewswire.com"/>
    <s v="Hubert"/>
    <s v="Sommerton"/>
    <s v="Agender"/>
    <s v="Other"/>
    <s v="230.248.209.56"/>
    <s v="196.106.50.92"/>
    <n v="154"/>
    <n v="154"/>
    <s v="NASDAQ"/>
    <s v="PYPL"/>
    <s v="PayPal Holdings, Inc."/>
    <x v="7"/>
    <s v="Business Services"/>
    <s v="$62.27B"/>
    <n v="62270000000"/>
    <n v="1206.28"/>
    <n v="-11.48"/>
    <n v="122500161"/>
    <d v="2026-03-30T00:00:00"/>
    <s v="Complete"/>
  </r>
  <r>
    <s v="hsterricks4a"/>
    <s v="cloudflare.com"/>
    <s v="Harlen"/>
    <s v="Sterricks"/>
    <s v="Male"/>
    <s v="Male"/>
    <s v="222.161.12.165"/>
    <s v="119.204.63.101"/>
    <n v="155"/>
    <n v="155"/>
    <s v="NYSE"/>
    <s v="MH^A"/>
    <s v="Maiden Holdings, Ltd."/>
    <x v="2"/>
    <s v="N/A"/>
    <s v="N/A"/>
    <n v="0"/>
    <n v="398.51"/>
    <n v="-11.9"/>
    <n v="199433499"/>
    <d v="2024-10-06T00:00:00"/>
    <s v="Missing"/>
  </r>
  <r>
    <s v="aeble4b"/>
    <s v="nbcnews.com"/>
    <s v="Alexio"/>
    <s v="Eble"/>
    <s v="Male"/>
    <s v="Male"/>
    <s v="27.109.69.176"/>
    <s v="246.102.151.224"/>
    <n v="156"/>
    <n v="156"/>
    <s v="NYSE"/>
    <s v="RHT"/>
    <s v="Red Hat, Inc."/>
    <x v="4"/>
    <s v="Computer Software: Programming, Data Processing"/>
    <s v="$15.62B"/>
    <n v="15620000000"/>
    <n v="99.45"/>
    <n v="-8.74"/>
    <n v="197494865"/>
    <d v="2026-06-05T00:00:00"/>
    <s v="Complete"/>
  </r>
  <r>
    <s v="mkoenen4c"/>
    <s v="youtu.be"/>
    <s v="Merissa"/>
    <s v="Koenen"/>
    <s v="Female"/>
    <s v="Female"/>
    <s v="76.234.200.202"/>
    <s v="12.218.164.8"/>
    <n v="157"/>
    <n v="157"/>
    <s v="NYSE"/>
    <s v="CLNS^E"/>
    <s v="Colony NorthStar, Inc."/>
    <x v="2"/>
    <s v="N/A"/>
    <s v="N/A"/>
    <n v="0"/>
    <n v="1295.82"/>
    <n v="16.28"/>
    <n v="161450373"/>
    <d v="2025-10-04T00:00:00"/>
    <s v="Missing"/>
  </r>
  <r>
    <s v="ladamski4d"/>
    <s v="yahoo.co.jp"/>
    <s v="Luisa"/>
    <s v="Adamski"/>
    <s v="Female"/>
    <s v="Female"/>
    <s v="177.81.66.50"/>
    <s v="111.65.221.137"/>
    <n v="158"/>
    <n v="158"/>
    <s v="NASDAQ"/>
    <s v="EBTC"/>
    <s v="Enterprise Bancorp Inc"/>
    <x v="3"/>
    <s v="Major Banks"/>
    <s v="$414.73M"/>
    <n v="414730000"/>
    <n v="1812.01"/>
    <n v="10.52"/>
    <n v="51249609"/>
    <d v="2022-02-05T00:00:00"/>
    <s v="Complete"/>
  </r>
  <r>
    <s v="edayes4e"/>
    <s v="unesco.org"/>
    <s v="Elfrieda"/>
    <s v="Dayes"/>
    <s v="Female"/>
    <s v="Female"/>
    <s v="224.149.39.94"/>
    <s v="114.176.55.99"/>
    <n v="159"/>
    <n v="159"/>
    <s v="NYSE"/>
    <s v="CMS"/>
    <s v="CMS Energy Corporation"/>
    <x v="8"/>
    <s v="Power Generation"/>
    <s v="$13.53B"/>
    <n v="13530000000"/>
    <n v="228.82"/>
    <n v="11.93"/>
    <n v="84589315"/>
    <d v="2022-03-17T00:00:00"/>
    <s v="Complete"/>
  </r>
  <r>
    <s v="awitsey4f"/>
    <s v="netvibes.com"/>
    <s v="Adria"/>
    <s v="Witsey"/>
    <s v="Female"/>
    <s v="Female"/>
    <s v="134.203.186.74"/>
    <s v="38.151.28.2"/>
    <n v="160"/>
    <n v="160"/>
    <s v="NASDAQ"/>
    <s v="CFMS"/>
    <s v="ConforMIS, Inc."/>
    <x v="0"/>
    <s v="Industrial Specialties"/>
    <s v="$180.66M"/>
    <n v="180660000"/>
    <n v="624.6"/>
    <n v="1.37"/>
    <n v="153539552"/>
    <d v="2020-04-14T00:00:00"/>
    <s v="Complete"/>
  </r>
  <r>
    <s v="ngodbolt4g"/>
    <s v="virginia.edu"/>
    <s v="Nessa"/>
    <s v="Godbolt"/>
    <s v="Female"/>
    <s v="Female"/>
    <s v="239.49.106.79"/>
    <s v="33.92.136.230"/>
    <n v="161"/>
    <n v="161"/>
    <s v="NASDAQ"/>
    <s v="BASI"/>
    <s v="Bioanalytical Systems, Inc."/>
    <x v="0"/>
    <s v="Biotechnology: Commercial Physical &amp; Biological Resarch"/>
    <s v="$13.02M"/>
    <n v="13020000"/>
    <n v="1473.68"/>
    <n v="-18.11"/>
    <n v="147688697"/>
    <d v="2023-07-17T00:00:00"/>
    <s v="Complete"/>
  </r>
  <r>
    <s v="dreany4h"/>
    <s v="oaic.gov.au"/>
    <s v="Dick"/>
    <s v="Reany"/>
    <s v="Male"/>
    <s v="Male"/>
    <s v="49.147.240.167"/>
    <s v="241.6.160.143"/>
    <n v="162"/>
    <n v="162"/>
    <s v="NASDAQ"/>
    <s v="LLEX"/>
    <s v="Lilis Energy, Inc."/>
    <x v="9"/>
    <s v="Oil &amp; Gas Production"/>
    <s v="$267.73M"/>
    <n v="267730000.00000003"/>
    <n v="1161.6500000000001"/>
    <n v="18.14"/>
    <n v="164777040"/>
    <d v="2020-02-19T00:00:00"/>
    <s v="Complete"/>
  </r>
  <r>
    <s v="prundle4i"/>
    <s v="jiathis.com"/>
    <s v="Paulie"/>
    <s v="Rundle"/>
    <s v="Female"/>
    <s v="Female"/>
    <s v="6.18.186.92"/>
    <s v="119.168.94.215"/>
    <n v="163"/>
    <n v="163"/>
    <s v="NASDAQ"/>
    <s v="VCYT"/>
    <s v="Veracyte, Inc."/>
    <x v="0"/>
    <s v="Medical Specialities"/>
    <s v="$259.78M"/>
    <n v="259779999.99999997"/>
    <n v="1025.1500000000001"/>
    <n v="-14.32"/>
    <n v="87093141"/>
    <d v="2022-05-15T00:00:00"/>
    <s v="Complete"/>
  </r>
  <r>
    <s v="oforson4j"/>
    <s v="soup.io"/>
    <s v="Olivia"/>
    <s v="Forson"/>
    <s v="Female"/>
    <s v="Female"/>
    <s v="21.129.66.161"/>
    <s v="107.129.48.234"/>
    <n v="164"/>
    <n v="164"/>
    <s v="NYSE"/>
    <s v="BLL"/>
    <s v="Ball Corporation"/>
    <x v="11"/>
    <s v="Containers/Packaging"/>
    <s v="$14.45B"/>
    <n v="14450000000"/>
    <n v="1247.8599999999999"/>
    <n v="18.97"/>
    <n v="122494379"/>
    <d v="2026-07-21T00:00:00"/>
    <s v="Complete"/>
  </r>
  <r>
    <s v="sbrewse4k"/>
    <s v="wix.com"/>
    <s v="Stevana"/>
    <s v="Brewse"/>
    <s v="Female"/>
    <s v="Female"/>
    <s v="159.53.231.44"/>
    <s v="50.184.143.60"/>
    <n v="165"/>
    <n v="165"/>
    <s v="NYSE"/>
    <s v="IR"/>
    <s v="Ingersoll-Rand plc (Ireland)"/>
    <x v="1"/>
    <s v="Auto Parts:O.E.M."/>
    <s v="$23.64B"/>
    <n v="23640000000"/>
    <n v="250.05"/>
    <n v="-5.33"/>
    <n v="102372428"/>
    <d v="2025-07-19T00:00:00"/>
    <s v="Complete"/>
  </r>
  <r>
    <s v="caudibert4l"/>
    <s v="cornell.edu"/>
    <s v="Calla"/>
    <s v="Audibert"/>
    <s v="Female"/>
    <s v="Female"/>
    <s v="117.16.54.237"/>
    <s v="18.232.14.47"/>
    <n v="166"/>
    <n v="166"/>
    <s v="NASDAQ"/>
    <s v="ASBB"/>
    <s v="ASB Bancorp, Inc."/>
    <x v="3"/>
    <s v="Savings Institutions"/>
    <s v="$167.24M"/>
    <n v="167240000"/>
    <n v="1327.22"/>
    <n v="-10.67"/>
    <n v="19694795"/>
    <d v="2022-01-22T00:00:00"/>
    <s v="Complete"/>
  </r>
  <r>
    <s v="gfearneley4m"/>
    <s v="dion.ne.jp"/>
    <s v="Gavin"/>
    <s v="Fearneley"/>
    <s v="Male"/>
    <s v="Male"/>
    <s v="159.229.215.134"/>
    <s v="141.65.215.194"/>
    <n v="167"/>
    <n v="167"/>
    <s v="NYSE"/>
    <s v="OI"/>
    <s v="Owens-Illinois, Inc."/>
    <x v="11"/>
    <s v="Containers/Packaging"/>
    <s v="$3.72B"/>
    <n v="3720000000"/>
    <n v="900.78"/>
    <n v="2.16"/>
    <n v="18837395"/>
    <d v="2020-05-28T00:00:00"/>
    <s v="Complete"/>
  </r>
  <r>
    <s v="tbicknell4n"/>
    <s v="dyndns.org"/>
    <s v="Trstram"/>
    <s v="Bicknell"/>
    <s v="Male"/>
    <s v="Male"/>
    <s v="168.81.84.15"/>
    <s v="128.192.125.252"/>
    <n v="168"/>
    <n v="168"/>
    <s v="NYSE"/>
    <s v="JPT"/>
    <s v="Nuveen Preferred and Income 2022 Term Fund"/>
    <x v="2"/>
    <s v="N/A"/>
    <s v="$171.9M"/>
    <n v="171900000"/>
    <n v="1887.58"/>
    <n v="-14.64"/>
    <n v="165091024"/>
    <d v="2020-10-11T00:00:00"/>
    <s v="Missing"/>
  </r>
  <r>
    <s v="dmattis4o"/>
    <s v="ed.gov"/>
    <s v="Diane-marie"/>
    <s v="Mattis"/>
    <s v="Female"/>
    <s v="Female"/>
    <s v="70.132.175.150"/>
    <s v="7.221.235.132"/>
    <n v="169"/>
    <n v="169"/>
    <s v="NYSE"/>
    <s v="CTLT"/>
    <s v="Catalent, Inc."/>
    <x v="0"/>
    <s v="Major Pharmaceuticals"/>
    <s v="$4.61B"/>
    <n v="4610000000"/>
    <n v="1475.21"/>
    <n v="10.220000000000001"/>
    <n v="120726077"/>
    <d v="2025-09-08T00:00:00"/>
    <s v="Complete"/>
  </r>
  <r>
    <s v="epfeffer4p"/>
    <s v="clickbank.net"/>
    <s v="Erinn"/>
    <s v="Pfeffer"/>
    <s v="Female"/>
    <s v="Female"/>
    <s v="158.47.5.146"/>
    <s v="210.121.121.167"/>
    <n v="170"/>
    <n v="170"/>
    <s v="NASDAQ"/>
    <s v="PKBK"/>
    <s v="Parke Bancorp, Inc."/>
    <x v="3"/>
    <s v="Major Banks"/>
    <s v="$161.78M"/>
    <n v="161780000"/>
    <n v="501.63"/>
    <n v="7.81"/>
    <n v="38375048"/>
    <d v="2024-04-26T00:00:00"/>
    <s v="Complete"/>
  </r>
  <r>
    <s v="areeves4q"/>
    <s v="ebay.co.uk"/>
    <s v="Arlene"/>
    <s v="Reeves"/>
    <s v="Female"/>
    <s v="Female"/>
    <s v="252.103.34.228"/>
    <s v="64.182.21.57"/>
    <n v="171"/>
    <n v="171"/>
    <s v="NASDAQ"/>
    <s v="MBTF"/>
    <s v="M B T Financial Corp"/>
    <x v="3"/>
    <s v="Major Banks"/>
    <s v="$229.8M"/>
    <n v="229800000"/>
    <n v="232.86"/>
    <n v="17.45"/>
    <n v="61384716"/>
    <d v="2023-01-12T00:00:00"/>
    <s v="Complete"/>
  </r>
  <r>
    <s v="aabadam4r"/>
    <s v="bing.com"/>
    <s v="Ancell"/>
    <s v="Abadam"/>
    <s v="Male"/>
    <s v="Male"/>
    <s v="218.196.109.59"/>
    <s v="91.171.233.200"/>
    <n v="172"/>
    <n v="172"/>
    <s v="NASDAQ"/>
    <s v="YIN"/>
    <s v="Yintech Investment Holdings Limited"/>
    <x v="3"/>
    <s v="Investment Bankers/Brokers/Service"/>
    <s v="$725.83M"/>
    <n v="725830000"/>
    <n v="763.12"/>
    <n v="-14.15"/>
    <n v="160786732"/>
    <d v="2024-05-23T00:00:00"/>
    <s v="Complete"/>
  </r>
  <r>
    <s v="vivashev4s"/>
    <s v="ebay.co.uk"/>
    <s v="Vanna"/>
    <s v="Ivashev"/>
    <s v="Female"/>
    <s v="Female"/>
    <s v="194.237.147.16"/>
    <s v="108.183.26.59"/>
    <n v="173"/>
    <n v="173"/>
    <s v="NYSE"/>
    <s v="CMS"/>
    <s v="CMS Energy Corporation"/>
    <x v="8"/>
    <s v="Power Generation"/>
    <s v="$13.53B"/>
    <n v="13530000000"/>
    <n v="1296.3900000000001"/>
    <n v="15"/>
    <n v="183185806"/>
    <d v="2022-12-13T00:00:00"/>
    <s v="Complete"/>
  </r>
  <r>
    <s v="acoathup4t"/>
    <s v="geocities.com"/>
    <s v="Archambault"/>
    <s v="Coathup"/>
    <s v="Male"/>
    <s v="Male"/>
    <s v="32.237.10.31"/>
    <s v="202.81.63.131"/>
    <n v="174"/>
    <n v="174"/>
    <s v="NASDAQ"/>
    <s v="FHCO"/>
    <s v="Female Health Company (The)"/>
    <x v="10"/>
    <s v="Specialty Chemicals"/>
    <s v="$36.35M"/>
    <n v="36350000"/>
    <n v="1648.66"/>
    <n v="15.47"/>
    <n v="119200481"/>
    <d v="2024-08-08T00:00:00"/>
    <s v="Complete"/>
  </r>
  <r>
    <s v="reydel4u"/>
    <s v="nydailynews.com"/>
    <s v="Roch"/>
    <s v="Eydel"/>
    <s v="Female"/>
    <s v="Female"/>
    <s v="140.224.182.182"/>
    <s v="83.17.227.181"/>
    <n v="175"/>
    <n v="175"/>
    <s v="NYSE"/>
    <s v="NTEST.C"/>
    <s v="NASDAQ TEST STOCK"/>
    <x v="2"/>
    <s v="N/A"/>
    <s v="N/A"/>
    <n v="0"/>
    <n v="210.28"/>
    <n v="-6.05"/>
    <n v="13618348"/>
    <d v="2022-06-06T00:00:00"/>
    <s v="Missing"/>
  </r>
  <r>
    <s v="cmewes4v"/>
    <s v="gov.uk"/>
    <s v="Corette"/>
    <s v="Mewes"/>
    <s v="Female"/>
    <s v="Female"/>
    <s v="189.0.135.6"/>
    <s v="94.123.70.37"/>
    <n v="176"/>
    <n v="176"/>
    <s v="NASDAQ"/>
    <s v="OIIM"/>
    <s v="O2Micro International Limited"/>
    <x v="4"/>
    <s v="Semiconductors"/>
    <s v="$47.92M"/>
    <n v="47920000"/>
    <n v="713.08"/>
    <n v="0.92"/>
    <n v="94882450"/>
    <d v="2024-11-05T00:00:00"/>
    <s v="Complete"/>
  </r>
  <r>
    <s v="egelardi4w"/>
    <s v="friendfeed.com"/>
    <s v="Eden"/>
    <s v="Gelardi"/>
    <s v="Female"/>
    <s v="Female"/>
    <s v="146.41.152.187"/>
    <s v="130.234.8.101"/>
    <n v="177"/>
    <n v="177"/>
    <s v="NASDAQ"/>
    <s v="CTAS"/>
    <s v="Cintas Corporation"/>
    <x v="5"/>
    <s v="Apparel"/>
    <s v="$13.74B"/>
    <n v="13740000000"/>
    <n v="181.84"/>
    <n v="3.13"/>
    <n v="65244268"/>
    <d v="2021-10-20T00:00:00"/>
    <s v="Complete"/>
  </r>
  <r>
    <s v="mmaasz4x"/>
    <s v="mysql.com"/>
    <s v="Maggie"/>
    <s v="Maasz"/>
    <s v="Female"/>
    <s v="Female"/>
    <s v="124.108.140.195"/>
    <s v="124.20.126.100"/>
    <n v="178"/>
    <n v="178"/>
    <s v="NYSE"/>
    <s v="SCCO"/>
    <s v="Southern Copper Corporation"/>
    <x v="10"/>
    <s v="Precious Metals"/>
    <s v="$26.62B"/>
    <n v="26620000000"/>
    <n v="624.62"/>
    <n v="-10.24"/>
    <n v="115190011"/>
    <d v="2021-03-24T00:00:00"/>
    <s v="Complete"/>
  </r>
  <r>
    <s v="cpuckrin4y"/>
    <s v="google.de"/>
    <s v="Cobby"/>
    <s v="Puckrin"/>
    <s v="Male"/>
    <s v="Male"/>
    <s v="81.125.103.160"/>
    <s v="145.15.53.205"/>
    <n v="179"/>
    <n v="179"/>
    <s v="NYSE"/>
    <s v="AKS"/>
    <s v="AK Steel Holding Corporation"/>
    <x v="10"/>
    <s v="Steel/Iron Ore"/>
    <s v="$1.89B"/>
    <n v="1890000000"/>
    <n v="963.21"/>
    <n v="-10.41"/>
    <n v="33774370"/>
    <d v="2022-04-24T00:00:00"/>
    <s v="Complete"/>
  </r>
  <r>
    <s v="cwalthall4z"/>
    <s v="independent.co.uk"/>
    <s v="Cammy"/>
    <s v="Walthall"/>
    <s v="Female"/>
    <s v="Female"/>
    <s v="173.205.96.158"/>
    <s v="244.127.131.234"/>
    <n v="180"/>
    <n v="180"/>
    <s v="NASDAQ"/>
    <s v="MGNX"/>
    <s v="MacroGenics, Inc."/>
    <x v="0"/>
    <s v="Major Pharmaceuticals"/>
    <s v="$658.69M"/>
    <n v="658690000"/>
    <n v="942.07"/>
    <n v="-7.0000000000000007E-2"/>
    <n v="186479343"/>
    <d v="2023-04-08T00:00:00"/>
    <s v="Complete"/>
  </r>
  <r>
    <s v="rfrounks50"/>
    <s v="discuz.net"/>
    <s v="Roscoe"/>
    <s v="Frounks"/>
    <s v="Male"/>
    <s v="Male"/>
    <s v="83.118.200.248"/>
    <s v="117.178.101.1"/>
    <n v="181"/>
    <n v="181"/>
    <s v="NYSE"/>
    <s v="SSW"/>
    <s v="Seaspan Corporation"/>
    <x v="12"/>
    <s v="Marine Transportation"/>
    <s v="$649.92M"/>
    <n v="649920000"/>
    <n v="1088.9100000000001"/>
    <n v="-8.82"/>
    <n v="122232870"/>
    <d v="2021-09-25T00:00:00"/>
    <s v="Complete"/>
  </r>
  <r>
    <s v="acomford51"/>
    <s v="cloudflare.com"/>
    <s v="Aidan"/>
    <s v="Comford"/>
    <s v="Non-binary"/>
    <s v="Other"/>
    <s v="1.46.57.143"/>
    <s v="64.96.54.188"/>
    <n v="182"/>
    <n v="182"/>
    <s v="NASDAQ"/>
    <s v="WTFCW"/>
    <s v="Wintrust Financial Corporation"/>
    <x v="3"/>
    <s v="Major Banks"/>
    <s v="N/A"/>
    <n v="0"/>
    <n v="1563.11"/>
    <n v="11.37"/>
    <n v="199120343"/>
    <d v="2022-04-23T00:00:00"/>
    <s v="Missing"/>
  </r>
  <r>
    <s v="nleacock52"/>
    <s v="netscape.com"/>
    <s v="Nonnah"/>
    <s v="Leacock"/>
    <s v="Bigender"/>
    <s v="Other"/>
    <s v="138.28.48.139"/>
    <s v="49.169.117.164"/>
    <n v="183"/>
    <n v="183"/>
    <s v="NYSE"/>
    <s v="DXB"/>
    <s v="Deutsche Bank AG"/>
    <x v="3"/>
    <s v="Major Banks"/>
    <s v="N/A"/>
    <n v="0"/>
    <n v="56.21"/>
    <n v="11.11"/>
    <n v="190368780"/>
    <d v="2026-04-07T00:00:00"/>
    <s v="Missing"/>
  </r>
  <r>
    <s v="ekimmel53"/>
    <s v="storify.com"/>
    <s v="Elke"/>
    <s v="Kimmel"/>
    <s v="Female"/>
    <s v="Female"/>
    <s v="239.86.241.5"/>
    <s v="65.63.116.205"/>
    <n v="184"/>
    <n v="184"/>
    <s v="NASDAQ"/>
    <s v="MYOK"/>
    <s v="MyoKardia, Inc."/>
    <x v="0"/>
    <s v="Major Pharmaceuticals"/>
    <s v="$445.1M"/>
    <n v="445100000"/>
    <n v="270.51"/>
    <n v="-14.07"/>
    <n v="78856177"/>
    <d v="2022-11-19T00:00:00"/>
    <s v="Complete"/>
  </r>
  <r>
    <s v="tmelledy54"/>
    <s v="irs.gov"/>
    <s v="Turner"/>
    <s v="Melledy"/>
    <s v="Male"/>
    <s v="Male"/>
    <s v="118.33.62.241"/>
    <s v="151.250.167.46"/>
    <n v="185"/>
    <n v="185"/>
    <s v="NYSE"/>
    <s v="SMG"/>
    <s v="Scotts Miracle-Gro Company (The)"/>
    <x v="10"/>
    <s v="Agricultural Chemicals"/>
    <s v="$5.23B"/>
    <n v="5230000000"/>
    <n v="827.69"/>
    <n v="7.95"/>
    <n v="25418444"/>
    <d v="2024-09-27T00:00:00"/>
    <s v="Complete"/>
  </r>
  <r>
    <s v="ablowfield55"/>
    <s v="youtu.be"/>
    <s v="Anabel"/>
    <s v="Blowfield"/>
    <s v="Female"/>
    <s v="Female"/>
    <s v="12.25.109.187"/>
    <s v="128.223.33.210"/>
    <n v="186"/>
    <n v="186"/>
    <s v="NYSE"/>
    <s v="MAS"/>
    <s v="Masco Corporation"/>
    <x v="10"/>
    <s v="Forest Products"/>
    <s v="$12.32B"/>
    <n v="12320000000"/>
    <n v="941.07"/>
    <n v="3.13"/>
    <n v="115955950"/>
    <d v="2020-10-27T00:00:00"/>
    <s v="Complete"/>
  </r>
  <r>
    <s v="scondie56"/>
    <s v="people.com.cn"/>
    <s v="Shermy"/>
    <s v="Condie"/>
    <s v="Male"/>
    <s v="Male"/>
    <s v="159.38.79.250"/>
    <s v="230.120.138.38"/>
    <n v="187"/>
    <n v="187"/>
    <s v="NASDAQ"/>
    <s v="DWAQ"/>
    <s v="PowerShares DWA NASDAQ Momentum Portfolio"/>
    <x v="2"/>
    <s v="N/A"/>
    <s v="$35.54M"/>
    <n v="35540000"/>
    <n v="212.83"/>
    <n v="-13.47"/>
    <n v="177871156"/>
    <d v="2025-09-29T00:00:00"/>
    <s v="Missing"/>
  </r>
  <r>
    <s v="jansett57"/>
    <s v="simplemachines.org"/>
    <s v="Javier"/>
    <s v="Ansett"/>
    <s v="Male"/>
    <s v="Male"/>
    <s v="183.19.210.54"/>
    <s v="224.123.145.166"/>
    <n v="188"/>
    <n v="188"/>
    <s v="NASDAQ"/>
    <s v="GNTX"/>
    <s v="Gentex Corporation"/>
    <x v="1"/>
    <s v="Auto Parts:O.E.M."/>
    <s v="$5.21B"/>
    <n v="5210000000"/>
    <n v="297.35000000000002"/>
    <n v="-13.27"/>
    <n v="168107560"/>
    <d v="2025-12-06T00:00:00"/>
    <s v="Complete"/>
  </r>
  <r>
    <s v="sglayzer58"/>
    <s v="behance.net"/>
    <s v="Sisely"/>
    <s v="Glayzer"/>
    <s v="Female"/>
    <s v="Female"/>
    <s v="112.245.158.240"/>
    <s v="113.99.221.94"/>
    <n v="189"/>
    <n v="189"/>
    <s v="NYSE"/>
    <s v="WD"/>
    <s v="Walker &amp; Dunlop, Inc."/>
    <x v="3"/>
    <s v="Finance: Consumer Services"/>
    <s v="$1.5B"/>
    <n v="1500000000"/>
    <n v="959.18"/>
    <n v="19.64"/>
    <n v="164184324"/>
    <d v="2026-02-08T00:00:00"/>
    <s v="Complete"/>
  </r>
  <r>
    <s v="bshrubshall59"/>
    <s v="statcounter.com"/>
    <s v="Bar"/>
    <s v="Shrubshall"/>
    <s v="Male"/>
    <s v="Male"/>
    <s v="155.241.67.103"/>
    <s v="1.207.53.206"/>
    <n v="190"/>
    <n v="190"/>
    <s v="NASDAQ"/>
    <s v="PLW"/>
    <s v="PowerShares 1-30 Laddered Treasury Portfolio"/>
    <x v="2"/>
    <s v="N/A"/>
    <s v="$183.15M"/>
    <n v="183150000"/>
    <n v="584.61"/>
    <n v="12.86"/>
    <n v="121135412"/>
    <d v="2022-01-21T00:00:00"/>
    <s v="Missing"/>
  </r>
  <r>
    <s v="hduker5a"/>
    <s v="huffingtonpost.com"/>
    <s v="Heda"/>
    <s v="Duker"/>
    <s v="Female"/>
    <s v="Female"/>
    <s v="236.99.45.195"/>
    <s v="109.0.141.154"/>
    <n v="191"/>
    <n v="191"/>
    <s v="NYSE"/>
    <s v="APD"/>
    <s v="Air Products and Chemicals, Inc."/>
    <x v="10"/>
    <s v="Major Chemicals"/>
    <s v="$31.68B"/>
    <n v="31680000000"/>
    <n v="1937.55"/>
    <n v="7.86"/>
    <n v="13449737"/>
    <d v="2026-08-13T00:00:00"/>
    <s v="Complete"/>
  </r>
  <r>
    <s v="tgladwish5b"/>
    <s v="google.cn"/>
    <s v="Theresina"/>
    <s v="Gladwish"/>
    <s v="Female"/>
    <s v="Female"/>
    <s v="5.10.214.50"/>
    <s v="154.130.209.208"/>
    <n v="192"/>
    <n v="192"/>
    <s v="NYSE"/>
    <s v="PYT"/>
    <s v="PPlus Trust"/>
    <x v="3"/>
    <s v="Finance: Consumer Services"/>
    <s v="N/A"/>
    <n v="0"/>
    <n v="750.55"/>
    <n v="6.84"/>
    <n v="132064942"/>
    <d v="2026-06-28T00:00:00"/>
    <s v="Missing"/>
  </r>
  <r>
    <s v="dsharland5c"/>
    <s v="1und1.de"/>
    <s v="Dall"/>
    <s v="Sharland"/>
    <s v="Male"/>
    <s v="Male"/>
    <s v="176.184.210.19"/>
    <s v="86.142.57.233"/>
    <n v="193"/>
    <n v="193"/>
    <s v="NYSE"/>
    <s v="GVA"/>
    <s v="Granite Construction Incorporated"/>
    <x v="10"/>
    <s v="Military/Government/Technical"/>
    <s v="$1.97B"/>
    <n v="1970000000"/>
    <n v="1686.21"/>
    <n v="-0.2"/>
    <n v="179048528"/>
    <d v="2022-01-01T00:00:00"/>
    <s v="Complete"/>
  </r>
  <r>
    <s v="abithell5d"/>
    <s v="edublogs.org"/>
    <s v="Alaster"/>
    <s v="Bithell"/>
    <s v="Male"/>
    <s v="Male"/>
    <s v="180.93.99.59"/>
    <s v="20.157.183.155"/>
    <n v="194"/>
    <n v="194"/>
    <s v="NYSE"/>
    <s v="NTEST.B"/>
    <s v="NASDAQ TEST STOCK"/>
    <x v="2"/>
    <s v="N/A"/>
    <s v="N/A"/>
    <n v="0"/>
    <n v="1815.86"/>
    <n v="11.61"/>
    <n v="45032096"/>
    <d v="2022-08-09T00:00:00"/>
    <s v="Missing"/>
  </r>
  <r>
    <s v="hdisman5e"/>
    <s v="seesaa.net"/>
    <s v="Hinze"/>
    <s v="Disman"/>
    <s v="Male"/>
    <s v="Male"/>
    <s v="110.185.167.162"/>
    <s v="212.141.148.70"/>
    <n v="195"/>
    <n v="195"/>
    <s v="NASDAQ"/>
    <s v="CUTR"/>
    <s v="Cutera, Inc."/>
    <x v="0"/>
    <s v="Biotechnology: Electromedical &amp; Electrotherapeutic Apparatus"/>
    <s v="$323.6M"/>
    <n v="323600000"/>
    <n v="777.48"/>
    <n v="-9.92"/>
    <n v="194674309"/>
    <d v="2022-04-03T00:00:00"/>
    <s v="Complete"/>
  </r>
  <r>
    <s v="jlukock5f"/>
    <s v="indiegogo.com"/>
    <s v="June"/>
    <s v="Lukock"/>
    <s v="Female"/>
    <s v="Female"/>
    <s v="79.178.146.6"/>
    <s v="13.175.91.99"/>
    <n v="196"/>
    <n v="196"/>
    <s v="NASDAQ"/>
    <s v="BIIB"/>
    <s v="Biogen Inc."/>
    <x v="0"/>
    <s v="Biotechnology: Biological Products (No Diagnostic Substances)"/>
    <s v="$53.4B"/>
    <n v="53400000000"/>
    <n v="1908.48"/>
    <n v="-1.56"/>
    <n v="124664661"/>
    <d v="2024-07-07T00:00:00"/>
    <s v="Complete"/>
  </r>
  <r>
    <s v="mburgwin5g"/>
    <s v="163.com"/>
    <s v="Maxie"/>
    <s v="Burgwin"/>
    <s v="Male"/>
    <s v="Male"/>
    <s v="92.89.21.249"/>
    <s v="196.128.66.159"/>
    <n v="197"/>
    <n v="197"/>
    <s v="NYSE"/>
    <s v="MSB"/>
    <s v="Mesabi Trust"/>
    <x v="10"/>
    <s v="Precious Metals"/>
    <s v="$173.18M"/>
    <n v="173180000"/>
    <n v="582.03"/>
    <n v="-1.77"/>
    <n v="49627537"/>
    <d v="2020-01-02T00:00:00"/>
    <s v="Complete"/>
  </r>
  <r>
    <s v="csisson5h"/>
    <s v="moonfruit.com"/>
    <s v="Christabel"/>
    <s v="Sisson"/>
    <s v="Female"/>
    <s v="Female"/>
    <s v="175.238.105.126"/>
    <s v="133.222.4.109"/>
    <n v="198"/>
    <n v="198"/>
    <s v="NASDAQ"/>
    <s v="CCCR"/>
    <s v="China Commercial Credit, Inc."/>
    <x v="3"/>
    <s v="Major Banks"/>
    <s v="$53.7M"/>
    <n v="53700000"/>
    <n v="1769.69"/>
    <n v="2.6"/>
    <n v="121118394"/>
    <d v="2025-12-05T00:00:00"/>
    <s v="Complete"/>
  </r>
  <r>
    <s v="amalcolm5i"/>
    <s v="usa.gov"/>
    <s v="Aldridge"/>
    <s v="Malcolm"/>
    <s v="Polygender"/>
    <s v="Other"/>
    <s v="88.77.76.85"/>
    <s v="148.107.23.183"/>
    <n v="199"/>
    <n v="199"/>
    <s v="NASDAQ"/>
    <s v="OTTW"/>
    <s v="Ottawa Bancorp, Inc."/>
    <x v="3"/>
    <s v="Savings Institutions"/>
    <s v="$48.54M"/>
    <n v="48540000"/>
    <n v="1211.5999999999999"/>
    <n v="2.88"/>
    <n v="45151700"/>
    <d v="2025-04-20T00:00:00"/>
    <s v="Complete"/>
  </r>
  <r>
    <s v="cbenson5j"/>
    <s v="businessweek.com"/>
    <s v="Chloe"/>
    <s v="Benson"/>
    <s v="Female"/>
    <s v="Female"/>
    <s v="153.231.195.58"/>
    <s v="146.41.40.239"/>
    <n v="200"/>
    <n v="200"/>
    <s v="NYSE"/>
    <s v="PRE^G"/>
    <s v="PartnerRe Ltd."/>
    <x v="2"/>
    <s v="N/A"/>
    <s v="N/A"/>
    <n v="0"/>
    <n v="311.22000000000003"/>
    <n v="7.16"/>
    <n v="193778438"/>
    <d v="2022-11-19T00:00:00"/>
    <s v="Missing"/>
  </r>
  <r>
    <s v="astiger5k"/>
    <s v="jugem.jp"/>
    <s v="Ashli"/>
    <s v="Stiger"/>
    <s v="Female"/>
    <s v="Female"/>
    <s v="117.238.234.53"/>
    <s v="78.107.108.253"/>
    <n v="201"/>
    <n v="201"/>
    <s v="NASDAQ"/>
    <s v="SSBI"/>
    <s v="Summit State Bank"/>
    <x v="2"/>
    <s v="N/A"/>
    <s v="$78.86M"/>
    <n v="78860000"/>
    <n v="735.4"/>
    <n v="-9.84"/>
    <n v="168975603"/>
    <d v="2026-10-22T00:00:00"/>
    <s v="Missing"/>
  </r>
  <r>
    <s v="eklawi5l"/>
    <s v="guardian.co.uk"/>
    <s v="Elsie"/>
    <s v="Klawi"/>
    <s v="Female"/>
    <s v="Female"/>
    <s v="38.251.117.80"/>
    <s v="225.181.223.229"/>
    <n v="202"/>
    <n v="202"/>
    <s v="NYSE"/>
    <s v="PMC"/>
    <s v="Pharmerica Corporation"/>
    <x v="0"/>
    <s v="Medical/Nursing Services"/>
    <s v="$778.92M"/>
    <n v="778920000"/>
    <n v="1056.05"/>
    <n v="-14.44"/>
    <n v="146104870"/>
    <d v="2026-04-26T00:00:00"/>
    <s v="Complete"/>
  </r>
  <r>
    <s v="sarniz5m"/>
    <s v="bbc.co.uk"/>
    <s v="Sig"/>
    <s v="Arniz"/>
    <s v="Male"/>
    <s v="Male"/>
    <s v="136.81.60.171"/>
    <s v="90.244.20.197"/>
    <n v="203"/>
    <n v="203"/>
    <s v="NYSE"/>
    <s v="SHOP"/>
    <s v="Shopify Inc."/>
    <x v="4"/>
    <s v="Computer Software: Prepackaged Software"/>
    <s v="$7.35B"/>
    <n v="7350000000"/>
    <n v="1938.93"/>
    <n v="-19.72"/>
    <n v="158867679"/>
    <d v="2022-10-07T00:00:00"/>
    <s v="Complete"/>
  </r>
  <r>
    <s v="gsains5n"/>
    <s v="guardian.co.uk"/>
    <s v="Gianina"/>
    <s v="Sains"/>
    <s v="Genderfluid"/>
    <s v="Other"/>
    <s v="157.222.146.147"/>
    <s v="37.121.147.75"/>
    <n v="204"/>
    <n v="204"/>
    <s v="NYSE"/>
    <s v="FLOW"/>
    <s v="SPX FLOW, Inc."/>
    <x v="4"/>
    <s v="Industrial Machinery/Components"/>
    <s v="$1.64B"/>
    <n v="1640000000"/>
    <n v="685.09"/>
    <n v="-0.12"/>
    <n v="104718317"/>
    <d v="2021-05-17T00:00:00"/>
    <s v="Complete"/>
  </r>
  <r>
    <s v="hmcgready5o"/>
    <s v="examiner.com"/>
    <s v="Haley"/>
    <s v="McGready"/>
    <s v="Male"/>
    <s v="Male"/>
    <s v="171.120.250.155"/>
    <s v="39.229.87.62"/>
    <n v="205"/>
    <n v="205"/>
    <s v="NASDAQ"/>
    <s v="HOLI"/>
    <s v="Hollysys Automation Technologies, Ltd."/>
    <x v="9"/>
    <s v="Industrial Machinery/Components"/>
    <s v="$1.04B"/>
    <n v="1040000000"/>
    <n v="1265.19"/>
    <n v="14.92"/>
    <n v="28399264"/>
    <d v="2025-05-18T00:00:00"/>
    <s v="Complete"/>
  </r>
  <r>
    <s v="klegat5p"/>
    <s v="virginia.edu"/>
    <s v="Koenraad"/>
    <s v="Legat"/>
    <s v="Male"/>
    <s v="Male"/>
    <s v="208.13.146.107"/>
    <s v="30.114.109.236"/>
    <n v="206"/>
    <n v="206"/>
    <s v="NYSE"/>
    <s v="NNC"/>
    <s v="Nuveen North Carolina Quality Municipal Income Fd"/>
    <x v="2"/>
    <s v="N/A"/>
    <s v="$220.34M"/>
    <n v="220340000"/>
    <n v="135.71"/>
    <n v="-8.69"/>
    <n v="174112700"/>
    <d v="2021-11-24T00:00:00"/>
    <s v="Missing"/>
  </r>
  <r>
    <s v="cmonte5q"/>
    <s v="salon.com"/>
    <s v="Clerissa"/>
    <s v="Monte"/>
    <s v="Female"/>
    <s v="Female"/>
    <s v="37.0.58.139"/>
    <s v="193.196.171.3"/>
    <n v="207"/>
    <n v="207"/>
    <s v="NYSE"/>
    <s v="REXR^A"/>
    <s v="Rexford Industrial Realty, Inc."/>
    <x v="2"/>
    <s v="N/A"/>
    <s v="N/A"/>
    <n v="0"/>
    <n v="1055.17"/>
    <n v="-8.27"/>
    <n v="186629318"/>
    <d v="2022-07-31T00:00:00"/>
    <s v="Missing"/>
  </r>
  <r>
    <s v="cmaginn5r"/>
    <s v="oracle.com"/>
    <s v="Colin"/>
    <s v="Maginn"/>
    <s v="Male"/>
    <s v="Male"/>
    <s v="40.159.245.201"/>
    <s v="60.106.12.40"/>
    <n v="208"/>
    <n v="208"/>
    <s v="NASDAQ"/>
    <s v="KINS"/>
    <s v="Kingstone Companies, Inc"/>
    <x v="3"/>
    <s v="Property-Casualty Insurers"/>
    <s v="$166.26M"/>
    <n v="166260000"/>
    <n v="568.4"/>
    <n v="-17.09"/>
    <n v="120990808"/>
    <d v="2022-10-16T00:00:00"/>
    <s v="Complete"/>
  </r>
  <r>
    <s v="gblackley5s"/>
    <s v="biblegateway.com"/>
    <s v="Gertie"/>
    <s v="Blackley"/>
    <s v="Female"/>
    <s v="Female"/>
    <s v="121.105.204.91"/>
    <s v="214.215.170.64"/>
    <n v="209"/>
    <n v="209"/>
    <s v="NYSE"/>
    <s v="TAL"/>
    <s v="TAL Education Group"/>
    <x v="6"/>
    <s v="Other Consumer Services"/>
    <s v="$9.56B"/>
    <n v="9560000000"/>
    <n v="750.03"/>
    <n v="-0.62"/>
    <n v="88680172"/>
    <d v="2024-05-03T00:00:00"/>
    <s v="Complete"/>
  </r>
  <r>
    <s v="lsaul5t"/>
    <s v="ca.gov"/>
    <s v="Lil"/>
    <s v="Saul"/>
    <s v="Female"/>
    <s v="Female"/>
    <s v="207.110.43.19"/>
    <s v="170.160.201.44"/>
    <n v="210"/>
    <n v="210"/>
    <s v="NYSE"/>
    <s v="JPM.WS"/>
    <s v="J P Morgan Chase &amp; Co"/>
    <x v="2"/>
    <s v="N/A"/>
    <s v="N/A"/>
    <n v="0"/>
    <n v="752.44"/>
    <n v="-17.12"/>
    <n v="96196896"/>
    <d v="2024-10-22T00:00:00"/>
    <s v="Missing"/>
  </r>
  <r>
    <s v="bhorburgh5u"/>
    <s v="scientificamerican.com"/>
    <s v="Bone"/>
    <s v="Horburgh"/>
    <s v="Male"/>
    <s v="Male"/>
    <s v="73.199.213.149"/>
    <s v="98.197.206.203"/>
    <n v="211"/>
    <n v="211"/>
    <s v="NASDAQ"/>
    <s v="CPST"/>
    <s v="Capstone Turbine Corporation"/>
    <x v="9"/>
    <s v="Industrial Machinery/Components"/>
    <s v="$28.65M"/>
    <n v="28650000"/>
    <n v="1513.57"/>
    <n v="10.47"/>
    <n v="194146331"/>
    <d v="2024-07-23T00:00:00"/>
    <s v="Complete"/>
  </r>
  <r>
    <s v="mcoarser5v"/>
    <s v="google.ca"/>
    <s v="Marcellina"/>
    <s v="Coarser"/>
    <s v="Female"/>
    <s v="Female"/>
    <s v="13.134.82.33"/>
    <s v="197.231.141.99"/>
    <n v="212"/>
    <n v="212"/>
    <s v="NASDAQ"/>
    <s v="HOTRW"/>
    <s v="Chanticleer Holdings, Inc."/>
    <x v="6"/>
    <s v="Restaurants"/>
    <s v="N/A"/>
    <n v="0"/>
    <n v="725.23"/>
    <n v="5.74"/>
    <n v="104670967"/>
    <d v="2022-04-04T00:00:00"/>
    <s v="Missing"/>
  </r>
  <r>
    <s v="mhaughey5w"/>
    <s v="angelfire.com"/>
    <s v="Mathian"/>
    <s v="Haughey"/>
    <s v="Genderqueer"/>
    <s v="Other"/>
    <s v="161.55.211.252"/>
    <s v="32.150.228.117"/>
    <n v="213"/>
    <n v="213"/>
    <s v="NASDAQ"/>
    <s v="SPKE"/>
    <s v="Spark Energy, Inc."/>
    <x v="8"/>
    <s v="Power Generation"/>
    <s v="$806.93M"/>
    <n v="806930000"/>
    <n v="1589.43"/>
    <n v="2.86"/>
    <n v="173240675"/>
    <d v="2021-12-14T00:00:00"/>
    <s v="Complete"/>
  </r>
  <r>
    <s v="hwaller5x"/>
    <s v="washington.edu"/>
    <s v="Hillie"/>
    <s v="Waller"/>
    <s v="Male"/>
    <s v="Male"/>
    <s v="160.166.188.110"/>
    <s v="250.172.45.175"/>
    <n v="214"/>
    <n v="214"/>
    <s v="NASDAQ"/>
    <s v="NCIT"/>
    <s v="NCI, Inc."/>
    <x v="4"/>
    <s v="EDP Services"/>
    <s v="$276.46M"/>
    <n v="276460000"/>
    <n v="293.08999999999997"/>
    <n v="-17.97"/>
    <n v="75958678"/>
    <d v="2024-03-29T00:00:00"/>
    <s v="Complete"/>
  </r>
  <r>
    <s v="gfoote5y"/>
    <s v="last.fm"/>
    <s v="Guglielmo"/>
    <s v="Foote"/>
    <s v="Male"/>
    <s v="Male"/>
    <s v="19.171.150.188"/>
    <s v="226.57.149.74"/>
    <n v="215"/>
    <n v="215"/>
    <s v="NYSE"/>
    <s v="STE"/>
    <s v="STERIS plc"/>
    <x v="0"/>
    <s v="Industrial Specialties"/>
    <s v="$6.96B"/>
    <n v="6960000000"/>
    <n v="609.86"/>
    <n v="-13.81"/>
    <n v="93821861"/>
    <d v="2022-08-29T00:00:00"/>
    <s v="Complete"/>
  </r>
  <r>
    <s v="sparris5z"/>
    <s v="vinaora.com"/>
    <s v="Starla"/>
    <s v="Parris"/>
    <s v="Female"/>
    <s v="Female"/>
    <s v="17.187.37.250"/>
    <s v="144.14.127.211"/>
    <n v="216"/>
    <n v="216"/>
    <s v="NASDAQ"/>
    <s v="VIIZ"/>
    <s v="VelocityShares VIX Medium-Term ETN"/>
    <x v="3"/>
    <s v="Investment Bankers/Brokers/Service"/>
    <s v="$1.14M"/>
    <n v="1140000"/>
    <n v="906.3"/>
    <n v="5.28"/>
    <n v="75092856"/>
    <d v="2026-11-04T00:00:00"/>
    <s v="Complete"/>
  </r>
  <r>
    <s v="tbrewin60"/>
    <s v="diigo.com"/>
    <s v="Tann"/>
    <s v="Brewin"/>
    <s v="Male"/>
    <s v="Male"/>
    <s v="68.204.229.240"/>
    <s v="241.253.52.142"/>
    <n v="217"/>
    <n v="217"/>
    <s v="NYSE"/>
    <s v="LGF.A"/>
    <s v="Lions Gate Entertainment Corporation"/>
    <x v="2"/>
    <s v="N/A"/>
    <s v="N/A"/>
    <n v="0"/>
    <n v="380.45"/>
    <n v="2.44"/>
    <n v="11316900"/>
    <d v="2021-09-09T00:00:00"/>
    <s v="Missing"/>
  </r>
  <r>
    <s v="anitti61"/>
    <s v="earthlink.net"/>
    <s v="Adelina"/>
    <s v="Nitti"/>
    <s v="Female"/>
    <s v="Female"/>
    <s v="35.89.190.2"/>
    <s v="240.150.198.239"/>
    <n v="218"/>
    <n v="218"/>
    <s v="NYSE"/>
    <s v="KEY"/>
    <s v="KeyCorp"/>
    <x v="3"/>
    <s v="Major Banks"/>
    <s v="$20.32B"/>
    <n v="20320000000"/>
    <n v="1098.73"/>
    <n v="13.59"/>
    <n v="71904162"/>
    <d v="2022-08-15T00:00:00"/>
    <s v="Complete"/>
  </r>
  <r>
    <s v="cather62"/>
    <s v="hao123.com"/>
    <s v="Cele"/>
    <s v="Ather"/>
    <s v="Female"/>
    <s v="Female"/>
    <s v="62.171.223.17"/>
    <s v="35.110.127.5"/>
    <n v="219"/>
    <n v="219"/>
    <s v="NYSE"/>
    <s v="BAK"/>
    <s v="Braskem S.A."/>
    <x v="10"/>
    <s v="Major Chemicals"/>
    <s v="$7.97B"/>
    <n v="7970000000"/>
    <n v="1385.27"/>
    <n v="-6.82"/>
    <n v="86721365"/>
    <d v="2022-09-20T00:00:00"/>
    <s v="Complete"/>
  </r>
  <r>
    <s v="jdinan63"/>
    <s v="amazon.com"/>
    <s v="Jerrome"/>
    <s v="Dinan"/>
    <s v="Male"/>
    <s v="Male"/>
    <s v="129.141.7.161"/>
    <s v="48.162.193.165"/>
    <n v="220"/>
    <n v="220"/>
    <s v="NASDAQ"/>
    <s v="VIA"/>
    <s v="Viacom Inc."/>
    <x v="6"/>
    <s v="Television Services"/>
    <s v="$15.55B"/>
    <n v="15550000000"/>
    <n v="1715.81"/>
    <n v="-2.85"/>
    <n v="91894325"/>
    <d v="2025-02-18T00:00:00"/>
    <s v="Complete"/>
  </r>
  <r>
    <s v="sewles64"/>
    <s v="newsvine.com"/>
    <s v="Shoshana"/>
    <s v="Ewles"/>
    <s v="Female"/>
    <s v="Female"/>
    <s v="213.218.64.59"/>
    <s v="81.143.251.199"/>
    <n v="221"/>
    <n v="221"/>
    <s v="NYSE"/>
    <s v="DST"/>
    <s v="DST Systems, Inc."/>
    <x v="4"/>
    <s v="EDP Services"/>
    <s v="$7.32B"/>
    <n v="7320000000"/>
    <n v="1990.49"/>
    <n v="-3.11"/>
    <n v="39680077"/>
    <d v="2021-08-21T00:00:00"/>
    <s v="Complete"/>
  </r>
  <r>
    <s v="kmaccosto65"/>
    <s v="howstuffworks.com"/>
    <s v="Koenraad"/>
    <s v="MacCosto"/>
    <s v="Male"/>
    <s v="Male"/>
    <s v="80.24.155.212"/>
    <s v="236.132.50.198"/>
    <n v="222"/>
    <n v="222"/>
    <s v="NYSE"/>
    <s v="TCF^B"/>
    <s v="TCF Financial Corporation"/>
    <x v="2"/>
    <s v="N/A"/>
    <s v="N/A"/>
    <n v="0"/>
    <n v="678.95"/>
    <n v="0.94"/>
    <n v="49785779"/>
    <d v="2020-05-08T00:00:00"/>
    <s v="Missing"/>
  </r>
  <r>
    <s v="msneesbie66"/>
    <s v="pbs.org"/>
    <s v="Marylee"/>
    <s v="Sneesbie"/>
    <s v="Female"/>
    <s v="Female"/>
    <s v="230.121.177.203"/>
    <s v="216.104.142.52"/>
    <n v="223"/>
    <n v="223"/>
    <s v="NASDAQ"/>
    <s v="TANNL"/>
    <s v="TravelCenters of America LLC"/>
    <x v="11"/>
    <s v="Automotive Aftermarket"/>
    <s v="N/A"/>
    <n v="0"/>
    <n v="1701.73"/>
    <n v="-15.48"/>
    <n v="115255728"/>
    <d v="2025-11-09T00:00:00"/>
    <s v="Missing"/>
  </r>
  <r>
    <s v="edecaze67"/>
    <s v="sogou.com"/>
    <s v="Ebony"/>
    <s v="Decaze"/>
    <s v="Female"/>
    <s v="Female"/>
    <s v="241.5.148.184"/>
    <s v="40.192.48.6"/>
    <n v="224"/>
    <n v="224"/>
    <s v="NASDAQ"/>
    <s v="AMCN"/>
    <s v="AirMedia Group Inc"/>
    <x v="4"/>
    <s v="Advertising"/>
    <s v="$95.78M"/>
    <n v="95780000"/>
    <n v="1439.11"/>
    <n v="4.21"/>
    <n v="93460219"/>
    <d v="2021-03-31T00:00:00"/>
    <s v="Complete"/>
  </r>
  <r>
    <s v="jdauncey68"/>
    <s v="mysql.com"/>
    <s v="Jory"/>
    <s v="Dauncey"/>
    <s v="Male"/>
    <s v="Male"/>
    <s v="125.218.171.82"/>
    <s v="46.235.52.236"/>
    <n v="225"/>
    <n v="225"/>
    <s v="NASDAQ"/>
    <s v="NTNX"/>
    <s v="Nutanix, Inc."/>
    <x v="4"/>
    <s v="Computer Software: Prepackaged Software"/>
    <s v="$2.68B"/>
    <n v="2680000000"/>
    <n v="639.75"/>
    <n v="-10.32"/>
    <n v="126998874"/>
    <d v="2023-10-29T00:00:00"/>
    <s v="Complete"/>
  </r>
  <r>
    <s v="bgylle69"/>
    <s v="house.gov"/>
    <s v="Briana"/>
    <s v="Gylle"/>
    <s v="Female"/>
    <s v="Female"/>
    <s v="87.76.36.125"/>
    <s v="212.86.231.117"/>
    <n v="226"/>
    <n v="226"/>
    <s v="NASDAQ"/>
    <s v="BSTG"/>
    <s v="Biostage, Inc."/>
    <x v="0"/>
    <s v="Medical/Dental Instruments"/>
    <s v="$12.03M"/>
    <n v="12030000"/>
    <n v="74.099999999999994"/>
    <n v="16.36"/>
    <n v="33732261"/>
    <d v="2021-04-29T00:00:00"/>
    <s v="Complete"/>
  </r>
  <r>
    <s v="hkuhle6a"/>
    <s v="walmart.com"/>
    <s v="Hyacintha"/>
    <s v="Kuhle"/>
    <s v="Female"/>
    <s v="Female"/>
    <s v="158.167.0.121"/>
    <s v="182.9.83.111"/>
    <n v="227"/>
    <n v="227"/>
    <s v="NASDAQ"/>
    <s v="FRBA"/>
    <s v="First Bank"/>
    <x v="2"/>
    <s v="N/A"/>
    <s v="$137.6M"/>
    <n v="137600000"/>
    <n v="339.58"/>
    <n v="15.87"/>
    <n v="15801277"/>
    <d v="2021-03-25T00:00:00"/>
    <s v="Missing"/>
  </r>
  <r>
    <s v="rpetigrew6b"/>
    <s v="arstechnica.com"/>
    <s v="Rustie"/>
    <s v="Petigrew"/>
    <s v="Male"/>
    <s v="Male"/>
    <s v="54.59.11.21"/>
    <s v="203.133.236.240"/>
    <n v="228"/>
    <n v="228"/>
    <s v="NYSE"/>
    <s v="SCM"/>
    <s v="Stellus Capital Investment Corporation"/>
    <x v="2"/>
    <s v="N/A"/>
    <s v="$213.68M"/>
    <n v="213680000"/>
    <n v="1816.91"/>
    <n v="9.16"/>
    <n v="188828416"/>
    <d v="2020-12-07T00:00:00"/>
    <s v="Missing"/>
  </r>
  <r>
    <s v="tvolant6c"/>
    <s v="quantcast.com"/>
    <s v="Torey"/>
    <s v="Volant"/>
    <s v="Female"/>
    <s v="Female"/>
    <s v="215.220.238.216"/>
    <s v="36.71.33.248"/>
    <n v="229"/>
    <n v="229"/>
    <s v="NYSE"/>
    <s v="PSA^Z"/>
    <s v="Public Storage"/>
    <x v="2"/>
    <s v="N/A"/>
    <s v="N/A"/>
    <n v="0"/>
    <n v="1512.34"/>
    <n v="-14.47"/>
    <n v="132689098"/>
    <d v="2023-03-05T00:00:00"/>
    <s v="Missing"/>
  </r>
  <r>
    <s v="ajezzard6d"/>
    <s v="artisteer.com"/>
    <s v="Antony"/>
    <s v="Jezzard"/>
    <s v="Male"/>
    <s v="Male"/>
    <s v="85.201.185.243"/>
    <s v="66.225.207.129"/>
    <n v="230"/>
    <n v="230"/>
    <s v="NYSE"/>
    <s v="EEA"/>
    <s v="European Equity Fund, Inc. (The)"/>
    <x v="2"/>
    <s v="N/A"/>
    <s v="$75.98M"/>
    <n v="75980000"/>
    <n v="516.26"/>
    <n v="-4.34"/>
    <n v="194945150"/>
    <d v="2021-07-30T00:00:00"/>
    <s v="Missing"/>
  </r>
  <r>
    <s v="wwhyke6e"/>
    <s v="t.co"/>
    <s v="Wilona"/>
    <s v="Whyke"/>
    <s v="Genderqueer"/>
    <s v="Other"/>
    <s v="206.230.157.64"/>
    <s v="134.171.74.186"/>
    <n v="231"/>
    <n v="231"/>
    <s v="NASDAQ"/>
    <s v="QBAK"/>
    <s v="Qualstar Corporation"/>
    <x v="4"/>
    <s v="Electronic Components"/>
    <s v="$11.21M"/>
    <n v="11210000"/>
    <n v="1897.14"/>
    <n v="-19.93"/>
    <n v="44436998"/>
    <d v="2022-01-10T00:00:00"/>
    <s v="Complete"/>
  </r>
  <r>
    <s v="pconnah6f"/>
    <s v="g.co"/>
    <s v="Paloma"/>
    <s v="Connah"/>
    <s v="Female"/>
    <s v="Female"/>
    <s v="150.1.230.85"/>
    <s v="199.149.116.226"/>
    <n v="232"/>
    <n v="232"/>
    <s v="NYSE"/>
    <s v="MN"/>
    <s v="Manning &amp; Napier, Inc."/>
    <x v="3"/>
    <s v="Investment Managers"/>
    <s v="$63.23M"/>
    <n v="63230000"/>
    <n v="1605.73"/>
    <n v="-7.38"/>
    <n v="132693108"/>
    <d v="2026-07-11T00:00:00"/>
    <s v="Complete"/>
  </r>
  <r>
    <s v="iflowitt6g"/>
    <s v="bloomberg.com"/>
    <s v="Ignaz"/>
    <s v="Flowitt"/>
    <s v="Male"/>
    <s v="Male"/>
    <s v="103.206.162.188"/>
    <s v="92.153.241.24"/>
    <n v="233"/>
    <n v="233"/>
    <s v="NASDAQ"/>
    <s v="PMD"/>
    <s v="Psychemedics Corporation"/>
    <x v="0"/>
    <s v="Medical Specialities"/>
    <s v="$118.92M"/>
    <n v="118920000"/>
    <n v="942.14"/>
    <n v="-9.36"/>
    <n v="147992187"/>
    <d v="2022-12-29T00:00:00"/>
    <s v="Complete"/>
  </r>
  <r>
    <s v="gwetter6h"/>
    <s v="123-reg.co.uk"/>
    <s v="Germayne"/>
    <s v="Wetter"/>
    <s v="Male"/>
    <s v="Male"/>
    <s v="14.123.138.116"/>
    <s v="78.122.225.191"/>
    <n v="234"/>
    <n v="234"/>
    <s v="NASDAQ"/>
    <s v="APOP"/>
    <s v="Cellect Biotechnology Ltd."/>
    <x v="2"/>
    <s v="N/A"/>
    <s v="$43.5M"/>
    <n v="43500000"/>
    <n v="631.92999999999995"/>
    <n v="4.54"/>
    <n v="66861912"/>
    <d v="2026-12-11T00:00:00"/>
    <s v="Missing"/>
  </r>
  <r>
    <s v="scobson6i"/>
    <s v="hibu.com"/>
    <s v="Sherlocke"/>
    <s v="Cobson"/>
    <s v="Male"/>
    <s v="Male"/>
    <s v="223.170.98.134"/>
    <s v="202.12.175.1"/>
    <n v="235"/>
    <n v="235"/>
    <s v="NASDAQ"/>
    <s v="ABTX"/>
    <s v="Allegiance Bancshares, Inc."/>
    <x v="3"/>
    <s v="Major Banks"/>
    <s v="$514.79M"/>
    <n v="514789999.99999994"/>
    <n v="505.17"/>
    <n v="-0.54"/>
    <n v="131988946"/>
    <d v="2020-10-18T00:00:00"/>
    <s v="Complete"/>
  </r>
  <r>
    <s v="availlant6j"/>
    <s v="smh.com.au"/>
    <s v="Alta"/>
    <s v="Vaillant"/>
    <s v="Female"/>
    <s v="Female"/>
    <s v="82.36.114.163"/>
    <s v="159.218.146.182"/>
    <n v="236"/>
    <n v="236"/>
    <s v="NYSE"/>
    <s v="CIG"/>
    <s v="Comp En De Mn Cemig ADS"/>
    <x v="8"/>
    <s v="Electric Utilities: Central"/>
    <s v="$2.9B"/>
    <n v="2900000000"/>
    <n v="530.78"/>
    <n v="-15.91"/>
    <n v="74517302"/>
    <d v="2024-04-24T00:00:00"/>
    <s v="Complete"/>
  </r>
  <r>
    <s v="gpicott6k"/>
    <s v="hc360.com"/>
    <s v="Gerri"/>
    <s v="Picott"/>
    <s v="Male"/>
    <s v="Male"/>
    <s v="83.231.252.98"/>
    <s v="195.216.199.226"/>
    <n v="237"/>
    <n v="237"/>
    <s v="NASDAQ"/>
    <s v="TENX"/>
    <s v="Tenax Therapeutics, Inc."/>
    <x v="0"/>
    <s v="Biotechnology: Commercial Physical &amp; Biological Resarch"/>
    <s v="$14.89M"/>
    <n v="14890000"/>
    <n v="1927.7"/>
    <n v="0.89"/>
    <n v="82217388"/>
    <d v="2020-07-12T00:00:00"/>
    <s v="Complete"/>
  </r>
  <r>
    <s v="prubanenko6l"/>
    <s v="mit.edu"/>
    <s v="Papageno"/>
    <s v="Rubanenko"/>
    <s v="Male"/>
    <s v="Male"/>
    <s v="244.100.223.115"/>
    <s v="158.136.120.42"/>
    <n v="238"/>
    <n v="238"/>
    <s v="NASDAQ"/>
    <s v="CHKP"/>
    <s v="Check Point Software Technologies Ltd."/>
    <x v="4"/>
    <s v="Computer Software: Prepackaged Software"/>
    <s v="$18.26B"/>
    <n v="18260000000"/>
    <n v="1546.37"/>
    <n v="14.4"/>
    <n v="171784911"/>
    <d v="2025-06-12T00:00:00"/>
    <s v="Complete"/>
  </r>
  <r>
    <s v="svonsalzberg6m"/>
    <s v="dion.ne.jp"/>
    <s v="Sam"/>
    <s v="Von Salzberg"/>
    <s v="Female"/>
    <s v="Female"/>
    <s v="172.61.183.113"/>
    <s v="20.218.215.99"/>
    <n v="239"/>
    <n v="239"/>
    <s v="NASDAQ"/>
    <s v="BJRI"/>
    <s v="BJ's Restaurants, Inc."/>
    <x v="6"/>
    <s v="Restaurants"/>
    <s v="$834.31M"/>
    <n v="834310000"/>
    <n v="1872.68"/>
    <n v="-13.81"/>
    <n v="159454011"/>
    <d v="2023-12-18T00:00:00"/>
    <s v="Complete"/>
  </r>
  <r>
    <s v="vzanassi6n"/>
    <s v="nhs.uk"/>
    <s v="Vicky"/>
    <s v="Zanassi"/>
    <s v="Female"/>
    <s v="Female"/>
    <s v="249.8.150.221"/>
    <s v="124.150.223.151"/>
    <n v="240"/>
    <n v="240"/>
    <s v="NASDAQ"/>
    <s v="PRGS"/>
    <s v="Progress Software Corporation"/>
    <x v="4"/>
    <s v="Computer Software: Prepackaged Software"/>
    <s v="$1.41B"/>
    <n v="1410000000"/>
    <n v="1790.46"/>
    <n v="-6.82"/>
    <n v="148541591"/>
    <d v="2023-09-30T00:00:00"/>
    <s v="Complete"/>
  </r>
  <r>
    <s v="aembleton6o"/>
    <s v="foxnews.com"/>
    <s v="Aldridge"/>
    <s v="Embleton"/>
    <s v="Male"/>
    <s v="Male"/>
    <s v="0.198.252.127"/>
    <s v="149.28.169.238"/>
    <n v="241"/>
    <n v="241"/>
    <s v="NASDAQ"/>
    <s v="QURE"/>
    <s v="uniQure N.V."/>
    <x v="0"/>
    <s v="Major Pharmaceuticals"/>
    <s v="$127.38M"/>
    <n v="127380000"/>
    <n v="817.08"/>
    <n v="-11.46"/>
    <n v="161408576"/>
    <d v="2026-12-18T00:00:00"/>
    <s v="Complete"/>
  </r>
  <r>
    <s v="hmccoll6p"/>
    <s v="ebay.co.uk"/>
    <s v="Hermina"/>
    <s v="McColl"/>
    <s v="Female"/>
    <s v="Female"/>
    <s v="188.227.224.70"/>
    <s v="218.157.40.123"/>
    <n v="242"/>
    <n v="242"/>
    <s v="NASDAQ"/>
    <s v="DLTR"/>
    <s v="Dollar Tree, Inc."/>
    <x v="6"/>
    <s v="Department/Specialty Retail Stores"/>
    <s v="$16.58B"/>
    <n v="16579999999.999998"/>
    <n v="1991.59"/>
    <n v="19.239999999999998"/>
    <n v="85510570"/>
    <d v="2023-11-06T00:00:00"/>
    <s v="Complete"/>
  </r>
  <r>
    <s v="gscotson6q"/>
    <s v="mashable.com"/>
    <s v="Gavin"/>
    <s v="Scotson"/>
    <s v="Male"/>
    <s v="Male"/>
    <s v="140.255.221.176"/>
    <s v="168.134.154.51"/>
    <n v="243"/>
    <n v="243"/>
    <s v="NASDAQ"/>
    <s v="QSII"/>
    <s v="Quality Systems, Inc."/>
    <x v="4"/>
    <s v="EDP Services"/>
    <s v="$1.07B"/>
    <n v="1070000000.0000001"/>
    <n v="46.44"/>
    <n v="-2.74"/>
    <n v="174637528"/>
    <d v="2023-10-17T00:00:00"/>
    <s v="Complete"/>
  </r>
  <r>
    <s v="gperfect6r"/>
    <s v="army.mil"/>
    <s v="Gabriellia"/>
    <s v="Perfect"/>
    <s v="Female"/>
    <s v="Female"/>
    <s v="22.215.8.5"/>
    <s v="15.63.247.166"/>
    <n v="244"/>
    <n v="244"/>
    <s v="NASDAQ"/>
    <s v="FFBC"/>
    <s v="First Financial Bancorp."/>
    <x v="3"/>
    <s v="Major Banks"/>
    <s v="$1.7B"/>
    <n v="1700000000"/>
    <n v="582.65"/>
    <n v="4.54"/>
    <n v="120542934"/>
    <d v="2026-06-13T00:00:00"/>
    <s v="Complete"/>
  </r>
  <r>
    <s v="djuett6s"/>
    <s v="shareasale.com"/>
    <s v="Darya"/>
    <s v="Juett"/>
    <s v="Female"/>
    <s v="Female"/>
    <s v="66.7.49.117"/>
    <s v="35.105.100.6"/>
    <n v="245"/>
    <n v="245"/>
    <s v="NASDAQ"/>
    <s v="OHGI"/>
    <s v="One Horizon Group, Inc."/>
    <x v="8"/>
    <s v="Telecommunications Equipment"/>
    <s v="$5.79M"/>
    <n v="5790000"/>
    <n v="1485.9"/>
    <n v="15.63"/>
    <n v="38195132"/>
    <d v="2020-01-24T00:00:00"/>
    <s v="Complete"/>
  </r>
  <r>
    <s v="acharlton6t"/>
    <s v="earthlink.net"/>
    <s v="Arline"/>
    <s v="Charlton"/>
    <s v="Female"/>
    <s v="Female"/>
    <s v="156.73.254.8"/>
    <s v="12.170.110.162"/>
    <n v="246"/>
    <n v="246"/>
    <s v="NASDAQ"/>
    <s v="TORM          "/>
    <s v="TOR Minerals International Inc"/>
    <x v="10"/>
    <s v="Major Chemicals"/>
    <s v="$26.92M"/>
    <n v="26920000"/>
    <n v="218.89"/>
    <n v="-9.69"/>
    <n v="146861788"/>
    <d v="2022-09-19T00:00:00"/>
    <s v="Complete"/>
  </r>
  <r>
    <s v="wmcilrath6u"/>
    <s v="disqus.com"/>
    <s v="Wynny"/>
    <s v="McIlrath"/>
    <s v="Female"/>
    <s v="Female"/>
    <s v="2.124.23.162"/>
    <s v="179.194.117.200"/>
    <n v="247"/>
    <n v="247"/>
    <s v="NASDAQ"/>
    <s v="EDUC"/>
    <s v="Educational Development Corporation"/>
    <x v="11"/>
    <s v="Consumer Specialties"/>
    <s v="$42.15M"/>
    <n v="42150000"/>
    <n v="1019.85"/>
    <n v="-15.03"/>
    <n v="174041138"/>
    <d v="2025-01-15T00:00:00"/>
    <s v="Complete"/>
  </r>
  <r>
    <s v="tclines6v"/>
    <s v="weibo.com"/>
    <s v="Thorstein"/>
    <s v="Clines"/>
    <s v="Male"/>
    <s v="Male"/>
    <s v="20.223.23.213"/>
    <s v="62.61.107.214"/>
    <n v="248"/>
    <n v="248"/>
    <s v="NYSE"/>
    <s v="ANTX"/>
    <s v="Anthem, Inc."/>
    <x v="0"/>
    <s v="Medical Specialities"/>
    <s v="$13.93B"/>
    <n v="13930000000"/>
    <n v="837.72"/>
    <n v="-8.6"/>
    <n v="104148590"/>
    <d v="2020-06-27T00:00:00"/>
    <s v="Complete"/>
  </r>
  <r>
    <s v="jellingworth6w"/>
    <s v="ask.com"/>
    <s v="Jaime"/>
    <s v="Ellingworth"/>
    <s v="Male"/>
    <s v="Male"/>
    <s v="190.154.43.78"/>
    <s v="122.116.26.67"/>
    <n v="249"/>
    <n v="249"/>
    <s v="NYSE"/>
    <s v="CIE"/>
    <s v="Cobalt International Energy, Inc."/>
    <x v="9"/>
    <s v="Oil &amp; Gas Production"/>
    <s v="$93.34M"/>
    <n v="93340000"/>
    <n v="912.7"/>
    <n v="-17.18"/>
    <n v="182719655"/>
    <d v="2026-02-11T00:00:00"/>
    <s v="Complete"/>
  </r>
  <r>
    <s v="gbidgood6x"/>
    <s v="homestead.com"/>
    <s v="Gabriell"/>
    <s v="Bidgood"/>
    <s v="Female"/>
    <s v="Female"/>
    <s v="222.169.44.37"/>
    <s v="228.185.184.196"/>
    <n v="250"/>
    <n v="250"/>
    <s v="NYSE"/>
    <s v="RFP"/>
    <s v="Resolute Forest Products Inc."/>
    <x v="10"/>
    <s v="Paper"/>
    <s v="$413.36M"/>
    <n v="413360000"/>
    <n v="536.12"/>
    <n v="-16.02"/>
    <n v="92757153"/>
    <d v="2024-08-25T00:00:00"/>
    <s v="Complete"/>
  </r>
  <r>
    <s v="cfeldhuhn6y"/>
    <s v="vistaprint.com"/>
    <s v="Cristabel"/>
    <s v="Feldhuhn"/>
    <s v="Female"/>
    <s v="Female"/>
    <s v="151.187.97.128"/>
    <s v="41.26.149.101"/>
    <n v="251"/>
    <n v="251"/>
    <s v="NYSE"/>
    <s v="DRH"/>
    <s v="Diamondrock Hospitality Company"/>
    <x v="6"/>
    <s v="Real Estate Investment Trusts"/>
    <s v="$2.32B"/>
    <n v="2320000000"/>
    <n v="262.27999999999997"/>
    <n v="-1.78"/>
    <n v="45452202"/>
    <d v="2021-07-23T00:00:00"/>
    <s v="Complete"/>
  </r>
  <r>
    <s v="dmacafee6z"/>
    <s v="spotify.com"/>
    <s v="Delmar"/>
    <s v="MacAfee"/>
    <s v="Male"/>
    <s v="Male"/>
    <s v="193.230.254.19"/>
    <s v="97.157.15.55"/>
    <n v="252"/>
    <n v="252"/>
    <s v="NASDAQ"/>
    <s v="FV"/>
    <s v="First Trust Dorsey Wright Focus 5 ETF"/>
    <x v="2"/>
    <s v="N/A"/>
    <s v="$2.46B"/>
    <n v="2460000000"/>
    <n v="1518.74"/>
    <n v="17.32"/>
    <n v="98631988"/>
    <d v="2022-11-24T00:00:00"/>
    <s v="Missing"/>
  </r>
  <r>
    <s v="jtrevaskiss70"/>
    <s v="slideshare.net"/>
    <s v="Jonell"/>
    <s v="Trevaskiss"/>
    <s v="Female"/>
    <s v="Female"/>
    <s v="167.47.52.59"/>
    <s v="45.122.54.108"/>
    <n v="253"/>
    <n v="253"/>
    <s v="NASDAQ"/>
    <s v="CTRV"/>
    <s v="ContraVir Pharmaceuticals Inc"/>
    <x v="0"/>
    <s v="Major Pharmaceuticals"/>
    <s v="$47.48M"/>
    <n v="47480000"/>
    <n v="1553.75"/>
    <n v="-4.25"/>
    <n v="184307504"/>
    <d v="2023-04-03T00:00:00"/>
    <s v="Complete"/>
  </r>
  <r>
    <s v="athonger71"/>
    <s v="ucoz.com"/>
    <s v="August"/>
    <s v="Thonger"/>
    <s v="Bigender"/>
    <s v="Other"/>
    <s v="64.221.94.138"/>
    <s v="24.251.92.224"/>
    <n v="254"/>
    <n v="254"/>
    <s v="NYSE"/>
    <s v="MYN"/>
    <s v="Blackrock MuniYield New York Quality Fund, Inc."/>
    <x v="2"/>
    <s v="N/A"/>
    <s v="$520.17M"/>
    <n v="520169999.99999994"/>
    <n v="1823.97"/>
    <n v="-3.02"/>
    <n v="55587553"/>
    <d v="2025-07-21T00:00:00"/>
    <s v="Missing"/>
  </r>
  <r>
    <s v="tmulcahy72"/>
    <s v="elegantthemes.com"/>
    <s v="Tybie"/>
    <s v="Mulcahy"/>
    <s v="Female"/>
    <s v="Female"/>
    <s v="162.237.62.156"/>
    <s v="201.1.91.166"/>
    <n v="255"/>
    <n v="255"/>
    <s v="NYSE"/>
    <s v="CRY"/>
    <s v="CryoLife, Inc."/>
    <x v="0"/>
    <s v="Medical/Dental Instruments"/>
    <s v="$615.32M"/>
    <n v="615320000"/>
    <n v="1343.1"/>
    <n v="-17.8"/>
    <n v="6639748"/>
    <d v="2025-01-29T00:00:00"/>
    <s v="Complete"/>
  </r>
  <r>
    <s v="sbaxstare73"/>
    <s v="deviantart.com"/>
    <s v="Susan"/>
    <s v="Baxstare"/>
    <s v="Female"/>
    <s v="Female"/>
    <s v="198.137.131.54"/>
    <s v="242.49.136.127"/>
    <n v="256"/>
    <n v="256"/>
    <s v="NASDAQ"/>
    <s v="MILN"/>
    <s v="Global X Millennials Thematic ETF"/>
    <x v="2"/>
    <s v="N/A"/>
    <s v="$4.36M"/>
    <n v="4360000"/>
    <n v="1263.3599999999999"/>
    <n v="9.81"/>
    <n v="108076447"/>
    <d v="2023-10-29T00:00:00"/>
    <s v="Missing"/>
  </r>
  <r>
    <s v="clemarquand74"/>
    <s v="auda.org.au"/>
    <s v="Claiborn"/>
    <s v="Le Marquand"/>
    <s v="Male"/>
    <s v="Male"/>
    <s v="19.182.130.205"/>
    <s v="75.71.187.160"/>
    <n v="257"/>
    <n v="257"/>
    <s v="NASDAQ"/>
    <s v="UBSI"/>
    <s v="United Bankshares, Inc."/>
    <x v="3"/>
    <s v="Major Banks"/>
    <s v="$4.19B"/>
    <n v="4190000000.0000005"/>
    <n v="203.6"/>
    <n v="12.88"/>
    <n v="82434591"/>
    <d v="2020-08-21T00:00:00"/>
    <s v="Complete"/>
  </r>
  <r>
    <s v="wwassung75"/>
    <s v="dion.ne.jp"/>
    <s v="Wilt"/>
    <s v="Wassung"/>
    <s v="Male"/>
    <s v="Male"/>
    <s v="106.237.6.80"/>
    <s v="69.147.247.137"/>
    <n v="258"/>
    <n v="258"/>
    <s v="NASDAQ"/>
    <s v="PSEC"/>
    <s v="Prospect Capital Corporation"/>
    <x v="2"/>
    <s v="N/A"/>
    <s v="$2.9B"/>
    <n v="2900000000"/>
    <n v="144.69"/>
    <n v="-18.739999999999998"/>
    <n v="100626837"/>
    <d v="2023-12-16T00:00:00"/>
    <s v="Missing"/>
  </r>
  <r>
    <s v="lbirchenhead76"/>
    <s v="surveymonkey.com"/>
    <s v="Lorrie"/>
    <s v="Birchenhead"/>
    <s v="Male"/>
    <s v="Male"/>
    <s v="14.110.203.101"/>
    <s v="130.67.159.182"/>
    <n v="259"/>
    <n v="259"/>
    <s v="NYSE"/>
    <s v="GGZ^A"/>
    <s v="Gabelli Global Small and Mid Cap Value Trust (The)"/>
    <x v="2"/>
    <s v="N/A"/>
    <s v="N/A"/>
    <n v="0"/>
    <n v="991.75"/>
    <n v="3.38"/>
    <n v="171282765"/>
    <d v="2020-11-29T00:00:00"/>
    <s v="Missing"/>
  </r>
  <r>
    <s v="vteck77"/>
    <s v="about.com"/>
    <s v="Vite"/>
    <s v="Teck"/>
    <s v="Male"/>
    <s v="Male"/>
    <s v="15.215.149.226"/>
    <s v="100.185.169.178"/>
    <n v="260"/>
    <n v="260"/>
    <s v="NYSE"/>
    <s v="GCP"/>
    <s v="GCP Applied Technologies Inc."/>
    <x v="10"/>
    <s v="Major Chemicals"/>
    <s v="$2.17B"/>
    <n v="2170000000"/>
    <n v="1733.9"/>
    <n v="-17.03"/>
    <n v="156705733"/>
    <d v="2021-04-13T00:00:00"/>
    <s v="Complete"/>
  </r>
  <r>
    <s v="fkunath78"/>
    <s v="123-reg.co.uk"/>
    <s v="Fabien"/>
    <s v="Kunath"/>
    <s v="Male"/>
    <s v="Male"/>
    <s v="166.167.253.140"/>
    <s v="48.136.158.0"/>
    <n v="261"/>
    <n v="261"/>
    <s v="NASDAQ"/>
    <s v="TBK"/>
    <s v="Triumph Bancorp, Inc."/>
    <x v="3"/>
    <s v="Major Banks"/>
    <s v="$428.18M"/>
    <n v="428180000"/>
    <n v="447.38"/>
    <n v="-5.56"/>
    <n v="50746186"/>
    <d v="2022-11-09T00:00:00"/>
    <s v="Complete"/>
  </r>
  <r>
    <s v="kgladdor79"/>
    <s v="hugedomains.com"/>
    <s v="Kara"/>
    <s v="Gladdor"/>
    <s v="Female"/>
    <s v="Female"/>
    <s v="221.227.167.94"/>
    <s v="224.116.187.185"/>
    <n v="262"/>
    <n v="262"/>
    <s v="NASDAQ"/>
    <s v="TRST"/>
    <s v="TrustCo Bank Corp NY"/>
    <x v="3"/>
    <s v="Major Banks"/>
    <s v="$748.78M"/>
    <n v="748780000"/>
    <n v="1042.3499999999999"/>
    <n v="3.11"/>
    <n v="116251693"/>
    <d v="2025-04-24T00:00:00"/>
    <s v="Complete"/>
  </r>
  <r>
    <s v="agardiner7a"/>
    <s v="vimeo.com"/>
    <s v="Aloysius"/>
    <s v="Gardiner"/>
    <s v="Male"/>
    <s v="Male"/>
    <s v="26.112.223.2"/>
    <s v="201.138.23.190"/>
    <n v="263"/>
    <n v="263"/>
    <s v="NYSE"/>
    <s v="TYG"/>
    <s v="Tortoise Energy Infrastructure Corporation"/>
    <x v="2"/>
    <s v="N/A"/>
    <s v="$1.41B"/>
    <n v="1410000000"/>
    <n v="623.16"/>
    <n v="-13.18"/>
    <n v="112196206"/>
    <d v="2021-11-27T00:00:00"/>
    <s v="Missing"/>
  </r>
  <r>
    <s v="relcomb7b"/>
    <s v="example.com"/>
    <s v="Rosco"/>
    <s v="Elcomb"/>
    <s v="Male"/>
    <s v="Male"/>
    <s v="127.101.115.72"/>
    <s v="242.189.227.88"/>
    <n v="264"/>
    <n v="264"/>
    <s v="NASDAQ"/>
    <s v="RFEU"/>
    <s v="First Trust RiverFront Dynamic Europe ETF"/>
    <x v="2"/>
    <s v="N/A"/>
    <s v="$52.66M"/>
    <n v="52660000"/>
    <n v="197.47"/>
    <n v="14.18"/>
    <n v="5700009"/>
    <d v="2023-01-20T00:00:00"/>
    <s v="Missing"/>
  </r>
  <r>
    <s v="msiman7c"/>
    <s v="yahoo.co.jp"/>
    <s v="Morty"/>
    <s v="Siman"/>
    <s v="Male"/>
    <s v="Male"/>
    <s v="73.108.91.121"/>
    <s v="3.3.93.80"/>
    <n v="265"/>
    <n v="265"/>
    <s v="NASDAQ"/>
    <s v="CRAY"/>
    <s v="Cray Inc"/>
    <x v="4"/>
    <s v="Computer Manufacturing"/>
    <s v="$737.25M"/>
    <n v="737250000"/>
    <n v="1082.47"/>
    <n v="-4.95"/>
    <n v="2710651"/>
    <d v="2021-01-29T00:00:00"/>
    <s v="Complete"/>
  </r>
  <r>
    <s v="kcroster7d"/>
    <s v="yolasite.com"/>
    <s v="Kristofor"/>
    <s v="Croster"/>
    <s v="Male"/>
    <s v="Male"/>
    <s v="213.64.124.172"/>
    <s v="211.204.88.231"/>
    <n v="266"/>
    <n v="266"/>
    <s v="NYSE"/>
    <s v="DEL"/>
    <s v="Deltic Timber Corporation"/>
    <x v="10"/>
    <s v="Forest Products"/>
    <s v="$883.38M"/>
    <n v="883380000"/>
    <n v="700.51"/>
    <n v="14.55"/>
    <n v="140002175"/>
    <d v="2021-02-12T00:00:00"/>
    <s v="Complete"/>
  </r>
  <r>
    <s v="gbrundill7e"/>
    <s v="list-manage.com"/>
    <s v="Gertrudis"/>
    <s v="Brundill"/>
    <s v="Female"/>
    <s v="Female"/>
    <s v="224.160.221.156"/>
    <s v="77.72.131.211"/>
    <n v="267"/>
    <n v="267"/>
    <s v="NASDAQ"/>
    <s v="INVE"/>
    <s v="Identiv, Inc."/>
    <x v="4"/>
    <s v="Computer peripheral equipment"/>
    <s v="$59.21M"/>
    <n v="59210000"/>
    <n v="1892.56"/>
    <n v="-17.21"/>
    <n v="78185362"/>
    <d v="2023-01-16T00:00:00"/>
    <s v="Complete"/>
  </r>
  <r>
    <s v="tridges7f"/>
    <s v="cam.ac.uk"/>
    <s v="Tripp"/>
    <s v="Ridges"/>
    <s v="Male"/>
    <s v="Male"/>
    <s v="190.22.242.251"/>
    <s v="27.20.158.49"/>
    <n v="268"/>
    <n v="268"/>
    <s v="NASDAQ"/>
    <s v="FGBI"/>
    <s v="First Guaranty Bancshares, Inc."/>
    <x v="3"/>
    <s v="Savings Institutions"/>
    <s v="$203.62M"/>
    <n v="203620000"/>
    <n v="365.59"/>
    <n v="13.99"/>
    <n v="156201417"/>
    <d v="2023-02-26T00:00:00"/>
    <s v="Complete"/>
  </r>
  <r>
    <s v="rburgoin7g"/>
    <s v="friendfeed.com"/>
    <s v="Rooney"/>
    <s v="Burgoin"/>
    <s v="Male"/>
    <s v="Male"/>
    <s v="20.101.88.23"/>
    <s v="35.217.219.10"/>
    <n v="269"/>
    <n v="269"/>
    <s v="NASDAQ"/>
    <s v="SBRAP"/>
    <s v="Sabra Healthcare REIT, Inc."/>
    <x v="6"/>
    <s v="Real Estate Investment Trusts"/>
    <s v="$146.63M"/>
    <n v="146630000"/>
    <n v="792.89"/>
    <n v="-1.48"/>
    <n v="104024539"/>
    <d v="2020-09-20T00:00:00"/>
    <s v="Complete"/>
  </r>
  <r>
    <s v="ncartmail7h"/>
    <s v="latimes.com"/>
    <s v="Niels"/>
    <s v="Cartmail"/>
    <s v="Male"/>
    <s v="Male"/>
    <s v="46.70.48.193"/>
    <s v="99.215.184.136"/>
    <n v="270"/>
    <n v="270"/>
    <s v="NYSE"/>
    <s v="DSX^B"/>
    <s v="Diana Shipping inc."/>
    <x v="2"/>
    <s v="N/A"/>
    <s v="N/A"/>
    <n v="0"/>
    <n v="50.98"/>
    <n v="0.99"/>
    <n v="91378044"/>
    <d v="2020-05-13T00:00:00"/>
    <s v="Missing"/>
  </r>
  <r>
    <s v="rgardner7i"/>
    <s v="phoca.cz"/>
    <s v="Ram"/>
    <s v="Gardner"/>
    <s v="Male"/>
    <s v="Male"/>
    <s v="139.72.127.32"/>
    <s v="163.177.242.13"/>
    <n v="271"/>
    <n v="271"/>
    <s v="NASDAQ"/>
    <s v="RAND"/>
    <s v="Rand Capital Corporation"/>
    <x v="2"/>
    <s v="N/A"/>
    <s v="$17.83M"/>
    <n v="17830000"/>
    <n v="756.26"/>
    <n v="19.34"/>
    <n v="82882106"/>
    <d v="2024-08-19T00:00:00"/>
    <s v="Missing"/>
  </r>
  <r>
    <s v="gritelli7j"/>
    <s v="live.com"/>
    <s v="Gabbie"/>
    <s v="Ritelli"/>
    <s v="Male"/>
    <s v="Male"/>
    <s v="233.81.218.150"/>
    <s v="112.146.217.171"/>
    <n v="272"/>
    <n v="272"/>
    <s v="NASDAQ"/>
    <s v="OXBRW"/>
    <s v="Oxbridge Re Holdings Limited"/>
    <x v="3"/>
    <s v="Property-Casualty Insurers"/>
    <s v="N/A"/>
    <n v="0"/>
    <n v="129.44"/>
    <n v="-11.31"/>
    <n v="15449067"/>
    <d v="2023-11-16T00:00:00"/>
    <s v="Missing"/>
  </r>
  <r>
    <s v="fdeamaya7k"/>
    <s v="forbes.com"/>
    <s v="Flem"/>
    <s v="de Amaya"/>
    <s v="Male"/>
    <s v="Male"/>
    <s v="76.117.78.249"/>
    <s v="241.221.191.196"/>
    <n v="273"/>
    <n v="273"/>
    <s v="NASDAQ"/>
    <s v="AXAR"/>
    <s v="Axar Acquisition Corp."/>
    <x v="3"/>
    <s v="Business Services"/>
    <s v="$83.79M"/>
    <n v="83790000"/>
    <n v="351.48"/>
    <n v="3.09"/>
    <n v="180209957"/>
    <d v="2025-11-12T00:00:00"/>
    <s v="Complete"/>
  </r>
  <r>
    <s v="tcheetham7l"/>
    <s v="who.int"/>
    <s v="Torre"/>
    <s v="Cheetham"/>
    <s v="Male"/>
    <s v="Male"/>
    <s v="2.249.89.229"/>
    <s v="126.192.14.27"/>
    <n v="274"/>
    <n v="274"/>
    <s v="NYSE"/>
    <s v="UAL"/>
    <s v="United Continental Holdings, Inc."/>
    <x v="12"/>
    <s v="Air Freight/Delivery Services"/>
    <s v="$23.78B"/>
    <n v="23780000000"/>
    <n v="580.01"/>
    <n v="-7.82"/>
    <n v="95531932"/>
    <d v="2020-12-02T00:00:00"/>
    <s v="Complete"/>
  </r>
  <r>
    <s v="pboyn7m"/>
    <s v="loc.gov"/>
    <s v="Page"/>
    <s v="Boyn"/>
    <s v="Male"/>
    <s v="Male"/>
    <s v="182.213.116.5"/>
    <s v="232.57.81.246"/>
    <n v="275"/>
    <n v="275"/>
    <s v="NASDAQ"/>
    <s v="RRR"/>
    <s v="Red Rock Resorts, Inc."/>
    <x v="6"/>
    <s v="Hotels/Resorts"/>
    <s v="$2.78B"/>
    <n v="2780000000"/>
    <n v="701.76"/>
    <n v="14.26"/>
    <n v="167477214"/>
    <d v="2020-04-14T00:00:00"/>
    <s v="Complete"/>
  </r>
  <r>
    <s v="tcapelow7n"/>
    <s v="exblog.jp"/>
    <s v="Tobe"/>
    <s v="Capelow"/>
    <s v="Male"/>
    <s v="Male"/>
    <s v="135.181.217.91"/>
    <s v="189.75.38.137"/>
    <n v="276"/>
    <n v="276"/>
    <s v="NYSE"/>
    <s v="CNI"/>
    <s v="Canadian National Railway Company"/>
    <x v="12"/>
    <s v="Railroads"/>
    <s v="$61.92B"/>
    <n v="61920000000"/>
    <n v="1086.98"/>
    <n v="-8.39"/>
    <n v="184861044"/>
    <d v="2024-10-08T00:00:00"/>
    <s v="Complete"/>
  </r>
  <r>
    <s v="iblood7o"/>
    <s v="sourceforge.net"/>
    <s v="Isobel"/>
    <s v="Blood"/>
    <s v="Female"/>
    <s v="Female"/>
    <s v="84.58.70.50"/>
    <s v="40.11.51.142"/>
    <n v="277"/>
    <n v="277"/>
    <s v="NASDAQ"/>
    <s v="HTBI"/>
    <s v="HomeTrust Bancshares, Inc."/>
    <x v="3"/>
    <s v="Savings Institutions"/>
    <s v="$462.31M"/>
    <n v="462310000"/>
    <n v="411.33"/>
    <n v="-15.16"/>
    <n v="101790872"/>
    <d v="2023-04-17T00:00:00"/>
    <s v="Complete"/>
  </r>
  <r>
    <s v="ddevlin7p"/>
    <s v="dell.com"/>
    <s v="Datha"/>
    <s v="Devlin"/>
    <s v="Female"/>
    <s v="Female"/>
    <s v="247.218.55.127"/>
    <s v="212.67.225.110"/>
    <n v="278"/>
    <n v="278"/>
    <s v="NASDAQ"/>
    <s v="NTNX"/>
    <s v="Nutanix, Inc."/>
    <x v="4"/>
    <s v="Computer Software: Prepackaged Software"/>
    <s v="$2.68B"/>
    <n v="2680000000"/>
    <n v="639.41"/>
    <n v="12.15"/>
    <n v="150279677"/>
    <d v="2023-03-12T00:00:00"/>
    <s v="Complete"/>
  </r>
  <r>
    <s v="epauletto7q"/>
    <s v="ehow.com"/>
    <s v="Editha"/>
    <s v="Pauletto"/>
    <s v="Female"/>
    <s v="Female"/>
    <s v="55.27.204.198"/>
    <s v="52.61.64.220"/>
    <n v="279"/>
    <n v="279"/>
    <s v="NYSE"/>
    <s v="PNI"/>
    <s v="Pimco New York Municipal Income Fund II"/>
    <x v="2"/>
    <s v="N/A"/>
    <s v="$129.88M"/>
    <n v="129880000"/>
    <n v="606.04"/>
    <n v="-17.64"/>
    <n v="63313914"/>
    <d v="2022-10-12T00:00:00"/>
    <s v="Missing"/>
  </r>
  <r>
    <s v="alagen7r"/>
    <s v="cbsnews.com"/>
    <s v="Arch"/>
    <s v="Lagen"/>
    <s v="Genderfluid"/>
    <s v="Other"/>
    <s v="64.169.145.190"/>
    <s v="140.142.75.149"/>
    <n v="280"/>
    <n v="280"/>
    <s v="NASDAQ"/>
    <s v="SGH"/>
    <s v="SMART Global Holdings, Inc."/>
    <x v="4"/>
    <s v="Semiconductors"/>
    <s v="$316.82M"/>
    <n v="316820000"/>
    <n v="769.58"/>
    <n v="17.25"/>
    <n v="80581347"/>
    <d v="2025-08-09T00:00:00"/>
    <s v="Complete"/>
  </r>
  <r>
    <s v="zshoebotham7s"/>
    <s v="discuz.net"/>
    <s v="Zollie"/>
    <s v="Shoebotham"/>
    <s v="Male"/>
    <s v="Male"/>
    <s v="90.222.213.225"/>
    <s v="169.126.5.75"/>
    <n v="281"/>
    <n v="281"/>
    <s v="NASDAQ"/>
    <s v="SUNS"/>
    <s v="Solar Senior Capital Ltd."/>
    <x v="2"/>
    <s v="N/A"/>
    <s v="$268.64M"/>
    <n v="268640000"/>
    <n v="52.88"/>
    <n v="17.78"/>
    <n v="96107237"/>
    <d v="2026-08-15T00:00:00"/>
    <s v="Missing"/>
  </r>
  <r>
    <s v="dkirvin7t"/>
    <s v="hibu.com"/>
    <s v="Deck"/>
    <s v="Kirvin"/>
    <s v="Male"/>
    <s v="Male"/>
    <s v="84.220.193.86"/>
    <s v="226.81.219.123"/>
    <n v="282"/>
    <n v="282"/>
    <s v="NYSE"/>
    <s v="DRA"/>
    <s v="Diversified Real Asset Income Fund"/>
    <x v="2"/>
    <s v="N/A"/>
    <s v="$311.58M"/>
    <n v="311580000"/>
    <n v="1559.67"/>
    <n v="-1.61"/>
    <n v="29259096"/>
    <d v="2022-05-01T00:00:00"/>
    <s v="Missing"/>
  </r>
  <r>
    <s v="ffaivre7u"/>
    <s v="epa.gov"/>
    <s v="Franny"/>
    <s v="Faivre"/>
    <s v="Female"/>
    <s v="Female"/>
    <s v="142.183.155.224"/>
    <s v="11.220.76.230"/>
    <n v="283"/>
    <n v="283"/>
    <s v="NYSE"/>
    <s v="BYD"/>
    <s v="Boyd Gaming Corporation"/>
    <x v="6"/>
    <s v="Hotels/Resorts"/>
    <s v="$2.85B"/>
    <n v="2850000000"/>
    <n v="1059.52"/>
    <n v="-0.01"/>
    <n v="15770529"/>
    <d v="2024-10-14T00:00:00"/>
    <s v="Complete"/>
  </r>
  <r>
    <s v="areekie7v"/>
    <s v="prlog.org"/>
    <s v="Amandie"/>
    <s v="Reekie"/>
    <s v="Female"/>
    <s v="Female"/>
    <s v="207.153.197.9"/>
    <s v="89.8.208.67"/>
    <n v="284"/>
    <n v="284"/>
    <s v="NASDAQ"/>
    <s v="SBRAP"/>
    <s v="Sabra Healthcare REIT, Inc."/>
    <x v="6"/>
    <s v="Real Estate Investment Trusts"/>
    <s v="$146.63M"/>
    <n v="146630000"/>
    <n v="1059.1600000000001"/>
    <n v="5.31"/>
    <n v="67847839"/>
    <d v="2022-04-05T00:00:00"/>
    <s v="Complete"/>
  </r>
  <r>
    <s v="hbrave7w"/>
    <s v="opera.com"/>
    <s v="Halsy"/>
    <s v="Brave"/>
    <s v="Male"/>
    <s v="Male"/>
    <s v="199.246.41.196"/>
    <s v="148.240.91.113"/>
    <n v="285"/>
    <n v="285"/>
    <s v="NYSE"/>
    <s v="QTS"/>
    <s v="QTS Realty Trust, Inc."/>
    <x v="6"/>
    <s v="Real Estate Investment Trusts"/>
    <s v="$2.5B"/>
    <n v="2500000000"/>
    <n v="1104.29"/>
    <n v="-19.18"/>
    <n v="125007445"/>
    <d v="2026-07-22T00:00:00"/>
    <s v="Complete"/>
  </r>
  <r>
    <s v="fbloomer7x"/>
    <s v="newyorker.com"/>
    <s v="Franciska"/>
    <s v="Bloomer"/>
    <s v="Female"/>
    <s v="Female"/>
    <s v="62.115.238.225"/>
    <s v="111.145.251.204"/>
    <n v="286"/>
    <n v="286"/>
    <s v="NASDAQ"/>
    <s v="STFC"/>
    <s v="State Auto Financial Corporation"/>
    <x v="3"/>
    <s v="Property-Casualty Insurers"/>
    <s v="$1.09B"/>
    <n v="1090000000"/>
    <n v="902.52"/>
    <n v="8.18"/>
    <n v="141283955"/>
    <d v="2020-06-01T00:00:00"/>
    <s v="Complete"/>
  </r>
  <r>
    <s v="sdanforth7y"/>
    <s v="yahoo.co.jp"/>
    <s v="Stacee"/>
    <s v="Danforth"/>
    <s v="Male"/>
    <s v="Male"/>
    <s v="32.140.63.97"/>
    <s v="148.12.154.109"/>
    <n v="287"/>
    <n v="287"/>
    <s v="NASDAQ"/>
    <s v="JASO"/>
    <s v="JA Solar Holdings, Co., Ltd."/>
    <x v="4"/>
    <s v="Semiconductors"/>
    <s v="$301.6M"/>
    <n v="301600000"/>
    <n v="584.03"/>
    <n v="-1.6"/>
    <n v="102542990"/>
    <d v="2025-01-30T00:00:00"/>
    <s v="Complete"/>
  </r>
  <r>
    <s v="lradbourne7z"/>
    <s v="google.nl"/>
    <s v="Laetitia"/>
    <s v="Radbourne"/>
    <s v="Female"/>
    <s v="Female"/>
    <s v="182.198.121.119"/>
    <s v="177.217.80.177"/>
    <n v="288"/>
    <n v="288"/>
    <s v="NYSE"/>
    <s v="RFI"/>
    <s v="Cohen &amp; Steers Total Return Realty Fund, Inc."/>
    <x v="2"/>
    <s v="N/A"/>
    <s v="$337.67M"/>
    <n v="337670000"/>
    <n v="162.24"/>
    <n v="0.4"/>
    <n v="153990436"/>
    <d v="2026-07-04T00:00:00"/>
    <s v="Missing"/>
  </r>
  <r>
    <s v="kcallaghan80"/>
    <s v="sciencedaily.com"/>
    <s v="Kennie"/>
    <s v="Callaghan"/>
    <s v="Male"/>
    <s v="Male"/>
    <s v="244.161.156.187"/>
    <s v="221.144.101.255"/>
    <n v="289"/>
    <n v="289"/>
    <s v="NYSE"/>
    <s v="TCCB"/>
    <s v="Triangle Capital Corporation"/>
    <x v="2"/>
    <s v="N/A"/>
    <s v="N/A"/>
    <n v="0"/>
    <n v="998.8"/>
    <n v="10"/>
    <n v="69199402"/>
    <d v="2021-03-23T00:00:00"/>
    <s v="Missing"/>
  </r>
  <r>
    <s v="nporcher81"/>
    <s v="homestead.com"/>
    <s v="Nobe"/>
    <s v="Porcher"/>
    <s v="Male"/>
    <s v="Male"/>
    <s v="46.165.88.114"/>
    <s v="228.66.231.191"/>
    <n v="290"/>
    <n v="290"/>
    <s v="NYSE"/>
    <s v="RAS^B"/>
    <s v="RAIT Financial Trust"/>
    <x v="2"/>
    <s v="N/A"/>
    <s v="N/A"/>
    <n v="0"/>
    <n v="1713.35"/>
    <n v="-10.23"/>
    <n v="9785662"/>
    <d v="2022-10-14T00:00:00"/>
    <s v="Missing"/>
  </r>
  <r>
    <s v="mbaldwin82"/>
    <s v="mashable.com"/>
    <s v="Melicent"/>
    <s v="Baldwin"/>
    <s v="Female"/>
    <s v="Female"/>
    <s v="99.169.252.139"/>
    <s v="121.154.249.127"/>
    <n v="291"/>
    <n v="291"/>
    <s v="NASDAQ"/>
    <s v="TEAM"/>
    <s v="Atlassian Corporation Plc"/>
    <x v="4"/>
    <s v="Computer Software: Prepackaged Software"/>
    <s v="$7.84B"/>
    <n v="7840000000"/>
    <n v="1467.44"/>
    <n v="-19.96"/>
    <n v="109056575"/>
    <d v="2022-03-17T00:00:00"/>
    <s v="Complete"/>
  </r>
  <r>
    <s v="darsnell83"/>
    <s v="comsenz.com"/>
    <s v="Desmond"/>
    <s v="Arsnell"/>
    <s v="Male"/>
    <s v="Male"/>
    <s v="201.205.176.47"/>
    <s v="10.71.200.98"/>
    <n v="292"/>
    <n v="292"/>
    <s v="NASDAQ"/>
    <s v="WIRE"/>
    <s v="Encore Wire Corporation"/>
    <x v="1"/>
    <s v="Metal Fabrications"/>
    <s v="$896.34M"/>
    <n v="896340000"/>
    <n v="957.79"/>
    <n v="19.21"/>
    <n v="187638003"/>
    <d v="2025-10-22T00:00:00"/>
    <s v="Complete"/>
  </r>
  <r>
    <s v="lcaseley84"/>
    <s v="google.com.br"/>
    <s v="Leroi"/>
    <s v="Caseley"/>
    <s v="Male"/>
    <s v="Male"/>
    <s v="35.88.131.87"/>
    <s v="32.44.117.176"/>
    <n v="293"/>
    <n v="293"/>
    <s v="NYSE"/>
    <s v="AFW.CL"/>
    <s v="American Financial Group, Inc."/>
    <x v="2"/>
    <s v="N/A"/>
    <s v="N/A"/>
    <n v="0"/>
    <n v="1875.57"/>
    <n v="18.989999999999998"/>
    <n v="48929380"/>
    <d v="2025-09-18T00:00:00"/>
    <s v="Missing"/>
  </r>
  <r>
    <s v="atitta85"/>
    <s v="hostgator.com"/>
    <s v="Aldrich"/>
    <s v="Titta"/>
    <s v="Male"/>
    <s v="Male"/>
    <s v="189.206.207.111"/>
    <s v="32.180.250.95"/>
    <n v="294"/>
    <n v="294"/>
    <s v="NASDAQ"/>
    <s v="IRBT"/>
    <s v="iRobot Corporation"/>
    <x v="11"/>
    <s v="Consumer Electronics/Appliances"/>
    <s v="$2.64B"/>
    <n v="2640000000"/>
    <n v="455.38"/>
    <n v="6.71"/>
    <n v="144684098"/>
    <d v="2021-01-14T00:00:00"/>
    <s v="Complete"/>
  </r>
  <r>
    <s v="ejulian86"/>
    <s v="arizona.edu"/>
    <s v="Eva"/>
    <s v="Julian"/>
    <s v="Female"/>
    <s v="Female"/>
    <s v="194.229.142.78"/>
    <s v="208.10.189.138"/>
    <n v="295"/>
    <n v="295"/>
    <s v="NASDAQ"/>
    <s v="SRTS"/>
    <s v="Sensus Healthcare, Inc."/>
    <x v="0"/>
    <s v="Medical/Dental Instruments"/>
    <s v="$52.75M"/>
    <n v="52750000"/>
    <n v="626.28"/>
    <n v="2.73"/>
    <n v="33935815"/>
    <d v="2021-08-20T00:00:00"/>
    <s v="Complete"/>
  </r>
  <r>
    <s v="rgilffillan87"/>
    <s v="last.fm"/>
    <s v="Reed"/>
    <s v="Gilffillan"/>
    <s v="Male"/>
    <s v="Male"/>
    <s v="197.14.12.9"/>
    <s v="123.70.5.62"/>
    <n v="296"/>
    <n v="296"/>
    <s v="NYSE"/>
    <s v="MGF"/>
    <s v="MFS Government Markets Income Trust"/>
    <x v="2"/>
    <s v="N/A"/>
    <s v="$162.35M"/>
    <n v="162350000"/>
    <n v="1308.04"/>
    <n v="5.0199999999999996"/>
    <n v="187690684"/>
    <d v="2021-06-28T00:00:00"/>
    <s v="Missing"/>
  </r>
  <r>
    <s v="sragsdale88"/>
    <s v="dmoz.org"/>
    <s v="Salli"/>
    <s v="Ragsdale"/>
    <s v="Female"/>
    <s v="Female"/>
    <s v="145.122.104.48"/>
    <s v="182.12.185.217"/>
    <n v="297"/>
    <n v="297"/>
    <s v="NASDAQ"/>
    <s v="GEC"/>
    <s v="Great Elm Capital Group, Inc. "/>
    <x v="4"/>
    <s v="Computer Software: Prepackaged Software"/>
    <s v="$80.04M"/>
    <n v="80040000"/>
    <n v="43.52"/>
    <n v="-19.47"/>
    <n v="137031219"/>
    <d v="2024-07-13T00:00:00"/>
    <s v="Complete"/>
  </r>
  <r>
    <s v="aerrichelli89"/>
    <s v="theatlantic.com"/>
    <s v="Adore"/>
    <s v="Errichelli"/>
    <s v="Female"/>
    <s v="Female"/>
    <s v="33.202.88.96"/>
    <s v="195.235.30.225"/>
    <n v="298"/>
    <n v="298"/>
    <s v="NYSE"/>
    <s v="BIO.B"/>
    <s v="Bio-Rad Laboratories, Inc."/>
    <x v="2"/>
    <s v="N/A"/>
    <s v="N/A"/>
    <n v="0"/>
    <n v="778.94"/>
    <n v="-2.97"/>
    <n v="39253055"/>
    <d v="2020-12-24T00:00:00"/>
    <s v="Missing"/>
  </r>
  <r>
    <s v="mcurle8a"/>
    <s v="sohu.com"/>
    <s v="Mahmoud"/>
    <s v="Curle"/>
    <s v="Male"/>
    <s v="Male"/>
    <s v="52.60.34.6"/>
    <s v="7.45.173.108"/>
    <n v="299"/>
    <n v="299"/>
    <s v="NYSE"/>
    <s v="NAV"/>
    <s v="Navistar International Corporation"/>
    <x v="1"/>
    <s v="Auto Manufacturing"/>
    <s v="$2.61B"/>
    <n v="2610000000"/>
    <n v="1502.15"/>
    <n v="8.65"/>
    <n v="183243233"/>
    <d v="2025-10-12T00:00:00"/>
    <s v="Complete"/>
  </r>
  <r>
    <s v="aweedall8b"/>
    <s v="comsenz.com"/>
    <s v="Adena"/>
    <s v="Weedall"/>
    <s v="Female"/>
    <s v="Female"/>
    <s v="114.28.193.15"/>
    <s v="59.216.226.224"/>
    <n v="300"/>
    <n v="300"/>
    <s v="NYSE"/>
    <s v="WTS"/>
    <s v="Watts Water Technologies, Inc."/>
    <x v="1"/>
    <s v="Metal Fabrications"/>
    <s v="$2.15B"/>
    <n v="2150000000"/>
    <n v="242.19"/>
    <n v="12.81"/>
    <n v="155927056"/>
    <d v="2021-09-02T00:00:00"/>
    <s v="Complete"/>
  </r>
  <r>
    <s v="ldavet8c"/>
    <s v="e-recht24.de"/>
    <s v="Leodora"/>
    <s v="Davet"/>
    <s v="Female"/>
    <s v="Female"/>
    <s v="210.147.160.53"/>
    <s v="145.110.197.206"/>
    <n v="301"/>
    <n v="301"/>
    <s v="NYSE"/>
    <s v="KODK.WS"/>
    <s v="Eastman Kodak Company"/>
    <x v="2"/>
    <s v="N/A"/>
    <s v="N/A"/>
    <n v="0"/>
    <n v="1175.18"/>
    <n v="-11.49"/>
    <n v="116531278"/>
    <d v="2024-12-13T00:00:00"/>
    <s v="Missing"/>
  </r>
  <r>
    <s v="rmacane8d"/>
    <s v="craigslist.org"/>
    <s v="Ruprecht"/>
    <s v="MacAne"/>
    <s v="Male"/>
    <s v="Male"/>
    <s v="19.153.57.137"/>
    <s v="189.72.42.35"/>
    <n v="302"/>
    <n v="302"/>
    <s v="NYSE"/>
    <s v="HJV"/>
    <s v="MS Structured Asset Corp Saturns GE Cap Corp Series 2002-14"/>
    <x v="3"/>
    <s v="Finance: Consumer Services"/>
    <s v="N/A"/>
    <n v="0"/>
    <n v="836.11"/>
    <n v="11.92"/>
    <n v="157573822"/>
    <d v="2021-11-21T00:00:00"/>
    <s v="Missing"/>
  </r>
  <r>
    <s v="abramer8e"/>
    <s v="blogs.com"/>
    <s v="Ailee"/>
    <s v="Bramer"/>
    <s v="Female"/>
    <s v="Female"/>
    <s v="207.147.8.211"/>
    <s v="98.122.101.201"/>
    <n v="303"/>
    <n v="303"/>
    <s v="NYSE"/>
    <s v="WGO"/>
    <s v="Winnebago Industries, Inc."/>
    <x v="5"/>
    <s v="Homebuilding"/>
    <s v="$914.42M"/>
    <n v="914420000"/>
    <n v="1324.7"/>
    <n v="-6.69"/>
    <n v="10271607"/>
    <d v="2024-05-25T00:00:00"/>
    <s v="Complete"/>
  </r>
  <r>
    <s v="nziebart8f"/>
    <s v="salon.com"/>
    <s v="Noland"/>
    <s v="Ziebart"/>
    <s v="Male"/>
    <s v="Male"/>
    <s v="231.141.180.91"/>
    <s v="61.100.133.59"/>
    <n v="304"/>
    <n v="304"/>
    <s v="NASDAQ"/>
    <s v="SSB"/>
    <s v="South State Corporation"/>
    <x v="3"/>
    <s v="Major Banks"/>
    <s v="$2.55B"/>
    <n v="2550000000"/>
    <n v="1793.99"/>
    <n v="16"/>
    <n v="156317958"/>
    <d v="2023-04-29T00:00:00"/>
    <s v="Complete"/>
  </r>
  <r>
    <s v="ccoopper8g"/>
    <s v="intel.com"/>
    <s v="Corey"/>
    <s v="Coopper"/>
    <s v="Male"/>
    <s v="Male"/>
    <s v="42.238.27.28"/>
    <s v="153.150.106.140"/>
    <n v="305"/>
    <n v="305"/>
    <s v="NYSE"/>
    <s v="EOD"/>
    <s v="Wells Fargo Global Dividend Opportunity Fund"/>
    <x v="2"/>
    <s v="N/A"/>
    <s v="$285.58M"/>
    <n v="285580000"/>
    <n v="1455.1"/>
    <n v="16.8"/>
    <n v="133703697"/>
    <d v="2021-06-01T00:00:00"/>
    <s v="Missing"/>
  </r>
  <r>
    <s v="bpaprotny8h"/>
    <s v="uiuc.edu"/>
    <s v="Babbette"/>
    <s v="Paprotny"/>
    <s v="Female"/>
    <s v="Female"/>
    <s v="18.2.225.16"/>
    <s v="87.235.225.99"/>
    <n v="306"/>
    <n v="306"/>
    <s v="NASDAQ"/>
    <s v="WVVIP"/>
    <s v="Willamette Valley Vineyards, Inc."/>
    <x v="5"/>
    <s v="Beverages (Production/Distribution)"/>
    <s v="N/A"/>
    <n v="0"/>
    <n v="969.53"/>
    <n v="-8.6199999999999992"/>
    <n v="154837284"/>
    <d v="2026-01-20T00:00:00"/>
    <s v="Missing"/>
  </r>
  <r>
    <s v="cwoolfitt8i"/>
    <s v="utexas.edu"/>
    <s v="Cassy"/>
    <s v="Woolfitt"/>
    <s v="Female"/>
    <s v="Female"/>
    <s v="209.164.172.191"/>
    <s v="59.209.230.182"/>
    <n v="307"/>
    <n v="307"/>
    <s v="NASDAQ"/>
    <s v="POPE"/>
    <s v="Pope Resources"/>
    <x v="5"/>
    <s v="Environmental Services"/>
    <s v="$320.19M"/>
    <n v="320190000"/>
    <n v="1315.06"/>
    <n v="-18.010000000000002"/>
    <n v="148004942"/>
    <d v="2025-04-30T00:00:00"/>
    <s v="Complete"/>
  </r>
  <r>
    <s v="adummigan8j"/>
    <s v="princeton.edu"/>
    <s v="Alejandro"/>
    <s v="Dummigan"/>
    <s v="Male"/>
    <s v="Male"/>
    <s v="214.4.105.122"/>
    <s v="128.54.117.150"/>
    <n v="308"/>
    <n v="308"/>
    <s v="NASDAQ"/>
    <s v="MRVL"/>
    <s v="Marvell Technology Group Ltd."/>
    <x v="4"/>
    <s v="Semiconductors"/>
    <s v="$8.71B"/>
    <n v="8710000000"/>
    <n v="1259.07"/>
    <n v="17.420000000000002"/>
    <n v="16179325"/>
    <d v="2025-08-12T00:00:00"/>
    <s v="Complete"/>
  </r>
  <r>
    <s v="wwaycot8k"/>
    <s v="mail.ru"/>
    <s v="Webster"/>
    <s v="Waycot"/>
    <s v="Male"/>
    <s v="Male"/>
    <s v="249.8.180.131"/>
    <s v="12.144.214.188"/>
    <n v="309"/>
    <n v="309"/>
    <s v="NASDAQ"/>
    <s v="XGTIW"/>
    <s v="XG Technology, Inc"/>
    <x v="11"/>
    <s v="Telecommunications Equipment"/>
    <s v="N/A"/>
    <n v="0"/>
    <n v="163.04"/>
    <n v="12.47"/>
    <n v="11917724"/>
    <d v="2021-08-26T00:00:00"/>
    <s v="Missing"/>
  </r>
  <r>
    <s v="fmartinie8l"/>
    <s v="a8.net"/>
    <s v="Ferdy"/>
    <s v="Martinie"/>
    <s v="Male"/>
    <s v="Male"/>
    <s v="148.80.103.98"/>
    <s v="200.75.27.131"/>
    <n v="310"/>
    <n v="310"/>
    <s v="NASDAQ"/>
    <s v="AKTX"/>
    <s v="Akari Therapeutics Plc"/>
    <x v="0"/>
    <s v="Major Pharmaceuticals"/>
    <s v="$56.29M"/>
    <n v="56290000"/>
    <n v="1829.84"/>
    <n v="16.079999999999998"/>
    <n v="39665531"/>
    <d v="2023-11-24T00:00:00"/>
    <s v="Complete"/>
  </r>
  <r>
    <s v="tvideneev8m"/>
    <s v="shareasale.com"/>
    <s v="Torrey"/>
    <s v="Videneev"/>
    <s v="Male"/>
    <s v="Male"/>
    <s v="181.165.211.91"/>
    <s v="226.141.242.128"/>
    <n v="311"/>
    <n v="311"/>
    <s v="NASDAQ"/>
    <s v="TECH"/>
    <s v="Bio-Techne Corp"/>
    <x v="0"/>
    <s v="Biotechnology: Biological Products (No Diagnostic Substances)"/>
    <s v="$4.17B"/>
    <n v="4170000000"/>
    <n v="4.79"/>
    <n v="8.24"/>
    <n v="129516827"/>
    <d v="2026-10-09T00:00:00"/>
    <s v="Complete"/>
  </r>
  <r>
    <s v="ccashin8n"/>
    <s v="berkeley.edu"/>
    <s v="Cullen"/>
    <s v="Cashin"/>
    <s v="Male"/>
    <s v="Male"/>
    <s v="170.11.167.28"/>
    <s v="136.6.80.53"/>
    <n v="312"/>
    <n v="312"/>
    <s v="NYSE"/>
    <s v="WGL"/>
    <s v="WGL Holdings Inc"/>
    <x v="8"/>
    <s v="Oil/Gas Transmission"/>
    <s v="$4.32B"/>
    <n v="4320000000"/>
    <n v="1632.03"/>
    <n v="-19.86"/>
    <n v="194272572"/>
    <d v="2020-05-21T00:00:00"/>
    <s v="Complete"/>
  </r>
  <r>
    <s v="pgolt8o"/>
    <s v="163.com"/>
    <s v="Pearl"/>
    <s v="Golt"/>
    <s v="Female"/>
    <s v="Female"/>
    <s v="0.77.94.83"/>
    <s v="220.123.28.33"/>
    <n v="313"/>
    <n v="313"/>
    <s v="NASDAQ"/>
    <s v="LCAHW"/>
    <s v="Landcadia Holdings, Inc."/>
    <x v="3"/>
    <s v="Business Services"/>
    <s v="N/A"/>
    <n v="0"/>
    <n v="1108.6099999999999"/>
    <n v="9.08"/>
    <n v="12124246"/>
    <d v="2026-03-11T00:00:00"/>
    <s v="Missing"/>
  </r>
  <r>
    <s v="mbernardinelli8p"/>
    <s v="slideshare.net"/>
    <s v="Martynne"/>
    <s v="Bernardinelli"/>
    <s v="Agender"/>
    <s v="Other"/>
    <s v="122.46.185.158"/>
    <s v="80.5.228.66"/>
    <n v="314"/>
    <n v="314"/>
    <s v="NYSE"/>
    <s v="EOCC"/>
    <s v="Enel Generacion Chile S.A."/>
    <x v="8"/>
    <s v="Electric Utilities: Central"/>
    <s v="$6.28B"/>
    <n v="6280000000"/>
    <n v="1173.24"/>
    <n v="18.87"/>
    <n v="94993907"/>
    <d v="2021-08-20T00:00:00"/>
    <s v="Complete"/>
  </r>
  <r>
    <s v="kcaldero8q"/>
    <s v="instagram.com"/>
    <s v="Kara-lynn"/>
    <s v="Caldero"/>
    <s v="Female"/>
    <s v="Female"/>
    <s v="49.104.206.206"/>
    <s v="36.208.77.136"/>
    <n v="315"/>
    <n v="315"/>
    <s v="NASDAQ"/>
    <s v="VIIX"/>
    <s v="VelocityShares VIX Short-Term ETN"/>
    <x v="3"/>
    <s v="Investment Bankers/Brokers/Service"/>
    <s v="$12.81M"/>
    <n v="12810000"/>
    <n v="746.69"/>
    <n v="10.81"/>
    <n v="139513839"/>
    <d v="2024-10-09T00:00:00"/>
    <s v="Complete"/>
  </r>
  <r>
    <s v="emacpake8r"/>
    <s v="drupal.org"/>
    <s v="Elton"/>
    <s v="MacPake"/>
    <s v="Male"/>
    <s v="Male"/>
    <s v="103.226.51.204"/>
    <s v="76.17.74.245"/>
    <n v="316"/>
    <n v="316"/>
    <s v="NYSE"/>
    <s v="QCP"/>
    <s v="Quality Care Properties, Inc."/>
    <x v="6"/>
    <s v="Real Estate Investment Trusts"/>
    <s v="$1.65B"/>
    <n v="1650000000"/>
    <n v="59.78"/>
    <n v="2.65"/>
    <n v="119188670"/>
    <d v="2020-03-30T00:00:00"/>
    <s v="Complete"/>
  </r>
  <r>
    <s v="randriuzzi8s"/>
    <s v="friendfeed.com"/>
    <s v="Roma"/>
    <s v="Andriuzzi"/>
    <s v="Male"/>
    <s v="Male"/>
    <s v="232.207.15.169"/>
    <s v="255.45.249.207"/>
    <n v="317"/>
    <n v="317"/>
    <s v="NASDAQ"/>
    <s v="SSRI"/>
    <s v="Silver Standard Resources Inc."/>
    <x v="10"/>
    <s v="Precious Metals"/>
    <s v="$1.1B"/>
    <n v="1100000000"/>
    <n v="1564.82"/>
    <n v="-9.14"/>
    <n v="163972100"/>
    <d v="2025-03-01T00:00:00"/>
    <s v="Complete"/>
  </r>
  <r>
    <s v="lbuckbee8t"/>
    <s v="nature.com"/>
    <s v="Ludovico"/>
    <s v="Buckbee"/>
    <s v="Male"/>
    <s v="Male"/>
    <s v="227.208.250.22"/>
    <s v="210.159.138.92"/>
    <n v="318"/>
    <n v="318"/>
    <s v="NYSE"/>
    <s v="BSL"/>
    <s v="Blackstone GSO Senior Floating Rate Term Fund"/>
    <x v="2"/>
    <s v="N/A"/>
    <s v="$271.31M"/>
    <n v="271310000"/>
    <n v="680.86"/>
    <n v="13.77"/>
    <n v="119444592"/>
    <d v="2020-10-21T00:00:00"/>
    <s v="Missing"/>
  </r>
  <r>
    <s v="ibraywood8u"/>
    <s v="zimbio.com"/>
    <s v="Ibrahim"/>
    <s v="Braywood"/>
    <s v="Male"/>
    <s v="Male"/>
    <s v="94.113.169.249"/>
    <s v="8.124.43.153"/>
    <n v="319"/>
    <n v="319"/>
    <s v="NYSE"/>
    <s v="TUP"/>
    <s v="Tupperware Brands Corporation"/>
    <x v="5"/>
    <s v="Plastic Products"/>
    <s v="$3.6B"/>
    <n v="3600000000"/>
    <n v="1990.33"/>
    <n v="-11.7"/>
    <n v="89835457"/>
    <d v="2024-07-26T00:00:00"/>
    <s v="Complete"/>
  </r>
  <r>
    <s v="rpendock8v"/>
    <s v="cbsnews.com"/>
    <s v="Reilly"/>
    <s v="Pendock"/>
    <s v="Male"/>
    <s v="Male"/>
    <s v="28.241.31.226"/>
    <s v="105.150.93.77"/>
    <n v="320"/>
    <n v="320"/>
    <s v="NYSE"/>
    <s v="CTDD"/>
    <s v="Qwest Corporation"/>
    <x v="8"/>
    <s v="Telecommunications Equipment"/>
    <s v="N/A"/>
    <n v="0"/>
    <n v="1152.96"/>
    <n v="5.3"/>
    <n v="183700921"/>
    <d v="2024-07-20T00:00:00"/>
    <s v="Missing"/>
  </r>
  <r>
    <s v="csneaker8w"/>
    <s v="howstuffworks.com"/>
    <s v="Cary"/>
    <s v="Sneaker"/>
    <s v="Female"/>
    <s v="Female"/>
    <s v="247.221.108.7"/>
    <s v="73.19.15.95"/>
    <n v="321"/>
    <n v="321"/>
    <s v="NASDAQ"/>
    <s v="IXYS"/>
    <s v="IXYS Corporation"/>
    <x v="4"/>
    <s v="Semiconductors"/>
    <s v="$513.83M"/>
    <n v="513830000.00000006"/>
    <n v="1667.56"/>
    <n v="-18.100000000000001"/>
    <n v="17284662"/>
    <d v="2021-02-21T00:00:00"/>
    <s v="Complete"/>
  </r>
  <r>
    <s v="umaccart8x"/>
    <s v="lulu.com"/>
    <s v="Upton"/>
    <s v="MacCart"/>
    <s v="Male"/>
    <s v="Male"/>
    <s v="82.233.253.129"/>
    <s v="164.181.47.168"/>
    <n v="322"/>
    <n v="322"/>
    <s v="NYSE"/>
    <s v="CPK"/>
    <s v="Chesapeake Utilities Corporation"/>
    <x v="8"/>
    <s v="Oil &amp; Gas Production"/>
    <s v="$1.23B"/>
    <n v="1230000000"/>
    <n v="693.37"/>
    <n v="-10.64"/>
    <n v="69441453"/>
    <d v="2022-05-10T00:00:00"/>
    <s v="Complete"/>
  </r>
  <r>
    <s v="nmasserel8y"/>
    <s v="bravesites.com"/>
    <s v="Nevins"/>
    <s v="Masserel"/>
    <s v="Male"/>
    <s v="Male"/>
    <s v="51.217.33.121"/>
    <s v="219.50.63.230"/>
    <n v="323"/>
    <n v="323"/>
    <s v="NASDAQ"/>
    <s v="CCCR"/>
    <s v="China Commercial Credit, Inc."/>
    <x v="3"/>
    <s v="Major Banks"/>
    <s v="$53.7M"/>
    <n v="53700000"/>
    <n v="217.03"/>
    <n v="-8.9600000000000009"/>
    <n v="173718796"/>
    <d v="2021-05-10T00:00:00"/>
    <s v="Complete"/>
  </r>
  <r>
    <s v="jmargaritelli8z"/>
    <s v="illinois.edu"/>
    <s v="Jessamine"/>
    <s v="Margaritelli"/>
    <s v="Female"/>
    <s v="Female"/>
    <s v="193.255.235.230"/>
    <s v="166.226.78.222"/>
    <n v="324"/>
    <n v="324"/>
    <s v="NYSE"/>
    <s v="CUDA"/>
    <s v="Barracuda Networks, Inc."/>
    <x v="4"/>
    <s v="Computer peripheral equipment"/>
    <s v="$1.17B"/>
    <n v="1170000000"/>
    <n v="1525.26"/>
    <n v="-8.7100000000000009"/>
    <n v="32564146"/>
    <d v="2024-12-22T00:00:00"/>
    <s v="Complete"/>
  </r>
  <r>
    <s v="lcarnegy90"/>
    <s v="yellowbook.com"/>
    <s v="Luce"/>
    <s v="Carnegy"/>
    <s v="Male"/>
    <s v="Male"/>
    <s v="131.255.116.206"/>
    <s v="143.107.242.123"/>
    <n v="325"/>
    <n v="325"/>
    <s v="NYSE"/>
    <s v="SSW^E"/>
    <s v="Seaspan Corporation"/>
    <x v="2"/>
    <s v="N/A"/>
    <s v="N/A"/>
    <n v="0"/>
    <n v="897.96"/>
    <n v="9.84"/>
    <n v="20986618"/>
    <d v="2024-11-17T00:00:00"/>
    <s v="Missing"/>
  </r>
  <r>
    <s v="ctidbold91"/>
    <s v="twitpic.com"/>
    <s v="Carlynn"/>
    <s v="Tidbold"/>
    <s v="Female"/>
    <s v="Female"/>
    <s v="191.35.168.102"/>
    <s v="21.88.175.180"/>
    <n v="326"/>
    <n v="326"/>
    <s v="NASDAQ"/>
    <s v="SANM"/>
    <s v="Sanmina Corporation"/>
    <x v="4"/>
    <s v="Electrical Products"/>
    <s v="$2.83B"/>
    <n v="2830000000"/>
    <n v="1496.26"/>
    <n v="-7.21"/>
    <n v="94274035"/>
    <d v="2020-09-03T00:00:00"/>
    <s v="Complete"/>
  </r>
  <r>
    <s v="jtough92"/>
    <s v="netvibes.com"/>
    <s v="Jeremias"/>
    <s v="Tough"/>
    <s v="Male"/>
    <s v="Male"/>
    <s v="12.34.187.226"/>
    <s v="215.92.192.75"/>
    <n v="327"/>
    <n v="327"/>
    <s v="NASDAQ"/>
    <s v="CALA"/>
    <s v="Calithera Biosciences, Inc."/>
    <x v="0"/>
    <s v="Major Pharmaceuticals"/>
    <s v="$508.24M"/>
    <n v="508240000"/>
    <n v="482.29"/>
    <n v="-8"/>
    <n v="106878539"/>
    <d v="2025-11-27T00:00:00"/>
    <s v="Complete"/>
  </r>
  <r>
    <s v="ljackman93"/>
    <s v="rediff.com"/>
    <s v="Lissi"/>
    <s v="Jackman"/>
    <s v="Female"/>
    <s v="Female"/>
    <s v="219.104.140.247"/>
    <s v="203.38.91.38"/>
    <n v="328"/>
    <n v="328"/>
    <s v="NYSE"/>
    <s v="WMLP"/>
    <s v="Westmoreland Resource Partners, LP"/>
    <x v="9"/>
    <s v="Coal Mining"/>
    <s v="$4.11M"/>
    <n v="4110000.0000000005"/>
    <n v="494.65"/>
    <n v="17.68"/>
    <n v="93174297"/>
    <d v="2021-03-25T00:00:00"/>
    <s v="Complete"/>
  </r>
  <r>
    <s v="mdoyland94"/>
    <s v="last.fm"/>
    <s v="Margot"/>
    <s v="Doyland"/>
    <s v="Polygender"/>
    <s v="Other"/>
    <s v="143.72.194.199"/>
    <s v="15.243.244.230"/>
    <n v="329"/>
    <n v="329"/>
    <s v="NYSE"/>
    <s v="JE^A"/>
    <s v="Just Energy Group, Inc."/>
    <x v="2"/>
    <s v="N/A"/>
    <s v="N/A"/>
    <n v="0"/>
    <n v="1441.44"/>
    <n v="-11.85"/>
    <n v="100737683"/>
    <d v="2026-06-07T00:00:00"/>
    <s v="Missing"/>
  </r>
  <r>
    <s v="sstork95"/>
    <s v="usgs.gov"/>
    <s v="Shannan"/>
    <s v="Stork"/>
    <s v="Male"/>
    <s v="Male"/>
    <s v="228.225.195.218"/>
    <s v="33.24.21.245"/>
    <n v="330"/>
    <n v="330"/>
    <s v="NYSE"/>
    <s v="NLY"/>
    <s v="Annaly Capital Management Inc"/>
    <x v="6"/>
    <s v="Real Estate Investment Trusts"/>
    <s v="$12.59B"/>
    <n v="12590000000"/>
    <n v="1771.1"/>
    <n v="-6.81"/>
    <n v="131504020"/>
    <d v="2024-07-07T00:00:00"/>
    <s v="Complete"/>
  </r>
  <r>
    <s v="mmelbourne96"/>
    <s v="google.co.jp"/>
    <s v="Mychal"/>
    <s v="Melbourne"/>
    <s v="Male"/>
    <s v="Male"/>
    <s v="243.54.19.161"/>
    <s v="227.245.85.202"/>
    <n v="331"/>
    <n v="331"/>
    <s v="NASDAQ"/>
    <s v="AXDX"/>
    <s v="Accelerate Diagnostics, Inc."/>
    <x v="1"/>
    <s v="Biotechnology: Laboratory Analytical Instruments"/>
    <s v="$1.53B"/>
    <n v="1530000000"/>
    <n v="1282.06"/>
    <n v="1.59"/>
    <n v="40809876"/>
    <d v="2020-11-24T00:00:00"/>
    <s v="Complete"/>
  </r>
  <r>
    <s v="lslayford97"/>
    <s v="bizjournals.com"/>
    <s v="Lukas"/>
    <s v="Slayford"/>
    <s v="Male"/>
    <s v="Male"/>
    <s v="83.248.229.82"/>
    <s v="210.28.68.241"/>
    <n v="332"/>
    <n v="332"/>
    <s v="NASDAQ"/>
    <s v="LPCN"/>
    <s v="Lipocine Inc."/>
    <x v="0"/>
    <s v="Major Pharmaceuticals"/>
    <s v="$74.57M"/>
    <n v="74570000"/>
    <n v="1962.33"/>
    <n v="-3.34"/>
    <n v="16495184"/>
    <d v="2026-09-19T00:00:00"/>
    <s v="Complete"/>
  </r>
  <r>
    <s v="aheadings98"/>
    <s v="unc.edu"/>
    <s v="Addison"/>
    <s v="Headings"/>
    <s v="Polygender"/>
    <s v="Other"/>
    <s v="99.122.20.90"/>
    <s v="131.66.112.237"/>
    <n v="333"/>
    <n v="333"/>
    <s v="NASDAQ"/>
    <s v="CXRX"/>
    <s v="Concordia International Corp."/>
    <x v="0"/>
    <s v="Major Pharmaceuticals"/>
    <s v="$56.73M"/>
    <n v="56730000"/>
    <n v="1780.63"/>
    <n v="2.23"/>
    <n v="122798646"/>
    <d v="2021-07-01T00:00:00"/>
    <s v="Complete"/>
  </r>
  <r>
    <s v="kvalentine99"/>
    <s v="jiathis.com"/>
    <s v="Kimmie"/>
    <s v="Valentine"/>
    <s v="Female"/>
    <s v="Female"/>
    <s v="69.150.157.176"/>
    <s v="151.41.185.163"/>
    <n v="334"/>
    <n v="334"/>
    <s v="NYSE"/>
    <s v="GNW"/>
    <s v="Genworth Financial Inc"/>
    <x v="3"/>
    <s v="Life Insurance"/>
    <s v="$1.82B"/>
    <n v="1820000000"/>
    <n v="1568.09"/>
    <n v="-6.62"/>
    <n v="37867331"/>
    <d v="2026-03-15T00:00:00"/>
    <s v="Complete"/>
  </r>
  <r>
    <s v="mholdey9a"/>
    <s v="walmart.com"/>
    <s v="Madison"/>
    <s v="Holdey"/>
    <s v="Male"/>
    <s v="Male"/>
    <s v="226.183.55.240"/>
    <s v="62.254.22.20"/>
    <n v="335"/>
    <n v="335"/>
    <s v="NASDAQ"/>
    <s v="CTMX"/>
    <s v="CytomX Therapeutics, Inc."/>
    <x v="0"/>
    <s v="Major Pharmaceuticals"/>
    <s v="$499.8M"/>
    <n v="499800000"/>
    <n v="138.49"/>
    <n v="-5.91"/>
    <n v="140683598"/>
    <d v="2022-09-24T00:00:00"/>
    <s v="Complete"/>
  </r>
  <r>
    <s v="asleigh9b"/>
    <s v="scientificamerican.com"/>
    <s v="Aldin"/>
    <s v="Sleigh"/>
    <s v="Male"/>
    <s v="Male"/>
    <s v="133.98.140.239"/>
    <s v="156.155.39.51"/>
    <n v="336"/>
    <n v="336"/>
    <s v="NYSE"/>
    <s v="YUM"/>
    <s v="Yum! Brands, Inc."/>
    <x v="6"/>
    <s v="Restaurants"/>
    <s v="$25.34B"/>
    <n v="25340000000"/>
    <n v="563.84"/>
    <n v="6.75"/>
    <n v="122346355"/>
    <d v="2022-07-08T00:00:00"/>
    <s v="Complete"/>
  </r>
  <r>
    <s v="ktest9c"/>
    <s v="wordpress.com"/>
    <s v="Kendall"/>
    <s v="Test"/>
    <s v="Bigender"/>
    <s v="Other"/>
    <s v="42.255.41.35"/>
    <s v="110.192.19.76"/>
    <n v="337"/>
    <n v="337"/>
    <s v="NYSE"/>
    <s v="KFY"/>
    <s v="Korn/Ferry International"/>
    <x v="4"/>
    <s v="Diversified Commercial Services"/>
    <s v="$1.88B"/>
    <n v="1880000000"/>
    <n v="910.66"/>
    <n v="-10.72"/>
    <n v="142021219"/>
    <d v="2024-04-25T00:00:00"/>
    <s v="Complete"/>
  </r>
  <r>
    <s v="bvenning9d"/>
    <s v="scribd.com"/>
    <s v="Blinny"/>
    <s v="Venning"/>
    <s v="Female"/>
    <s v="Female"/>
    <s v="38.115.32.141"/>
    <s v="19.156.241.40"/>
    <n v="338"/>
    <n v="338"/>
    <s v="NASDAQ"/>
    <s v="AETI"/>
    <s v="American Electric Technologies, Inc."/>
    <x v="9"/>
    <s v="Industrial Machinery/Components"/>
    <s v="$12.31M"/>
    <n v="12310000"/>
    <n v="570.61"/>
    <n v="4.45"/>
    <n v="115226075"/>
    <d v="2021-11-11T00:00:00"/>
    <s v="Complete"/>
  </r>
  <r>
    <s v="egepson9e"/>
    <s v="topsy.com"/>
    <s v="Eugenie"/>
    <s v="Gepson"/>
    <s v="Female"/>
    <s v="Female"/>
    <s v="52.247.165.136"/>
    <s v="131.24.72.216"/>
    <n v="339"/>
    <n v="339"/>
    <s v="NASDAQ"/>
    <s v="SPLK"/>
    <s v="Splunk Inc."/>
    <x v="4"/>
    <s v="Computer Software: Prepackaged Software"/>
    <s v="$7.96B"/>
    <n v="7960000000"/>
    <n v="258.56"/>
    <n v="14.48"/>
    <n v="117669960"/>
    <d v="2020-07-10T00:00:00"/>
    <s v="Complete"/>
  </r>
  <r>
    <s v="ggothup9f"/>
    <s v="nydailynews.com"/>
    <s v="Goldarina"/>
    <s v="Gothup"/>
    <s v="Female"/>
    <s v="Female"/>
    <s v="86.127.124.203"/>
    <s v="198.245.255.141"/>
    <n v="340"/>
    <n v="340"/>
    <s v="NASDAQ"/>
    <s v="BBC"/>
    <s v="BioShares Biotechnology Clinical Trials Fund"/>
    <x v="2"/>
    <s v="N/A"/>
    <s v="$23.35M"/>
    <n v="23350000"/>
    <n v="1462.64"/>
    <n v="0.01"/>
    <n v="163635499"/>
    <d v="2026-01-10T00:00:00"/>
    <s v="Missing"/>
  </r>
  <r>
    <s v="fframmingham9g"/>
    <s v="uol.com.br"/>
    <s v="Faunie"/>
    <s v="Frammingham"/>
    <s v="Female"/>
    <s v="Female"/>
    <s v="158.138.243.138"/>
    <s v="150.48.2.199"/>
    <n v="341"/>
    <n v="341"/>
    <s v="NASDAQ"/>
    <s v="FWP"/>
    <s v="Forward Pharma A/S"/>
    <x v="0"/>
    <s v="Major Pharmaceuticals"/>
    <s v="$1.04B"/>
    <n v="1040000000"/>
    <n v="431.87"/>
    <n v="-14.02"/>
    <n v="198843671"/>
    <d v="2021-07-17T00:00:00"/>
    <s v="Complete"/>
  </r>
  <r>
    <s v="ssaffin9h"/>
    <s v="wikia.com"/>
    <s v="Stacie"/>
    <s v="Saffin"/>
    <s v="Female"/>
    <s v="Female"/>
    <s v="184.16.133.113"/>
    <s v="139.113.94.39"/>
    <n v="342"/>
    <n v="342"/>
    <s v="NYSE"/>
    <s v="EFT"/>
    <s v="Eaton Vance Floating Rate Income Trust"/>
    <x v="2"/>
    <s v="N/A"/>
    <s v="$605.93M"/>
    <n v="605930000"/>
    <n v="1459.25"/>
    <n v="0.87"/>
    <n v="54679515"/>
    <d v="2025-04-10T00:00:00"/>
    <s v="Missing"/>
  </r>
  <r>
    <s v="ebarg9i"/>
    <s v="moonfruit.com"/>
    <s v="Edi"/>
    <s v="Barg"/>
    <s v="Female"/>
    <s v="Female"/>
    <s v="154.32.47.111"/>
    <s v="169.41.162.167"/>
    <n v="343"/>
    <n v="343"/>
    <s v="NYSE"/>
    <s v="SAN^I"/>
    <s v="Banco Santander, S.A."/>
    <x v="2"/>
    <s v="N/A"/>
    <s v="N/A"/>
    <n v="0"/>
    <n v="1662.5"/>
    <n v="-17.46"/>
    <n v="85818132"/>
    <d v="2025-08-31T00:00:00"/>
    <s v="Missing"/>
  </r>
  <r>
    <s v="ehorlick9j"/>
    <s v="bandcamp.com"/>
    <s v="Eric"/>
    <s v="Horlick"/>
    <s v="Male"/>
    <s v="Male"/>
    <s v="129.184.14.26"/>
    <s v="120.199.222.198"/>
    <n v="344"/>
    <n v="344"/>
    <s v="NASDAQ"/>
    <s v="SMBK"/>
    <s v="SmartFinancial, Inc."/>
    <x v="3"/>
    <s v="Major Banks"/>
    <s v="$201.19M"/>
    <n v="201190000"/>
    <n v="1705.11"/>
    <n v="-12.75"/>
    <n v="70789318"/>
    <d v="2021-08-01T00:00:00"/>
    <s v="Complete"/>
  </r>
  <r>
    <s v="krobbel9k"/>
    <s v="e-recht24.de"/>
    <s v="Kaylil"/>
    <s v="Robbel"/>
    <s v="Female"/>
    <s v="Female"/>
    <s v="147.231.29.14"/>
    <s v="81.162.167.156"/>
    <n v="345"/>
    <n v="345"/>
    <s v="NASDAQ"/>
    <s v="HOLI"/>
    <s v="Hollysys Automation Technologies, Ltd."/>
    <x v="9"/>
    <s v="Industrial Machinery/Components"/>
    <s v="$1.04B"/>
    <n v="1040000000"/>
    <n v="1337.51"/>
    <n v="-17.510000000000002"/>
    <n v="170970217"/>
    <d v="2026-10-02T00:00:00"/>
    <s v="Complete"/>
  </r>
  <r>
    <s v="ejoao9l"/>
    <s v="4shared.com"/>
    <s v="Erinna"/>
    <s v="Joao"/>
    <s v="Female"/>
    <s v="Female"/>
    <s v="81.215.233.132"/>
    <s v="169.185.118.62"/>
    <n v="346"/>
    <n v="346"/>
    <s v="NASDAQ"/>
    <s v="COBZ"/>
    <s v="CoBiz Financial Inc."/>
    <x v="3"/>
    <s v="Major Banks"/>
    <s v="$691.58M"/>
    <n v="691580000"/>
    <n v="1114.3900000000001"/>
    <n v="-5.09"/>
    <n v="113956253"/>
    <d v="2022-04-03T00:00:00"/>
    <s v="Complete"/>
  </r>
  <r>
    <s v="aaynscombe9m"/>
    <s v="ucoz.com"/>
    <s v="Arielle"/>
    <s v="Aynscombe"/>
    <s v="Female"/>
    <s v="Female"/>
    <s v="98.11.162.247"/>
    <s v="132.153.178.68"/>
    <n v="347"/>
    <n v="347"/>
    <s v="NASDAQ"/>
    <s v="UMBF"/>
    <s v="UMB Financial Corporation"/>
    <x v="3"/>
    <s v="Major Banks"/>
    <s v="$3.68B"/>
    <n v="3680000000"/>
    <n v="1606.86"/>
    <n v="15.36"/>
    <n v="87171198"/>
    <d v="2026-07-22T00:00:00"/>
    <s v="Complete"/>
  </r>
  <r>
    <s v="pgreep9n"/>
    <s v="baidu.com"/>
    <s v="Pris"/>
    <s v="Greep"/>
    <s v="Female"/>
    <s v="Female"/>
    <s v="238.164.208.253"/>
    <s v="229.52.237.102"/>
    <n v="348"/>
    <n v="348"/>
    <s v="NASDAQ"/>
    <s v="SPKEP"/>
    <s v="Spark Energy, Inc."/>
    <x v="8"/>
    <s v="Power Generation"/>
    <s v="N/A"/>
    <n v="0"/>
    <n v="1469.5"/>
    <n v="8.69"/>
    <n v="41104603"/>
    <d v="2021-01-12T00:00:00"/>
    <s v="Missing"/>
  </r>
  <r>
    <s v="emacgillivrie9o"/>
    <s v="over-blog.com"/>
    <s v="Erinna"/>
    <s v="MacGillivrie"/>
    <s v="Female"/>
    <s v="Female"/>
    <s v="159.102.224.67"/>
    <s v="130.157.185.186"/>
    <n v="349"/>
    <n v="349"/>
    <s v="NYSE"/>
    <s v="UVE"/>
    <s v="UNIVERSAL INSURANCE HOLDINGS INC"/>
    <x v="3"/>
    <s v="Property-Casualty Insurers"/>
    <s v="$882.08M"/>
    <n v="882080000"/>
    <n v="963.32"/>
    <n v="11.63"/>
    <n v="175407221"/>
    <d v="2025-03-25T00:00:00"/>
    <s v="Complete"/>
  </r>
  <r>
    <s v="rdeambrosis9p"/>
    <s v="ocn.ne.jp"/>
    <s v="Rad"/>
    <s v="De Ambrosis"/>
    <s v="Male"/>
    <s v="Male"/>
    <s v="115.152.250.213"/>
    <s v="206.243.52.20"/>
    <n v="350"/>
    <n v="350"/>
    <s v="NYSE"/>
    <s v="CIM^A"/>
    <s v="Chimera Investment Corporation"/>
    <x v="2"/>
    <s v="N/A"/>
    <s v="N/A"/>
    <n v="0"/>
    <n v="1402.43"/>
    <n v="-17.600000000000001"/>
    <n v="11505408"/>
    <d v="2020-07-12T00:00:00"/>
    <s v="Missing"/>
  </r>
  <r>
    <s v="blettsom9q"/>
    <s v="telegraph.co.uk"/>
    <s v="Bruce"/>
    <s v="Lettsom"/>
    <s v="Male"/>
    <s v="Male"/>
    <s v="169.141.170.12"/>
    <s v="30.52.8.208"/>
    <n v="351"/>
    <n v="351"/>
    <s v="NASDAQ"/>
    <s v="SPKE"/>
    <s v="Spark Energy, Inc."/>
    <x v="8"/>
    <s v="Power Generation"/>
    <s v="$806.93M"/>
    <n v="806930000"/>
    <n v="1839.45"/>
    <n v="0.69"/>
    <n v="104252625"/>
    <d v="2020-11-18T00:00:00"/>
    <s v="Complete"/>
  </r>
  <r>
    <s v="tobruen9r"/>
    <s v="weather.com"/>
    <s v="Thain"/>
    <s v="O'Bruen"/>
    <s v="Male"/>
    <s v="Male"/>
    <s v="170.142.19.92"/>
    <s v="237.99.109.122"/>
    <n v="352"/>
    <n v="352"/>
    <s v="NASDAQ"/>
    <s v="SHLM"/>
    <s v="A. Schulman, Inc."/>
    <x v="10"/>
    <s v="Major Chemicals"/>
    <s v="$855.12M"/>
    <n v="855120000"/>
    <n v="1147.93"/>
    <n v="6.57"/>
    <n v="62365170"/>
    <d v="2026-12-22T00:00:00"/>
    <s v="Complete"/>
  </r>
  <r>
    <s v="edewane9s"/>
    <s v="hostgator.com"/>
    <s v="Erinn"/>
    <s v="Dewane"/>
    <s v="Female"/>
    <s v="Female"/>
    <s v="55.193.91.189"/>
    <s v="169.193.108.177"/>
    <n v="353"/>
    <n v="353"/>
    <s v="NASDAQ"/>
    <s v="BCPC"/>
    <s v="Balchem Corporation"/>
    <x v="10"/>
    <s v="Major Chemicals"/>
    <s v="$2.56B"/>
    <n v="2560000000"/>
    <n v="869.21"/>
    <n v="-14.55"/>
    <n v="146348123"/>
    <d v="2026-09-19T00:00:00"/>
    <s v="Complete"/>
  </r>
  <r>
    <s v="inind9t"/>
    <s v="omniture.com"/>
    <s v="Irwinn"/>
    <s v="Nind"/>
    <s v="Male"/>
    <s v="Male"/>
    <s v="77.247.200.54"/>
    <s v="40.247.58.185"/>
    <n v="354"/>
    <n v="354"/>
    <s v="NASDAQ"/>
    <s v="EYESW"/>
    <s v="Second Sight Medical Products, Inc."/>
    <x v="0"/>
    <s v="Biotechnology: Electromedical &amp; Electrotherapeutic Apparatus"/>
    <s v="N/A"/>
    <n v="0"/>
    <n v="9"/>
    <n v="-19.93"/>
    <n v="21602581"/>
    <d v="2025-08-31T00:00:00"/>
    <s v="Missing"/>
  </r>
  <r>
    <s v="bgabriel9u"/>
    <s v="scribd.com"/>
    <s v="Benyamin"/>
    <s v="Gabriel"/>
    <s v="Male"/>
    <s v="Male"/>
    <s v="64.45.250.206"/>
    <s v="207.33.232.217"/>
    <n v="355"/>
    <n v="355"/>
    <s v="NYSE"/>
    <s v="SMLP"/>
    <s v="Summit Midstream Partners, LP"/>
    <x v="8"/>
    <s v="Natural Gas Distribution"/>
    <s v="$1.7B"/>
    <n v="1700000000"/>
    <n v="457.76"/>
    <n v="-0.27"/>
    <n v="77862066"/>
    <d v="2021-07-26T00:00:00"/>
    <s v="Complete"/>
  </r>
  <r>
    <s v="ebranson9v"/>
    <s v="google.com.br"/>
    <s v="Even"/>
    <s v="Branson"/>
    <s v="Male"/>
    <s v="Male"/>
    <s v="252.214.137.7"/>
    <s v="117.134.233.156"/>
    <n v="356"/>
    <n v="356"/>
    <s v="NASDAQ"/>
    <s v="ACHN"/>
    <s v="Achillion Pharmaceuticals, Inc."/>
    <x v="0"/>
    <s v="Major Pharmaceuticals"/>
    <s v="$578.34M"/>
    <n v="578340000"/>
    <n v="386.14"/>
    <n v="1.36"/>
    <n v="141010655"/>
    <d v="2021-05-07T00:00:00"/>
    <s v="Complete"/>
  </r>
  <r>
    <s v="tandrioli9w"/>
    <s v="imgur.com"/>
    <s v="Tess"/>
    <s v="Andrioli"/>
    <s v="Female"/>
    <s v="Female"/>
    <s v="235.171.101.41"/>
    <s v="238.97.232.93"/>
    <n v="357"/>
    <n v="357"/>
    <s v="NASDAQ"/>
    <s v="LNTH"/>
    <s v="Lantheus Holdings, Inc."/>
    <x v="0"/>
    <s v="Biotechnology: In Vitro &amp; In Vivo Diagnostic Substances"/>
    <s v="$562.75M"/>
    <n v="562750000"/>
    <n v="1889.57"/>
    <n v="-0.95"/>
    <n v="173998589"/>
    <d v="2025-08-28T00:00:00"/>
    <s v="Complete"/>
  </r>
  <r>
    <s v="mtrunks9x"/>
    <s v="un.org"/>
    <s v="Maxie"/>
    <s v="Trunks"/>
    <s v="Female"/>
    <s v="Female"/>
    <s v="255.206.137.247"/>
    <s v="121.150.185.75"/>
    <n v="358"/>
    <n v="358"/>
    <s v="NYSE"/>
    <s v="TCF^C"/>
    <s v="TCF Financial Corporation"/>
    <x v="2"/>
    <s v="N/A"/>
    <s v="N/A"/>
    <n v="0"/>
    <n v="360.33"/>
    <n v="17.170000000000002"/>
    <n v="81328844"/>
    <d v="2021-10-05T00:00:00"/>
    <s v="Missing"/>
  </r>
  <r>
    <s v="mbenck9y"/>
    <s v="flickr.com"/>
    <s v="Morgana"/>
    <s v="Benck"/>
    <s v="Female"/>
    <s v="Female"/>
    <s v="254.203.35.90"/>
    <s v="45.27.212.70"/>
    <n v="359"/>
    <n v="359"/>
    <s v="NASDAQ"/>
    <s v="CVLY"/>
    <s v="Codorus Valley Bancorp, Inc"/>
    <x v="3"/>
    <s v="Savings Institutions"/>
    <s v="$225.47M"/>
    <n v="225470000"/>
    <n v="183.93"/>
    <n v="-11.33"/>
    <n v="175718609"/>
    <d v="2023-06-19T00:00:00"/>
    <s v="Complete"/>
  </r>
  <r>
    <s v="fkiltie9z"/>
    <s v="prlog.org"/>
    <s v="Fionnula"/>
    <s v="Kiltie"/>
    <s v="Female"/>
    <s v="Female"/>
    <s v="149.218.233.249"/>
    <s v="8.206.22.251"/>
    <n v="360"/>
    <n v="360"/>
    <s v="NYSE"/>
    <s v="PBT"/>
    <s v="Permian Basin Royalty Trust"/>
    <x v="9"/>
    <s v="Oil &amp; Gas Production"/>
    <s v="$426.47M"/>
    <n v="426470000"/>
    <n v="157.61000000000001"/>
    <n v="2.4"/>
    <n v="109994523"/>
    <d v="2021-11-02T00:00:00"/>
    <s v="Complete"/>
  </r>
  <r>
    <s v="clowselya0"/>
    <s v="domainmarket.com"/>
    <s v="Carolina"/>
    <s v="Lowsely"/>
    <s v="Female"/>
    <s v="Female"/>
    <s v="173.76.4.143"/>
    <s v="44.243.115.92"/>
    <n v="361"/>
    <n v="361"/>
    <s v="NYSE"/>
    <s v="DFT"/>
    <s v="Dupont Fabros Technology, Inc."/>
    <x v="3"/>
    <s v="Real Estate"/>
    <s v="$4.93B"/>
    <n v="4930000000"/>
    <n v="1595.42"/>
    <n v="-4.3099999999999996"/>
    <n v="82953569"/>
    <d v="2023-05-20T00:00:00"/>
    <s v="Complete"/>
  </r>
  <r>
    <s v="lcortera1"/>
    <s v="rambler.ru"/>
    <s v="Laurent"/>
    <s v="Corter"/>
    <s v="Male"/>
    <s v="Male"/>
    <s v="192.98.109.107"/>
    <s v="9.111.84.153"/>
    <n v="362"/>
    <n v="362"/>
    <s v="NYSE"/>
    <s v="CVO"/>
    <s v="Cenveo Inc"/>
    <x v="11"/>
    <s v="Containers/Packaging"/>
    <s v="$52.17M"/>
    <n v="52170000"/>
    <n v="1506.12"/>
    <n v="-1.39"/>
    <n v="9599649"/>
    <d v="2025-04-08T00:00:00"/>
    <s v="Complete"/>
  </r>
  <r>
    <s v="wsimonatoa2"/>
    <s v="weather.com"/>
    <s v="Winifield"/>
    <s v="Simonato"/>
    <s v="Male"/>
    <s v="Male"/>
    <s v="127.215.30.234"/>
    <s v="119.105.182.133"/>
    <n v="363"/>
    <n v="363"/>
    <s v="NYSE"/>
    <s v="WEC"/>
    <s v="WEC Energy Group, Inc."/>
    <x v="8"/>
    <s v="Power Generation"/>
    <s v="$20.27B"/>
    <n v="20270000000"/>
    <n v="483.32"/>
    <n v="-3.66"/>
    <n v="13989564"/>
    <d v="2026-10-08T00:00:00"/>
    <s v="Complete"/>
  </r>
  <r>
    <s v="bwarbeysa3"/>
    <s v="dedecms.com"/>
    <s v="Berny"/>
    <s v="Warbeys"/>
    <s v="Polygender"/>
    <s v="Other"/>
    <s v="186.117.255.105"/>
    <s v="57.150.220.248"/>
    <n v="364"/>
    <n v="364"/>
    <s v="NYSE"/>
    <s v="USPH"/>
    <s v="U.S. Physical Therapy, Inc."/>
    <x v="0"/>
    <s v="Medical/Nursing Services"/>
    <s v="$787.59M"/>
    <n v="787590000"/>
    <n v="179.34"/>
    <n v="-14.42"/>
    <n v="117116643"/>
    <d v="2022-12-21T00:00:00"/>
    <s v="Complete"/>
  </r>
  <r>
    <s v="rdudinga4"/>
    <s v="google.pl"/>
    <s v="Rhona"/>
    <s v="Duding"/>
    <s v="Female"/>
    <s v="Female"/>
    <s v="206.229.28.184"/>
    <s v="133.105.35.231"/>
    <n v="365"/>
    <n v="365"/>
    <s v="NASDAQ"/>
    <s v="WHLRP"/>
    <s v="Wheeler Real Estate Investment Trust, Inc."/>
    <x v="6"/>
    <s v="Real Estate Investment Trusts"/>
    <s v="$16.13M"/>
    <n v="16129999.999999998"/>
    <n v="353.61"/>
    <n v="11.8"/>
    <n v="44797804"/>
    <d v="2024-01-17T00:00:00"/>
    <s v="Complete"/>
  </r>
  <r>
    <s v="adablea5"/>
    <s v="samsung.com"/>
    <s v="Ailene"/>
    <s v="Dable"/>
    <s v="Female"/>
    <s v="Female"/>
    <s v="3.40.232.15"/>
    <s v="64.0.146.204"/>
    <n v="366"/>
    <n v="366"/>
    <s v="NYSE"/>
    <s v="BYD"/>
    <s v="Boyd Gaming Corporation"/>
    <x v="6"/>
    <s v="Hotels/Resorts"/>
    <s v="$2.85B"/>
    <n v="2850000000"/>
    <n v="1916.97"/>
    <n v="-16.11"/>
    <n v="59912843"/>
    <d v="2022-12-03T00:00:00"/>
    <s v="Complete"/>
  </r>
  <r>
    <s v="pstringera6"/>
    <s v="mapquest.com"/>
    <s v="Pepillo"/>
    <s v="Stringer"/>
    <s v="Male"/>
    <s v="Male"/>
    <s v="23.136.47.107"/>
    <s v="62.130.7.85"/>
    <n v="367"/>
    <n v="367"/>
    <s v="NASDAQ"/>
    <s v="PSCI"/>
    <s v="PowerShares S&amp;P SmallCap Industrials Portfolio"/>
    <x v="2"/>
    <s v="N/A"/>
    <s v="$96.27M"/>
    <n v="96270000"/>
    <n v="366.81"/>
    <n v="-4"/>
    <n v="110694210"/>
    <d v="2020-09-09T00:00:00"/>
    <s v="Missing"/>
  </r>
  <r>
    <s v="igladdena7"/>
    <s v="webeden.co.uk"/>
    <s v="Izabel"/>
    <s v="Gladden"/>
    <s v="Bigender"/>
    <s v="Other"/>
    <s v="224.84.3.128"/>
    <s v="75.44.150.140"/>
    <n v="368"/>
    <n v="368"/>
    <s v="NASDAQ"/>
    <s v="PLYAW"/>
    <s v="Playa Hotels &amp; Resorts N.V."/>
    <x v="6"/>
    <s v="Hotels/Resorts"/>
    <s v="N/A"/>
    <n v="0"/>
    <n v="1725.25"/>
    <n v="-19.02"/>
    <n v="152083531"/>
    <d v="2026-04-08T00:00:00"/>
    <s v="Missing"/>
  </r>
  <r>
    <s v="aerdesa8"/>
    <s v="exblog.jp"/>
    <s v="Arty"/>
    <s v="Erdes"/>
    <s v="Male"/>
    <s v="Male"/>
    <s v="140.242.17.131"/>
    <s v="90.211.131.61"/>
    <n v="369"/>
    <n v="369"/>
    <s v="NYSE"/>
    <s v="KFY"/>
    <s v="Korn/Ferry International"/>
    <x v="4"/>
    <s v="Diversified Commercial Services"/>
    <s v="$1.88B"/>
    <n v="1880000000"/>
    <n v="1254.3499999999999"/>
    <n v="15.92"/>
    <n v="138951659"/>
    <d v="2021-06-17T00:00:00"/>
    <s v="Complete"/>
  </r>
  <r>
    <s v="dmonkmana9"/>
    <s v="woothemes.com"/>
    <s v="Dan"/>
    <s v="Monkman"/>
    <s v="Male"/>
    <s v="Male"/>
    <s v="166.73.44.136"/>
    <s v="136.74.8.222"/>
    <n v="370"/>
    <n v="370"/>
    <s v="NYSE"/>
    <s v="ACN"/>
    <s v="Accenture plc"/>
    <x v="7"/>
    <s v="Business Services"/>
    <s v="$81.78B"/>
    <n v="81780000000"/>
    <n v="1095.94"/>
    <n v="-19.3"/>
    <n v="131400820"/>
    <d v="2023-11-25T00:00:00"/>
    <s v="Complete"/>
  </r>
  <r>
    <s v="swarlaweaa"/>
    <s v="disqus.com"/>
    <s v="Sutherlan"/>
    <s v="Warlawe"/>
    <s v="Male"/>
    <s v="Male"/>
    <s v="51.241.64.88"/>
    <s v="254.151.128.173"/>
    <n v="371"/>
    <n v="371"/>
    <s v="NASDAQ"/>
    <s v="ROST"/>
    <s v="Ross Stores, Inc."/>
    <x v="6"/>
    <s v="Clothing/Shoe/Accessory Stores"/>
    <s v="$23.38B"/>
    <n v="23380000000"/>
    <n v="755.28"/>
    <n v="-15.49"/>
    <n v="78454310"/>
    <d v="2026-11-20T00:00:00"/>
    <s v="Complete"/>
  </r>
  <r>
    <s v="agwiltab"/>
    <s v="wikipedia.org"/>
    <s v="Adrea"/>
    <s v="Gwilt"/>
    <s v="Female"/>
    <s v="Female"/>
    <s v="124.182.212.98"/>
    <s v="33.222.45.223"/>
    <n v="372"/>
    <n v="372"/>
    <s v="NASDAQ"/>
    <s v="XCRA"/>
    <s v="Xcerra Corporation"/>
    <x v="1"/>
    <s v="Electrical Products"/>
    <s v="$536.16M"/>
    <n v="536159999.99999994"/>
    <n v="422.22"/>
    <n v="-0.28000000000000003"/>
    <n v="27083210"/>
    <d v="2026-06-30T00:00:00"/>
    <s v="Complete"/>
  </r>
  <r>
    <s v="gvanacciac"/>
    <s v="census.gov"/>
    <s v="Guss"/>
    <s v="Vanacci"/>
    <s v="Male"/>
    <s v="Male"/>
    <s v="8.81.187.13"/>
    <s v="28.105.71.158"/>
    <n v="373"/>
    <n v="373"/>
    <s v="NASDAQ"/>
    <s v="BPMC"/>
    <s v="Blueprint Medicines Corporation"/>
    <x v="0"/>
    <s v="Major Pharmaceuticals"/>
    <s v="$1.56B"/>
    <n v="1560000000"/>
    <n v="1278.19"/>
    <n v="9.25"/>
    <n v="8935981"/>
    <d v="2022-03-30T00:00:00"/>
    <s v="Complete"/>
  </r>
  <r>
    <s v="fwedgead"/>
    <s v="engadget.com"/>
    <s v="Findlay"/>
    <s v="Wedge"/>
    <s v="Male"/>
    <s v="Male"/>
    <s v="113.12.222.114"/>
    <s v="205.77.154.2"/>
    <n v="374"/>
    <n v="374"/>
    <s v="NASDAQ"/>
    <s v="GRID"/>
    <s v="First Trust NASDAQ Clean Edge Smart Grid Infrastructure Index "/>
    <x v="2"/>
    <s v="N/A"/>
    <s v="$21.91M"/>
    <n v="21910000"/>
    <n v="122.38"/>
    <n v="-19.87"/>
    <n v="115704723"/>
    <d v="2023-01-22T00:00:00"/>
    <s v="Missing"/>
  </r>
  <r>
    <s v="ealecockae"/>
    <s v="blogtalkradio.com"/>
    <s v="Erik"/>
    <s v="Alecock"/>
    <s v="Male"/>
    <s v="Male"/>
    <s v="117.216.51.126"/>
    <s v="63.51.221.212"/>
    <n v="375"/>
    <n v="375"/>
    <s v="NYSE"/>
    <s v="HUBB"/>
    <s v="Hubbell Inc"/>
    <x v="1"/>
    <s v="Electrical Products"/>
    <s v="$6.47B"/>
    <n v="6470000000"/>
    <n v="1861.49"/>
    <n v="-1.76"/>
    <n v="127566238"/>
    <d v="2020-05-09T00:00:00"/>
    <s v="Complete"/>
  </r>
  <r>
    <s v="ereichardtaf"/>
    <s v="upenn.edu"/>
    <s v="Emlynne"/>
    <s v="Reichardt"/>
    <s v="Female"/>
    <s v="Female"/>
    <s v="69.242.134.94"/>
    <s v="5.162.2.243"/>
    <n v="376"/>
    <n v="376"/>
    <s v="NYSE"/>
    <s v="PPR"/>
    <s v="Voya Prime Rate Trust"/>
    <x v="2"/>
    <s v="N/A"/>
    <s v="$790.66M"/>
    <n v="790660000"/>
    <n v="907.28"/>
    <n v="15.35"/>
    <n v="64565846"/>
    <d v="2026-12-15T00:00:00"/>
    <s v="Missing"/>
  </r>
  <r>
    <s v="mhardwayag"/>
    <s v="edublogs.org"/>
    <s v="Marchelle"/>
    <s v="Hardway"/>
    <s v="Female"/>
    <s v="Female"/>
    <s v="49.174.192.226"/>
    <s v="113.115.51.216"/>
    <n v="377"/>
    <n v="377"/>
    <s v="NYSE"/>
    <s v="GGZ"/>
    <s v="Gabelli Global Small and Mid Cap Value Trust (The)"/>
    <x v="2"/>
    <s v="N/A"/>
    <s v="$95.4M"/>
    <n v="95400000"/>
    <n v="271.20999999999998"/>
    <n v="-18.420000000000002"/>
    <n v="163968376"/>
    <d v="2024-04-24T00:00:00"/>
    <s v="Missing"/>
  </r>
  <r>
    <s v="mtreaceah"/>
    <s v="google.co.jp"/>
    <s v="Margy"/>
    <s v="Treace"/>
    <s v="Female"/>
    <s v="Female"/>
    <s v="138.87.239.80"/>
    <s v="196.41.24.58"/>
    <n v="378"/>
    <n v="378"/>
    <s v="NYSE"/>
    <s v="TIME"/>
    <s v="Time Inc."/>
    <x v="6"/>
    <s v="Newspapers/Magazines"/>
    <s v="$1.35B"/>
    <n v="1350000000"/>
    <n v="936.05"/>
    <n v="-19.22"/>
    <n v="196132322"/>
    <d v="2024-07-26T00:00:00"/>
    <s v="Complete"/>
  </r>
  <r>
    <s v="rcradocai"/>
    <s v="twitpic.com"/>
    <s v="Ranice"/>
    <s v="Cradoc"/>
    <s v="Genderfluid"/>
    <s v="Other"/>
    <s v="98.61.162.250"/>
    <s v="205.178.124.49"/>
    <n v="379"/>
    <n v="379"/>
    <s v="NASDAQ"/>
    <s v="HAIN"/>
    <s v="The Hain Celestial Group, Inc."/>
    <x v="5"/>
    <s v="Packaged Foods"/>
    <s v="$3.51B"/>
    <n v="3510000000"/>
    <n v="267.92"/>
    <n v="-15.11"/>
    <n v="115680825"/>
    <d v="2023-11-29T00:00:00"/>
    <s v="Complete"/>
  </r>
  <r>
    <s v="bduncombeaj"/>
    <s v="flickr.com"/>
    <s v="Brooks"/>
    <s v="Duncombe"/>
    <s v="Female"/>
    <s v="Female"/>
    <s v="233.89.206.135"/>
    <s v="41.233.78.93"/>
    <n v="380"/>
    <n v="380"/>
    <s v="NASDAQ"/>
    <s v="PYZ"/>
    <s v="PowerShares DWA Basic Materials Momentum Portfolio"/>
    <x v="2"/>
    <s v="N/A"/>
    <s v="$95.77M"/>
    <n v="95770000"/>
    <n v="565.44000000000005"/>
    <n v="-12.51"/>
    <n v="113907223"/>
    <d v="2026-11-30T00:00:00"/>
    <s v="Missing"/>
  </r>
  <r>
    <s v="atrimbeyak"/>
    <s v="cdbaby.com"/>
    <s v="Aksel"/>
    <s v="Trimbey"/>
    <s v="Male"/>
    <s v="Male"/>
    <s v="8.130.2.170"/>
    <s v="164.40.62.179"/>
    <n v="381"/>
    <n v="381"/>
    <s v="NASDAQ"/>
    <s v="NDRM"/>
    <s v="NeuroDerm Ltd."/>
    <x v="0"/>
    <s v="Major Pharmaceuticals"/>
    <s v="$766.44M"/>
    <n v="766440000"/>
    <n v="536.76"/>
    <n v="17.63"/>
    <n v="80812922"/>
    <d v="2024-07-07T00:00:00"/>
    <s v="Complete"/>
  </r>
  <r>
    <s v="ahovieal"/>
    <s v="moonfruit.com"/>
    <s v="Abbie"/>
    <s v="Hovie"/>
    <s v="Male"/>
    <s v="Male"/>
    <s v="124.6.73.175"/>
    <s v="240.79.206.233"/>
    <n v="382"/>
    <n v="382"/>
    <s v="NASDAQ"/>
    <s v="POWI"/>
    <s v="Power Integrations, Inc."/>
    <x v="4"/>
    <s v="Semiconductors"/>
    <s v="$1.89B"/>
    <n v="1890000000"/>
    <n v="783.95"/>
    <n v="-1.33"/>
    <n v="128209681"/>
    <d v="2023-08-21T00:00:00"/>
    <s v="Complete"/>
  </r>
  <r>
    <s v="acrinionam"/>
    <s v="godaddy.com"/>
    <s v="Annabelle"/>
    <s v="Crinion"/>
    <s v="Female"/>
    <s v="Female"/>
    <s v="75.51.105.69"/>
    <s v="209.35.220.201"/>
    <n v="383"/>
    <n v="383"/>
    <s v="NASDAQ"/>
    <s v="RWLK"/>
    <s v="ReWalk Robotics Ltd"/>
    <x v="0"/>
    <s v="Industrial Specialties"/>
    <s v="$20.84M"/>
    <n v="20840000"/>
    <n v="1492.92"/>
    <n v="-19.53"/>
    <n v="147543939"/>
    <d v="2024-08-29T00:00:00"/>
    <s v="Complete"/>
  </r>
  <r>
    <s v="rhulsean"/>
    <s v="youtube.com"/>
    <s v="Rochelle"/>
    <s v="Hulse"/>
    <s v="Female"/>
    <s v="Female"/>
    <s v="212.90.17.208"/>
    <s v="224.46.205.232"/>
    <n v="384"/>
    <n v="384"/>
    <s v="NASDAQ"/>
    <s v="RDI"/>
    <s v="Reading International Inc"/>
    <x v="6"/>
    <s v="Movies/Entertainment"/>
    <s v="$367M"/>
    <n v="367000000"/>
    <n v="1275.99"/>
    <n v="13.16"/>
    <n v="115427461"/>
    <d v="2024-10-12T00:00:00"/>
    <s v="Complete"/>
  </r>
  <r>
    <s v="bclarricoatesao"/>
    <s v="ft.com"/>
    <s v="Bobbi"/>
    <s v="Clarricoates"/>
    <s v="Genderqueer"/>
    <s v="Other"/>
    <s v="29.13.51.90"/>
    <s v="104.254.209.20"/>
    <n v="385"/>
    <n v="385"/>
    <s v="NASDAQ"/>
    <s v="PCTI"/>
    <s v="PC-Tel, Inc."/>
    <x v="4"/>
    <s v="Radio And Television Broadcasting And Communications Equipment"/>
    <s v="$120.74M"/>
    <n v="120740000"/>
    <n v="373.39"/>
    <n v="8.9600000000000009"/>
    <n v="187381222"/>
    <d v="2021-10-02T00:00:00"/>
    <s v="Complete"/>
  </r>
  <r>
    <s v="vlevensap"/>
    <s v="eventbrite.com"/>
    <s v="Viv"/>
    <s v="Levens"/>
    <s v="Female"/>
    <s v="Female"/>
    <s v="4.76.187.48"/>
    <s v="62.250.221.104"/>
    <n v="386"/>
    <n v="386"/>
    <s v="NASDAQ"/>
    <s v="OESX"/>
    <s v="Orion Energy Systems, Inc."/>
    <x v="11"/>
    <s v="Building Products"/>
    <s v="$38.19M"/>
    <n v="38190000"/>
    <n v="1745.01"/>
    <n v="4.57"/>
    <n v="46921888"/>
    <d v="2024-05-11T00:00:00"/>
    <s v="Complete"/>
  </r>
  <r>
    <s v="rgertaq"/>
    <s v="photobucket.com"/>
    <s v="Reine"/>
    <s v="Gert"/>
    <s v="Female"/>
    <s v="Female"/>
    <s v="154.42.185.32"/>
    <s v="53.148.251.128"/>
    <n v="387"/>
    <n v="387"/>
    <s v="NYSE"/>
    <s v="WBT"/>
    <s v="Welbilt, Inc."/>
    <x v="4"/>
    <s v="Industrial Machinery/Components"/>
    <s v="$2.62B"/>
    <n v="2620000000"/>
    <n v="1245.42"/>
    <n v="-15.13"/>
    <n v="52974556"/>
    <d v="2021-11-04T00:00:00"/>
    <s v="Complete"/>
  </r>
  <r>
    <s v="tmannoochar"/>
    <s v="drupal.org"/>
    <s v="Tobi"/>
    <s v="Mannooch"/>
    <s v="Female"/>
    <s v="Female"/>
    <s v="12.246.230.201"/>
    <s v="7.83.47.21"/>
    <n v="388"/>
    <n v="388"/>
    <s v="NYSE"/>
    <s v="NXRT"/>
    <s v="NexPoint Residential Trust, Inc."/>
    <x v="6"/>
    <s v="Real Estate Investment Trusts"/>
    <s v="$536.19M"/>
    <n v="536190000.00000006"/>
    <n v="634.16999999999996"/>
    <n v="5.97"/>
    <n v="20533242"/>
    <d v="2024-09-15T00:00:00"/>
    <s v="Complete"/>
  </r>
  <r>
    <s v="uhubbackas"/>
    <s v="unesco.org"/>
    <s v="Ursula"/>
    <s v="Hubback"/>
    <s v="Female"/>
    <s v="Female"/>
    <s v="222.157.121.177"/>
    <s v="83.248.22.72"/>
    <n v="389"/>
    <n v="389"/>
    <s v="NYSE"/>
    <s v="JONE"/>
    <s v="Jones Energy, Inc."/>
    <x v="9"/>
    <s v="Oil &amp; Gas Production"/>
    <s v="$162.11M"/>
    <n v="162110000"/>
    <n v="1836.29"/>
    <n v="4.22"/>
    <n v="73018825"/>
    <d v="2024-06-28T00:00:00"/>
    <s v="Complete"/>
  </r>
  <r>
    <s v="fbreedyat"/>
    <s v="state.gov"/>
    <s v="Frederich"/>
    <s v="Breedy"/>
    <s v="Male"/>
    <s v="Male"/>
    <s v="80.169.178.249"/>
    <s v="76.31.92.189"/>
    <n v="390"/>
    <n v="390"/>
    <s v="NASDAQ"/>
    <s v="ASRV"/>
    <s v="AmeriServ Financial Inc."/>
    <x v="3"/>
    <s v="Major Banks"/>
    <s v="$76.54M"/>
    <n v="76540000"/>
    <n v="1672.95"/>
    <n v="14.45"/>
    <n v="125984991"/>
    <d v="2026-05-24T00:00:00"/>
    <s v="Complete"/>
  </r>
  <r>
    <s v="rcanfieldau"/>
    <s v="mediafire.com"/>
    <s v="Rey"/>
    <s v="Canfield"/>
    <s v="Female"/>
    <s v="Female"/>
    <s v="74.253.130.226"/>
    <s v="28.2.141.205"/>
    <n v="391"/>
    <n v="391"/>
    <s v="NYSE"/>
    <s v="VMO"/>
    <s v="Invesco Municipal Opportunity Trust"/>
    <x v="2"/>
    <s v="N/A"/>
    <s v="$885.83M"/>
    <n v="885830000"/>
    <n v="174.63"/>
    <n v="3.39"/>
    <n v="170368027"/>
    <d v="2025-03-31T00:00:00"/>
    <s v="Missing"/>
  </r>
  <r>
    <s v="rhaymanav"/>
    <s v="bandcamp.com"/>
    <s v="Raffarty"/>
    <s v="Hayman"/>
    <s v="Male"/>
    <s v="Male"/>
    <s v="201.108.189.189"/>
    <s v="212.62.244.255"/>
    <n v="392"/>
    <n v="392"/>
    <s v="NYSE"/>
    <s v="EOS"/>
    <s v="Eaton Vance Enhanced Equity Income Fund II"/>
    <x v="2"/>
    <s v="N/A"/>
    <s v="$701.96M"/>
    <n v="701960000"/>
    <n v="966.79"/>
    <n v="2.2000000000000002"/>
    <n v="179429061"/>
    <d v="2023-10-13T00:00:00"/>
    <s v="Missing"/>
  </r>
  <r>
    <s v="sturnoraw"/>
    <s v="washingtonpost.com"/>
    <s v="Shanda"/>
    <s v="Turnor"/>
    <s v="Bigender"/>
    <s v="Other"/>
    <s v="4.46.173.156"/>
    <s v="185.195.252.14"/>
    <n v="393"/>
    <n v="393"/>
    <s v="NYSE"/>
    <s v="BIP"/>
    <s v="Brookfield Infrastructure Partners LP"/>
    <x v="6"/>
    <s v="Marine Transportation"/>
    <s v="$10.77B"/>
    <n v="10770000000"/>
    <n v="718"/>
    <n v="-10.39"/>
    <n v="42078343"/>
    <d v="2021-07-30T00:00:00"/>
    <s v="Complete"/>
  </r>
  <r>
    <s v="agofordax"/>
    <s v="technorati.com"/>
    <s v="Aile"/>
    <s v="Goford"/>
    <s v="Female"/>
    <s v="Female"/>
    <s v="12.57.75.181"/>
    <s v="139.220.93.159"/>
    <n v="394"/>
    <n v="394"/>
    <s v="NASDAQ"/>
    <s v="FSAM"/>
    <s v="Fifth Street Asset Management Inc."/>
    <x v="3"/>
    <s v="Investment Managers"/>
    <s v="$172.02M"/>
    <n v="172020000"/>
    <n v="1642.18"/>
    <n v="-1.8"/>
    <n v="189180639"/>
    <d v="2020-05-16T00:00:00"/>
    <s v="Complete"/>
  </r>
  <r>
    <s v="rcristofanoay"/>
    <s v="adobe.com"/>
    <s v="Renaud"/>
    <s v="Cristofano"/>
    <s v="Male"/>
    <s v="Male"/>
    <s v="139.99.180.136"/>
    <s v="220.228.114.95"/>
    <n v="395"/>
    <n v="395"/>
    <s v="NASDAQ"/>
    <s v="CBSHP"/>
    <s v="Commerce Bancshares, Inc."/>
    <x v="3"/>
    <s v="Major Banks"/>
    <s v="$2.4B"/>
    <n v="2400000000"/>
    <n v="1284.8900000000001"/>
    <n v="5.94"/>
    <n v="97996470"/>
    <d v="2026-08-15T00:00:00"/>
    <s v="Complete"/>
  </r>
  <r>
    <s v="rdobrowskiaz"/>
    <s v="indiatimes.com"/>
    <s v="Reginald"/>
    <s v="Dobrowski"/>
    <s v="Male"/>
    <s v="Male"/>
    <s v="169.20.244.193"/>
    <s v="57.141.91.2"/>
    <n v="396"/>
    <n v="396"/>
    <s v="NYSE"/>
    <s v="GYB"/>
    <s v="CABCO Series 2004-101 Trust"/>
    <x v="3"/>
    <s v="Finance: Consumer Services"/>
    <s v="N/A"/>
    <n v="0"/>
    <n v="364.35"/>
    <n v="1.89"/>
    <n v="170678396"/>
    <d v="2025-11-04T00:00:00"/>
    <s v="Missing"/>
  </r>
  <r>
    <s v="bdianob0"/>
    <s v="ebay.co.uk"/>
    <s v="Brinn"/>
    <s v="Diano"/>
    <s v="Female"/>
    <s v="Female"/>
    <s v="57.229.78.35"/>
    <s v="145.35.14.87"/>
    <n v="397"/>
    <n v="397"/>
    <s v="NYSE"/>
    <s v="MMM"/>
    <s v="3M Company"/>
    <x v="0"/>
    <s v="Medical/Dental Instruments"/>
    <s v="$127.36B"/>
    <n v="127360000000"/>
    <n v="437.1"/>
    <n v="3.91"/>
    <n v="87905712"/>
    <d v="2020-06-13T00:00:00"/>
    <s v="Complete"/>
  </r>
  <r>
    <s v="htotenb1"/>
    <s v="amazon.de"/>
    <s v="Hobie"/>
    <s v="Toten"/>
    <s v="Male"/>
    <s v="Male"/>
    <s v="52.150.88.34"/>
    <s v="164.75.154.197"/>
    <n v="398"/>
    <n v="398"/>
    <s v="NASDAQ"/>
    <s v="STMP"/>
    <s v="Stamps.com Inc."/>
    <x v="7"/>
    <s v="Business Services"/>
    <s v="$2.49B"/>
    <n v="2490000000"/>
    <n v="1183.9100000000001"/>
    <n v="4.3899999999999997"/>
    <n v="88383055"/>
    <d v="2022-08-02T00:00:00"/>
    <s v="Complete"/>
  </r>
  <r>
    <s v="pmacclureb2"/>
    <s v="opera.com"/>
    <s v="Paddy"/>
    <s v="MacClure"/>
    <s v="Male"/>
    <s v="Male"/>
    <s v="106.185.29.102"/>
    <s v="17.24.11.2"/>
    <n v="399"/>
    <n v="399"/>
    <s v="NASDAQ"/>
    <s v="KEYW"/>
    <s v="The KEYW Holding Corporation"/>
    <x v="4"/>
    <s v="EDP Services"/>
    <s v="$447.05M"/>
    <n v="447050000"/>
    <n v="1652.59"/>
    <n v="19.55"/>
    <n v="75811928"/>
    <d v="2025-02-12T00:00:00"/>
    <s v="Complete"/>
  </r>
  <r>
    <s v="yholdb3"/>
    <s v="mozilla.com"/>
    <s v="Yoshiko"/>
    <s v="Hold"/>
    <s v="Female"/>
    <s v="Female"/>
    <s v="85.60.86.247"/>
    <s v="17.205.29.79"/>
    <n v="400"/>
    <n v="400"/>
    <s v="NYSE"/>
    <s v="CMRE^B"/>
    <s v="Costamare Inc."/>
    <x v="2"/>
    <s v="N/A"/>
    <s v="N/A"/>
    <n v="0"/>
    <n v="199.54"/>
    <n v="-14.93"/>
    <n v="116757622"/>
    <d v="2025-09-29T00:00:00"/>
    <s v="Missing"/>
  </r>
  <r>
    <s v="acardosob4"/>
    <s v="baidu.com"/>
    <s v="Avictor"/>
    <s v="Cardoso"/>
    <s v="Male"/>
    <s v="Male"/>
    <s v="112.123.48.32"/>
    <s v="59.43.222.243"/>
    <n v="401"/>
    <n v="401"/>
    <s v="NYSE"/>
    <s v="THS"/>
    <s v="Treehouse Foods, Inc."/>
    <x v="5"/>
    <s v="Packaged Foods"/>
    <s v="$4.61B"/>
    <n v="4610000000"/>
    <n v="1358.37"/>
    <n v="-14.82"/>
    <n v="166938157"/>
    <d v="2021-12-26T00:00:00"/>
    <s v="Complete"/>
  </r>
  <r>
    <s v="rgrenshielsb5"/>
    <s v="webmd.com"/>
    <s v="Ram"/>
    <s v="Grenshiels"/>
    <s v="Male"/>
    <s v="Male"/>
    <s v="140.106.94.5"/>
    <s v="84.139.206.153"/>
    <n v="402"/>
    <n v="402"/>
    <s v="NASDAQ"/>
    <s v="FULT"/>
    <s v="Fulton Financial Corporation"/>
    <x v="3"/>
    <s v="Major Banks"/>
    <s v="$3.33B"/>
    <n v="3330000000"/>
    <n v="1698.18"/>
    <n v="19.52"/>
    <n v="132182960"/>
    <d v="2022-12-30T00:00:00"/>
    <s v="Complete"/>
  </r>
  <r>
    <s v="dmatteonib6"/>
    <s v="omniture.com"/>
    <s v="Domini"/>
    <s v="Matteoni"/>
    <s v="Female"/>
    <s v="Female"/>
    <s v="58.110.105.76"/>
    <s v="239.41.162.5"/>
    <n v="403"/>
    <n v="403"/>
    <s v="NASDAQ"/>
    <s v="TANNI"/>
    <s v="TravelCenters of America LLC"/>
    <x v="11"/>
    <s v="Automotive Aftermarket"/>
    <s v="N/A"/>
    <n v="0"/>
    <n v="1106.94"/>
    <n v="-3.55"/>
    <n v="90040685"/>
    <d v="2026-07-31T00:00:00"/>
    <s v="Missing"/>
  </r>
  <r>
    <s v="dpratorb7"/>
    <s v="icq.com"/>
    <s v="Dominic"/>
    <s v="Prator"/>
    <s v="Male"/>
    <s v="Male"/>
    <s v="164.197.169.192"/>
    <s v="72.157.216.178"/>
    <n v="404"/>
    <n v="404"/>
    <s v="NYSE"/>
    <s v="TPH"/>
    <s v="TRI Pointe Group, Inc."/>
    <x v="1"/>
    <s v="Homebuilding"/>
    <s v="$1.98B"/>
    <n v="1980000000"/>
    <n v="1237.97"/>
    <n v="4.37"/>
    <n v="34030734"/>
    <d v="2026-06-12T00:00:00"/>
    <s v="Complete"/>
  </r>
  <r>
    <s v="brenwickb8"/>
    <s v="ameblo.jp"/>
    <s v="Beilul"/>
    <s v="Renwick"/>
    <s v="Female"/>
    <s v="Female"/>
    <s v="150.211.227.42"/>
    <s v="196.7.157.204"/>
    <n v="405"/>
    <n v="405"/>
    <s v="NASDAQ"/>
    <s v="FMAO"/>
    <s v="Farmers &amp; Merchants Bancorp, Inc."/>
    <x v="3"/>
    <s v="Savings Institutions"/>
    <s v="$253.22M"/>
    <n v="253220000"/>
    <n v="1576.63"/>
    <n v="12.46"/>
    <n v="83580309"/>
    <d v="2026-05-23T00:00:00"/>
    <s v="Complete"/>
  </r>
  <r>
    <s v="tribbonb9"/>
    <s v="psu.edu"/>
    <s v="Trudie"/>
    <s v="Ribbon"/>
    <s v="Agender"/>
    <s v="Other"/>
    <s v="216.194.13.212"/>
    <s v="28.73.26.122"/>
    <n v="406"/>
    <n v="406"/>
    <s v="NASDAQ"/>
    <s v="HMNY"/>
    <s v="Helios and Matheson Analytics Inc"/>
    <x v="6"/>
    <s v="Other Consumer Services"/>
    <s v="$14.65M"/>
    <n v="14650000"/>
    <n v="1459.91"/>
    <n v="-3.91"/>
    <n v="102410747"/>
    <d v="2025-11-21T00:00:00"/>
    <s v="Complete"/>
  </r>
  <r>
    <s v="vbalwinba"/>
    <s v="google.ca"/>
    <s v="Valentin"/>
    <s v="Balwin"/>
    <s v="Male"/>
    <s v="Male"/>
    <s v="12.21.1.109"/>
    <s v="11.233.57.251"/>
    <n v="407"/>
    <n v="407"/>
    <s v="NYSE"/>
    <s v="AIC"/>
    <s v="Arlington Asset Investment Corp"/>
    <x v="3"/>
    <s v="Finance/Investors Services"/>
    <s v="N/A"/>
    <n v="0"/>
    <n v="1830.34"/>
    <n v="-2.2200000000000002"/>
    <n v="19091585"/>
    <d v="2020-01-29T00:00:00"/>
    <s v="Missing"/>
  </r>
  <r>
    <s v="bheightbb"/>
    <s v="hc360.com"/>
    <s v="Bree"/>
    <s v="Height"/>
    <s v="Female"/>
    <s v="Female"/>
    <s v="28.107.166.18"/>
    <s v="199.229.12.169"/>
    <n v="408"/>
    <n v="408"/>
    <s v="NASDAQ"/>
    <s v="MDIV"/>
    <s v="First Trust Multi-Asset Diversified Income Index Fund"/>
    <x v="2"/>
    <s v="N/A"/>
    <s v="$887.04M"/>
    <n v="887040000"/>
    <n v="1744.45"/>
    <n v="-16.09"/>
    <n v="35979213"/>
    <d v="2023-05-01T00:00:00"/>
    <s v="Missing"/>
  </r>
  <r>
    <s v="vralstonbc"/>
    <s v="t.co"/>
    <s v="Valina"/>
    <s v="Ralston"/>
    <s v="Female"/>
    <s v="Female"/>
    <s v="164.192.224.122"/>
    <s v="215.106.130.31"/>
    <n v="409"/>
    <n v="409"/>
    <s v="NYSE"/>
    <s v="FBM"/>
    <s v="Foundation Building Materials, Inc."/>
    <x v="6"/>
    <s v="RETAIL: Building Materials"/>
    <s v="$589.4M"/>
    <n v="589400000"/>
    <n v="1062.47"/>
    <n v="-2.52"/>
    <n v="165797719"/>
    <d v="2026-09-05T00:00:00"/>
    <s v="Complete"/>
  </r>
  <r>
    <s v="zworsleybd"/>
    <s v="abc.net.au"/>
    <s v="Zorana"/>
    <s v="Worsley"/>
    <s v="Female"/>
    <s v="Female"/>
    <s v="253.244.242.239"/>
    <s v="122.93.231.121"/>
    <n v="410"/>
    <n v="410"/>
    <s v="NASDAQ"/>
    <s v="IBCP"/>
    <s v="Independent Bank Corporation"/>
    <x v="3"/>
    <s v="Major Banks"/>
    <s v="$452.26M"/>
    <n v="452260000"/>
    <n v="1328.19"/>
    <n v="6.66"/>
    <n v="137122362"/>
    <d v="2022-09-15T00:00:00"/>
    <s v="Complete"/>
  </r>
  <r>
    <s v="cvanichkinbe"/>
    <s v="networksolutions.com"/>
    <s v="Carola"/>
    <s v="Vanichkin"/>
    <s v="Female"/>
    <s v="Female"/>
    <s v="61.82.193.120"/>
    <s v="33.173.223.156"/>
    <n v="411"/>
    <n v="411"/>
    <s v="NYSE"/>
    <s v="APF"/>
    <s v="Morgan Stanley Asia-Pacific Fund, Inc."/>
    <x v="2"/>
    <s v="N/A"/>
    <s v="$224.53M"/>
    <n v="224530000"/>
    <n v="285.01"/>
    <n v="-16.3"/>
    <n v="129580744"/>
    <d v="2022-02-08T00:00:00"/>
    <s v="Missing"/>
  </r>
  <r>
    <s v="avigrassbf"/>
    <s v="alexa.com"/>
    <s v="Analiese"/>
    <s v="Vigrass"/>
    <s v="Female"/>
    <s v="Female"/>
    <s v="202.194.144.72"/>
    <s v="4.199.196.192"/>
    <n v="412"/>
    <n v="412"/>
    <s v="NASDAQ"/>
    <s v="OHAI"/>
    <s v="OHA Investment Corporation"/>
    <x v="2"/>
    <s v="N/A"/>
    <s v="$24.59M"/>
    <n v="24590000"/>
    <n v="917.91"/>
    <n v="-3.97"/>
    <n v="186832584"/>
    <d v="2024-12-27T00:00:00"/>
    <s v="Missing"/>
  </r>
  <r>
    <s v="ckopacekbg"/>
    <s v="wisc.edu"/>
    <s v="Chick"/>
    <s v="Kopacek"/>
    <s v="Male"/>
    <s v="Male"/>
    <s v="163.94.38.6"/>
    <s v="115.110.56.63"/>
    <n v="413"/>
    <n v="413"/>
    <s v="NYSE"/>
    <s v="ARI"/>
    <s v="Apollo Commercial Real Estate Finance"/>
    <x v="6"/>
    <s v="Real Estate Investment Trusts"/>
    <s v="$2B"/>
    <n v="2000000000"/>
    <n v="1983.17"/>
    <n v="-11.54"/>
    <n v="130761263"/>
    <d v="2021-04-29T00:00:00"/>
    <s v="Complete"/>
  </r>
  <r>
    <s v="tspennockbh"/>
    <s v="webs.com"/>
    <s v="Tootsie"/>
    <s v="Spennock"/>
    <s v="Female"/>
    <s v="Female"/>
    <s v="80.135.219.159"/>
    <s v="135.198.53.194"/>
    <n v="414"/>
    <n v="414"/>
    <s v="NASDAQ"/>
    <s v="PIO"/>
    <s v="PowerShares Global Water Portfolio"/>
    <x v="2"/>
    <s v="N/A"/>
    <s v="$191.36M"/>
    <n v="191360000"/>
    <n v="102.86"/>
    <n v="-4.29"/>
    <n v="96355070"/>
    <d v="2022-07-02T00:00:00"/>
    <s v="Missing"/>
  </r>
  <r>
    <s v="rofearguisebi"/>
    <s v="51.la"/>
    <s v="Raphaela"/>
    <s v="O'Fearguise"/>
    <s v="Female"/>
    <s v="Female"/>
    <s v="254.175.94.213"/>
    <s v="128.253.157.63"/>
    <n v="415"/>
    <n v="415"/>
    <s v="NASDAQ"/>
    <s v="SPSC"/>
    <s v="SPS Commerce, Inc."/>
    <x v="4"/>
    <s v="Computer Software: Prepackaged Software"/>
    <s v="$1.04B"/>
    <n v="1040000000"/>
    <n v="840.33"/>
    <n v="-0.37"/>
    <n v="191683567"/>
    <d v="2025-04-25T00:00:00"/>
    <s v="Complete"/>
  </r>
  <r>
    <s v="ybambrickbj"/>
    <s v="godaddy.com"/>
    <s v="Yule"/>
    <s v="Bambrick"/>
    <s v="Male"/>
    <s v="Male"/>
    <s v="10.182.107.65"/>
    <s v="159.149.162.253"/>
    <n v="416"/>
    <n v="416"/>
    <s v="NASDAQ"/>
    <s v="TTS"/>
    <s v="Tile Shop Hldgs, Inc."/>
    <x v="6"/>
    <s v="Home Furnishings"/>
    <s v="$1.12B"/>
    <n v="1120000000"/>
    <n v="716"/>
    <n v="-15.53"/>
    <n v="3934377"/>
    <d v="2023-05-08T00:00:00"/>
    <s v="Complete"/>
  </r>
  <r>
    <s v="astylebk"/>
    <s v="deviantart.com"/>
    <s v="Adelaide"/>
    <s v="Style"/>
    <s v="Female"/>
    <s v="Female"/>
    <s v="46.101.151.167"/>
    <s v="140.90.145.114"/>
    <n v="417"/>
    <n v="417"/>
    <s v="NYSE"/>
    <s v="AXTA"/>
    <s v="Axalta Coating Systems Ltd."/>
    <x v="10"/>
    <s v="Paints/Coatings"/>
    <s v="$8.17B"/>
    <n v="8170000000"/>
    <n v="1990.65"/>
    <n v="-9.91"/>
    <n v="133461820"/>
    <d v="2021-04-13T00:00:00"/>
    <s v="Complete"/>
  </r>
  <r>
    <s v="bhagerghambl"/>
    <s v="nsw.gov.au"/>
    <s v="Barbaraanne"/>
    <s v="Hagergham"/>
    <s v="Agender"/>
    <s v="Other"/>
    <s v="2.180.235.115"/>
    <s v="236.123.247.118"/>
    <n v="418"/>
    <n v="418"/>
    <s v="NASDAQ"/>
    <s v="PULM"/>
    <s v="Pulmatrix, Inc."/>
    <x v="0"/>
    <s v="Major Pharmaceuticals"/>
    <s v="$45.78M"/>
    <n v="45780000"/>
    <n v="438.67"/>
    <n v="-6.02"/>
    <n v="96929690"/>
    <d v="2025-12-13T00:00:00"/>
    <s v="Complete"/>
  </r>
  <r>
    <s v="efeyerbm"/>
    <s v="ibm.com"/>
    <s v="Errol"/>
    <s v="Feyer"/>
    <s v="Male"/>
    <s v="Male"/>
    <s v="55.195.42.199"/>
    <s v="196.151.9.66"/>
    <n v="419"/>
    <n v="419"/>
    <s v="NASDAQ"/>
    <s v="GEC"/>
    <s v="Great Elm Capital Group, Inc. "/>
    <x v="4"/>
    <s v="Computer Software: Prepackaged Software"/>
    <s v="$80.04M"/>
    <n v="80040000"/>
    <n v="1456.17"/>
    <n v="6.51"/>
    <n v="81877094"/>
    <d v="2025-12-26T00:00:00"/>
    <s v="Complete"/>
  </r>
  <r>
    <s v="wgiddonsbn"/>
    <s v="businesswire.com"/>
    <s v="Whitney"/>
    <s v="Giddons"/>
    <s v="Female"/>
    <s v="Female"/>
    <s v="148.159.81.56"/>
    <s v="46.47.107.238"/>
    <n v="420"/>
    <n v="420"/>
    <s v="NASDAQ"/>
    <s v="EYEGW"/>
    <s v="Eyegate Pharmaceuticals, Inc."/>
    <x v="0"/>
    <s v="Major Pharmaceuticals"/>
    <s v="N/A"/>
    <n v="0"/>
    <n v="442.42"/>
    <n v="-16.829999999999998"/>
    <n v="146851254"/>
    <d v="2021-10-04T00:00:00"/>
    <s v="Missing"/>
  </r>
  <r>
    <s v="crugglesbo"/>
    <s v="wikimedia.org"/>
    <s v="Calhoun"/>
    <s v="Ruggles"/>
    <s v="Male"/>
    <s v="Male"/>
    <s v="200.53.164.73"/>
    <s v="0.52.195.109"/>
    <n v="421"/>
    <n v="421"/>
    <s v="NASDAQ"/>
    <s v="SMSI"/>
    <s v="Smith Micro Software, Inc."/>
    <x v="4"/>
    <s v="Computer Software: Prepackaged Software"/>
    <s v="$16.06M"/>
    <n v="16059999.999999998"/>
    <n v="1675.52"/>
    <n v="13.57"/>
    <n v="105082102"/>
    <d v="2020-11-25T00:00:00"/>
    <s v="Complete"/>
  </r>
  <r>
    <s v="cjacobsenbp"/>
    <s v="chicagotribune.com"/>
    <s v="Chaddy"/>
    <s v="Jacobsen"/>
    <s v="Male"/>
    <s v="Male"/>
    <s v="62.248.247.25"/>
    <s v="165.34.122.246"/>
    <n v="422"/>
    <n v="422"/>
    <s v="NYSE"/>
    <s v="PE"/>
    <s v="Parsley Energy, Inc."/>
    <x v="9"/>
    <s v="Oil &amp; Gas Production"/>
    <s v="$8.13B"/>
    <n v="8130000000.000001"/>
    <n v="332.13"/>
    <n v="6.83"/>
    <n v="34228349"/>
    <d v="2020-12-21T00:00:00"/>
    <s v="Complete"/>
  </r>
  <r>
    <s v="mcopcuttbq"/>
    <s v="paypal.com"/>
    <s v="Melonie"/>
    <s v="Copcutt"/>
    <s v="Female"/>
    <s v="Female"/>
    <s v="217.56.142.113"/>
    <s v="46.1.12.22"/>
    <n v="423"/>
    <n v="423"/>
    <s v="NYSE"/>
    <s v="BBY"/>
    <s v="Best Buy Co., Inc."/>
    <x v="6"/>
    <s v="Consumer Electronics/Video Chains"/>
    <s v="$16.97B"/>
    <n v="16969999999.999998"/>
    <n v="1041.68"/>
    <n v="0.88"/>
    <n v="62240153"/>
    <d v="2026-12-18T00:00:00"/>
    <s v="Complete"/>
  </r>
  <r>
    <s v="weulerbr"/>
    <s v="people.com.cn"/>
    <s v="Wynn"/>
    <s v="Euler"/>
    <s v="Female"/>
    <s v="Female"/>
    <s v="226.115.33.37"/>
    <s v="12.170.74.254"/>
    <n v="424"/>
    <n v="424"/>
    <s v="NASDAQ"/>
    <s v="MTEX"/>
    <s v="Mannatech, Incorporated"/>
    <x v="11"/>
    <s v="Specialty Chemicals"/>
    <s v="$36.87M"/>
    <n v="36870000"/>
    <n v="1824.24"/>
    <n v="-5.31"/>
    <n v="41299599"/>
    <d v="2021-01-07T00:00:00"/>
    <s v="Complete"/>
  </r>
  <r>
    <s v="esimonetonbs"/>
    <s v="sciencedirect.com"/>
    <s v="Eugenia"/>
    <s v="Simoneton"/>
    <s v="Female"/>
    <s v="Female"/>
    <s v="203.211.129.124"/>
    <s v="112.11.205.118"/>
    <n v="425"/>
    <n v="425"/>
    <s v="NASDAQ"/>
    <s v="ECPG"/>
    <s v="Encore Capital Group Inc"/>
    <x v="3"/>
    <s v="Finance Companies"/>
    <s v="$996.04M"/>
    <n v="996040000"/>
    <n v="946.88"/>
    <n v="-2.1"/>
    <n v="125665593"/>
    <d v="2020-04-01T00:00:00"/>
    <s v="Complete"/>
  </r>
  <r>
    <s v="mbrittenbt"/>
    <s v="ocn.ne.jp"/>
    <s v="Meade"/>
    <s v="Britten"/>
    <s v="Male"/>
    <s v="Male"/>
    <s v="104.117.42.141"/>
    <s v="192.246.117.156"/>
    <n v="426"/>
    <n v="426"/>
    <s v="NYSE"/>
    <s v="AGX"/>
    <s v="Argan, Inc."/>
    <x v="10"/>
    <s v="Engineering &amp; Construction"/>
    <s v="$947.48M"/>
    <n v="947480000"/>
    <n v="1067.47"/>
    <n v="-8.69"/>
    <n v="47206823"/>
    <d v="2022-04-01T00:00:00"/>
    <s v="Complete"/>
  </r>
  <r>
    <s v="jciottoibu"/>
    <s v="dell.com"/>
    <s v="Jillana"/>
    <s v="Ciottoi"/>
    <s v="Female"/>
    <s v="Female"/>
    <s v="108.93.205.99"/>
    <s v="161.132.43.97"/>
    <n v="427"/>
    <n v="427"/>
    <s v="NYSE"/>
    <s v="QEP"/>
    <s v="QEP Resources, Inc."/>
    <x v="9"/>
    <s v="Oil &amp; Gas Production"/>
    <s v="$2.18B"/>
    <n v="2180000000"/>
    <n v="943.29"/>
    <n v="2.42"/>
    <n v="99393664"/>
    <d v="2020-11-30T00:00:00"/>
    <s v="Complete"/>
  </r>
  <r>
    <s v="msaurabv"/>
    <s v="ycombinator.com"/>
    <s v="Matt"/>
    <s v="Saura"/>
    <s v="Male"/>
    <s v="Male"/>
    <s v="3.225.88.56"/>
    <s v="85.97.189.231"/>
    <n v="428"/>
    <n v="428"/>
    <s v="NYSE"/>
    <s v="IR"/>
    <s v="Ingersoll-Rand plc (Ireland)"/>
    <x v="1"/>
    <s v="Auto Parts:O.E.M."/>
    <s v="$23.64B"/>
    <n v="23640000000"/>
    <n v="1121.92"/>
    <n v="-12.3"/>
    <n v="59215703"/>
    <d v="2020-01-07T00:00:00"/>
    <s v="Complete"/>
  </r>
  <r>
    <s v="hhannbw"/>
    <s v="ucoz.com"/>
    <s v="Heather"/>
    <s v="Hann"/>
    <s v="Female"/>
    <s v="Female"/>
    <s v="220.20.194.1"/>
    <s v="135.181.60.22"/>
    <n v="429"/>
    <n v="429"/>
    <s v="NYSE"/>
    <s v="SCHW^C"/>
    <s v="The Charles Schwab Corporation"/>
    <x v="2"/>
    <s v="N/A"/>
    <s v="N/A"/>
    <n v="0"/>
    <n v="324.04000000000002"/>
    <n v="3.54"/>
    <n v="190067085"/>
    <d v="2024-05-27T00:00:00"/>
    <s v="Missing"/>
  </r>
  <r>
    <s v="bdickingsbx"/>
    <s v="opera.com"/>
    <s v="Boonie"/>
    <s v="Dickings"/>
    <s v="Male"/>
    <s v="Male"/>
    <s v="2.4.43.92"/>
    <s v="161.214.211.68"/>
    <n v="430"/>
    <n v="430"/>
    <s v="NYSE"/>
    <s v="NFX"/>
    <s v="Newfield Exploration Company"/>
    <x v="9"/>
    <s v="Oil &amp; Gas Production"/>
    <s v="$5.84B"/>
    <n v="5840000000"/>
    <n v="1002.06"/>
    <n v="-9.65"/>
    <n v="20391427"/>
    <d v="2026-10-03T00:00:00"/>
    <s v="Complete"/>
  </r>
  <r>
    <s v="cogilvieby"/>
    <s v="java.com"/>
    <s v="Codie"/>
    <s v="Ogilvie"/>
    <s v="Genderfluid"/>
    <s v="Other"/>
    <s v="251.32.145.236"/>
    <s v="196.82.137.134"/>
    <n v="431"/>
    <n v="431"/>
    <s v="NYSE"/>
    <s v="COH"/>
    <s v="Coach, Inc."/>
    <x v="5"/>
    <s v="Apparel"/>
    <s v="$13B"/>
    <n v="13000000000"/>
    <n v="1287.8"/>
    <n v="-0.59"/>
    <n v="193765243"/>
    <d v="2024-04-10T00:00:00"/>
    <s v="Complete"/>
  </r>
  <r>
    <s v="ascneiderbz"/>
    <s v="wikia.com"/>
    <s v="Adams"/>
    <s v="Scneider"/>
    <s v="Male"/>
    <s v="Male"/>
    <s v="211.3.170.23"/>
    <s v="19.87.68.204"/>
    <n v="432"/>
    <n v="432"/>
    <s v="NYSE"/>
    <s v="CMC"/>
    <s v="Commercial Metals Company"/>
    <x v="10"/>
    <s v="Steel/Iron Ore"/>
    <s v="$2.17B"/>
    <n v="2170000000"/>
    <n v="108.88"/>
    <n v="0.71"/>
    <n v="11340720"/>
    <d v="2025-12-10T00:00:00"/>
    <s v="Complete"/>
  </r>
  <r>
    <s v="kpedriellic0"/>
    <s v="icio.us"/>
    <s v="Kelvin"/>
    <s v="Pedrielli"/>
    <s v="Male"/>
    <s v="Male"/>
    <s v="221.177.36.40"/>
    <s v="201.75.231.223"/>
    <n v="433"/>
    <n v="433"/>
    <s v="NYSE"/>
    <s v="CI"/>
    <s v="Cigna Corporation"/>
    <x v="0"/>
    <s v="Medical Specialities"/>
    <s v="$43.29B"/>
    <n v="43290000000"/>
    <n v="809.56"/>
    <n v="1.02"/>
    <n v="90132494"/>
    <d v="2024-12-21T00:00:00"/>
    <s v="Complete"/>
  </r>
  <r>
    <s v="mtallentc1"/>
    <s v="foxnews.com"/>
    <s v="Maridel"/>
    <s v="Tallent"/>
    <s v="Female"/>
    <s v="Female"/>
    <s v="19.89.211.181"/>
    <s v="10.180.184.93"/>
    <n v="434"/>
    <n v="434"/>
    <s v="NYSE"/>
    <s v="ERF"/>
    <s v="Enerplus Corporation"/>
    <x v="9"/>
    <s v="Oil &amp; Gas Production"/>
    <s v="$1.95B"/>
    <n v="1950000000"/>
    <n v="1154.6300000000001"/>
    <n v="8.0399999999999991"/>
    <n v="60900612"/>
    <d v="2026-07-27T00:00:00"/>
    <s v="Complete"/>
  </r>
  <r>
    <s v="gcotelardc2"/>
    <s v="miibeian.gov.cn"/>
    <s v="Grove"/>
    <s v="Cotelard"/>
    <s v="Male"/>
    <s v="Male"/>
    <s v="169.56.122.96"/>
    <s v="253.111.179.201"/>
    <n v="435"/>
    <n v="435"/>
    <s v="NASDAQ"/>
    <s v="ATHX"/>
    <s v="Athersys, Inc."/>
    <x v="0"/>
    <s v="Major Pharmaceuticals"/>
    <s v="$158.07M"/>
    <n v="158070000"/>
    <n v="1999.16"/>
    <n v="-19.899999999999999"/>
    <n v="96827835"/>
    <d v="2026-08-07T00:00:00"/>
    <s v="Complete"/>
  </r>
  <r>
    <s v="lskentelburyc3"/>
    <s v="gmpg.org"/>
    <s v="Lilith"/>
    <s v="Skentelbury"/>
    <s v="Female"/>
    <s v="Female"/>
    <s v="45.53.114.84"/>
    <s v="90.204.232.214"/>
    <n v="436"/>
    <n v="436"/>
    <s v="NYSE"/>
    <s v="FCE.A"/>
    <s v="Forest City Realty Trust, Inc."/>
    <x v="2"/>
    <s v="N/A"/>
    <s v="N/A"/>
    <n v="0"/>
    <n v="261.47000000000003"/>
    <n v="4.93"/>
    <n v="156625431"/>
    <d v="2022-06-11T00:00:00"/>
    <s v="Missing"/>
  </r>
  <r>
    <s v="dtantic4"/>
    <s v="cnn.com"/>
    <s v="Dorotea"/>
    <s v="Tanti"/>
    <s v="Female"/>
    <s v="Female"/>
    <s v="207.122.200.123"/>
    <s v="88.110.21.130"/>
    <n v="437"/>
    <n v="437"/>
    <s v="NASDAQ"/>
    <s v="CRDS"/>
    <s v="Crossroads Systems, Inc."/>
    <x v="4"/>
    <s v="Computer peripheral equipment"/>
    <s v="$2.32M"/>
    <n v="2320000"/>
    <n v="453"/>
    <n v="7.19"/>
    <n v="83137898"/>
    <d v="2024-12-16T00:00:00"/>
    <s v="Complete"/>
  </r>
  <r>
    <s v="kprandoc5"/>
    <s v="sitemeter.com"/>
    <s v="Kristoffer"/>
    <s v="Prando"/>
    <s v="Male"/>
    <s v="Male"/>
    <s v="214.149.173.95"/>
    <s v="214.225.179.88"/>
    <n v="438"/>
    <n v="438"/>
    <s v="NYSE"/>
    <s v="VAC"/>
    <s v="Marriot Vacations Worldwide Corporation"/>
    <x v="3"/>
    <s v="Real Estate"/>
    <s v="$3.28B"/>
    <n v="3280000000"/>
    <n v="1297.5899999999999"/>
    <n v="18.04"/>
    <n v="23934221"/>
    <d v="2023-08-25T00:00:00"/>
    <s v="Complete"/>
  </r>
  <r>
    <s v="sjanningc6"/>
    <s v="howstuffworks.com"/>
    <s v="Susannah"/>
    <s v="Janning"/>
    <s v="Female"/>
    <s v="Female"/>
    <s v="22.237.177.66"/>
    <s v="75.176.17.210"/>
    <n v="439"/>
    <n v="439"/>
    <s v="NYSE"/>
    <s v="SMLP"/>
    <s v="Summit Midstream Partners, LP"/>
    <x v="8"/>
    <s v="Natural Gas Distribution"/>
    <s v="$1.7B"/>
    <n v="1700000000"/>
    <n v="647.07000000000005"/>
    <n v="-6.72"/>
    <n v="116737498"/>
    <d v="2025-09-18T00:00:00"/>
    <s v="Complete"/>
  </r>
  <r>
    <s v="jsurgeonerc7"/>
    <s v="woothemes.com"/>
    <s v="Jaye"/>
    <s v="Surgeoner"/>
    <s v="Male"/>
    <s v="Male"/>
    <s v="152.37.92.79"/>
    <s v="156.217.94.137"/>
    <n v="440"/>
    <n v="440"/>
    <s v="NYSE"/>
    <s v="STI^E"/>
    <s v="SunTrust Banks, Inc."/>
    <x v="2"/>
    <s v="N/A"/>
    <s v="N/A"/>
    <n v="0"/>
    <n v="1340.28"/>
    <n v="-12.12"/>
    <n v="66026382"/>
    <d v="2020-03-10T00:00:00"/>
    <s v="Missing"/>
  </r>
  <r>
    <s v="lperinc8"/>
    <s v="timesonline.co.uk"/>
    <s v="Leonard"/>
    <s v="Perin"/>
    <s v="Male"/>
    <s v="Male"/>
    <s v="105.136.51.142"/>
    <s v="225.51.108.165"/>
    <n v="441"/>
    <n v="441"/>
    <s v="NASDAQ"/>
    <s v="FSLR"/>
    <s v="First Solar, Inc."/>
    <x v="4"/>
    <s v="Semiconductors"/>
    <s v="$3.74B"/>
    <n v="3740000000"/>
    <n v="49.93"/>
    <n v="-15.01"/>
    <n v="195169821"/>
    <d v="2025-05-25T00:00:00"/>
    <s v="Complete"/>
  </r>
  <r>
    <s v="wneesamc9"/>
    <s v="over-blog.com"/>
    <s v="Wendi"/>
    <s v="Neesam"/>
    <s v="Female"/>
    <s v="Female"/>
    <s v="147.182.23.213"/>
    <s v="79.136.36.15"/>
    <n v="442"/>
    <n v="442"/>
    <s v="NYSE"/>
    <s v="EMES"/>
    <s v="Emerge Energy Services LP"/>
    <x v="10"/>
    <s v="Mining &amp; Quarrying of Nonmetallic Minerals (No Fuels)"/>
    <s v="$264.33M"/>
    <n v="264329999.99999997"/>
    <n v="1527.07"/>
    <n v="5.3"/>
    <n v="181042186"/>
    <d v="2023-01-02T00:00:00"/>
    <s v="Complete"/>
  </r>
  <r>
    <s v="sjosefsonca"/>
    <s v="amazon.co.uk"/>
    <s v="Storm"/>
    <s v="Josefson"/>
    <s v="Female"/>
    <s v="Female"/>
    <s v="169.248.6.32"/>
    <s v="192.121.250.16"/>
    <n v="443"/>
    <n v="443"/>
    <s v="NASDAQ"/>
    <s v="STRS"/>
    <s v="Stratus Properties Inc."/>
    <x v="6"/>
    <s v="Homebuilding"/>
    <s v="$227.14M"/>
    <n v="227140000"/>
    <n v="1358.36"/>
    <n v="17.52"/>
    <n v="5602159"/>
    <d v="2024-12-17T00:00:00"/>
    <s v="Complete"/>
  </r>
  <r>
    <s v="msheppeycb"/>
    <s v="engadget.com"/>
    <s v="Monroe"/>
    <s v="Sheppey"/>
    <s v="Male"/>
    <s v="Male"/>
    <s v="83.173.70.215"/>
    <s v="6.94.220.121"/>
    <n v="444"/>
    <n v="444"/>
    <s v="NASDAQ"/>
    <s v="SPOK"/>
    <s v="Spok Holdings, Inc."/>
    <x v="8"/>
    <s v="Telecommunications Equipment"/>
    <s v="$371.61M"/>
    <n v="371610000"/>
    <n v="274.07"/>
    <n v="-19.2"/>
    <n v="2433838"/>
    <d v="2025-03-27T00:00:00"/>
    <s v="Complete"/>
  </r>
  <r>
    <s v="akubatschcc"/>
    <s v="pcworld.com"/>
    <s v="Arthur"/>
    <s v="Kubatsch"/>
    <s v="Male"/>
    <s v="Male"/>
    <s v="239.95.90.233"/>
    <s v="206.206.175.93"/>
    <n v="445"/>
    <n v="445"/>
    <s v="NASDAQ"/>
    <s v="TVIX"/>
    <s v="VelocityShares Daily 2x VIX Short-Term ETN"/>
    <x v="3"/>
    <s v="Investment Bankers/Brokers/Service"/>
    <s v="$198.29M"/>
    <n v="198290000"/>
    <n v="461.55"/>
    <n v="2.89"/>
    <n v="29354348"/>
    <d v="2026-12-01T00:00:00"/>
    <s v="Complete"/>
  </r>
  <r>
    <s v="gkyndcd"/>
    <s v="samsung.com"/>
    <s v="Glori"/>
    <s v="Kynd"/>
    <s v="Genderqueer"/>
    <s v="Other"/>
    <s v="21.1.253.175"/>
    <s v="101.119.57.118"/>
    <n v="446"/>
    <n v="446"/>
    <s v="NYSE"/>
    <s v="WPXP"/>
    <s v="WPX Energy, Inc."/>
    <x v="9"/>
    <s v="Oil &amp; Gas Production"/>
    <s v="N/A"/>
    <n v="0"/>
    <n v="1597.42"/>
    <n v="14.1"/>
    <n v="104797684"/>
    <d v="2024-03-31T00:00:00"/>
    <s v="Missing"/>
  </r>
  <r>
    <s v="apeterkence"/>
    <s v="wiley.com"/>
    <s v="Allene"/>
    <s v="Peterken"/>
    <s v="Female"/>
    <s v="Female"/>
    <s v="73.9.181.158"/>
    <s v="122.190.62.97"/>
    <n v="447"/>
    <n v="447"/>
    <s v="NYSE"/>
    <s v="AGN"/>
    <s v="Allergan plc."/>
    <x v="0"/>
    <s v="Major Pharmaceuticals"/>
    <s v="$79.09B"/>
    <n v="79090000000"/>
    <n v="43.77"/>
    <n v="4.9800000000000004"/>
    <n v="85361147"/>
    <d v="2020-08-22T00:00:00"/>
    <s v="Complete"/>
  </r>
  <r>
    <s v="chushcf"/>
    <s v="xinhuanet.com"/>
    <s v="Carolin"/>
    <s v="Hush"/>
    <s v="Female"/>
    <s v="Female"/>
    <s v="87.120.100.88"/>
    <s v="138.96.47.160"/>
    <n v="448"/>
    <n v="448"/>
    <s v="NYSE"/>
    <s v="AIB"/>
    <s v="Apollo Investment Corporation"/>
    <x v="2"/>
    <s v="N/A"/>
    <s v="N/A"/>
    <n v="0"/>
    <n v="1452.05"/>
    <n v="-15.12"/>
    <n v="80097343"/>
    <d v="2022-06-19T00:00:00"/>
    <s v="Missing"/>
  </r>
  <r>
    <s v="fpinckneycg"/>
    <s v="cbsnews.com"/>
    <s v="Finlay"/>
    <s v="Pinckney"/>
    <s v="Male"/>
    <s v="Male"/>
    <s v="160.97.244.61"/>
    <s v="195.160.164.197"/>
    <n v="449"/>
    <n v="449"/>
    <s v="NYSE"/>
    <s v="ECA"/>
    <s v="Encana Corporation"/>
    <x v="9"/>
    <s v="Oil &amp; Gas Production"/>
    <s v="$8.55B"/>
    <n v="8550000000.000001"/>
    <n v="1487.72"/>
    <n v="-12.15"/>
    <n v="124314201"/>
    <d v="2024-06-20T00:00:00"/>
    <s v="Complete"/>
  </r>
  <r>
    <s v="jharsentch"/>
    <s v="tripadvisor.com"/>
    <s v="Janka"/>
    <s v="Harsent"/>
    <s v="Female"/>
    <s v="Female"/>
    <s v="160.49.162.89"/>
    <s v="234.163.233.32"/>
    <n v="450"/>
    <n v="450"/>
    <s v="NYSE"/>
    <s v="UAL"/>
    <s v="United Continental Holdings, Inc."/>
    <x v="12"/>
    <s v="Air Freight/Delivery Services"/>
    <s v="$23.78B"/>
    <n v="23780000000"/>
    <n v="351.45"/>
    <n v="7.23"/>
    <n v="10928831"/>
    <d v="2022-05-15T00:00:00"/>
    <s v="Complete"/>
  </r>
  <r>
    <s v="bskyppeci"/>
    <s v="miibeian.gov.cn"/>
    <s v="Blinnie"/>
    <s v="Skyppe"/>
    <s v="Female"/>
    <s v="Female"/>
    <s v="133.180.171.48"/>
    <s v="253.148.169.100"/>
    <n v="451"/>
    <n v="451"/>
    <s v="NASDAQ"/>
    <s v="ORIT"/>
    <s v="Oritani Financial Corp."/>
    <x v="3"/>
    <s v="Major Banks"/>
    <s v="$791.4M"/>
    <n v="791400000"/>
    <n v="1934.59"/>
    <n v="-8.67"/>
    <n v="13472231"/>
    <d v="2021-07-11T00:00:00"/>
    <s v="Complete"/>
  </r>
  <r>
    <s v="lreiskcj"/>
    <s v="mashable.com"/>
    <s v="Linc"/>
    <s v="Reisk"/>
    <s v="Male"/>
    <s v="Male"/>
    <s v="231.226.134.231"/>
    <s v="63.193.5.29"/>
    <n v="452"/>
    <n v="452"/>
    <s v="NASDAQ"/>
    <s v="TIVO"/>
    <s v="TiVo Corporation"/>
    <x v="7"/>
    <s v="Multi-Sector Companies"/>
    <s v="$2.25B"/>
    <n v="2250000000"/>
    <n v="1660.51"/>
    <n v="-14.25"/>
    <n v="175370241"/>
    <d v="2021-02-07T00:00:00"/>
    <s v="Complete"/>
  </r>
  <r>
    <s v="dstuddeardck"/>
    <s v="blog.com"/>
    <s v="Davie"/>
    <s v="Studdeard"/>
    <s v="Male"/>
    <s v="Male"/>
    <s v="56.38.187.250"/>
    <s v="71.78.242.17"/>
    <n v="453"/>
    <n v="453"/>
    <s v="NYSE"/>
    <s v="IGR"/>
    <s v="CBRE Clarion Global Real Estate Income Fund"/>
    <x v="2"/>
    <s v="N/A"/>
    <s v="$908.24M"/>
    <n v="908240000"/>
    <n v="454.84"/>
    <n v="-13.03"/>
    <n v="75288773"/>
    <d v="2023-11-25T00:00:00"/>
    <s v="Missing"/>
  </r>
  <r>
    <s v="ftrewarthacl"/>
    <s v="cnbc.com"/>
    <s v="Forester"/>
    <s v="Trewartha"/>
    <s v="Male"/>
    <s v="Male"/>
    <s v="228.251.230.74"/>
    <s v="155.163.41.189"/>
    <n v="454"/>
    <n v="454"/>
    <s v="NYSE"/>
    <s v="GWR"/>
    <s v="Genesee &amp; Wyoming, Inc."/>
    <x v="12"/>
    <s v="Railroads"/>
    <s v="$4.18B"/>
    <n v="4179999999.9999995"/>
    <n v="580.78"/>
    <n v="-15.78"/>
    <n v="79487020"/>
    <d v="2021-09-12T00:00:00"/>
    <s v="Complete"/>
  </r>
  <r>
    <s v="chindsbergcm"/>
    <s v="nymag.com"/>
    <s v="Crawford"/>
    <s v="Hindsberg"/>
    <s v="Male"/>
    <s v="Male"/>
    <s v="53.30.136.100"/>
    <s v="26.1.94.239"/>
    <n v="455"/>
    <n v="455"/>
    <s v="NYSE"/>
    <s v="KRC^H"/>
    <s v="Kilroy Realty Corporation"/>
    <x v="2"/>
    <s v="N/A"/>
    <s v="N/A"/>
    <n v="0"/>
    <n v="1965.6"/>
    <n v="17.14"/>
    <n v="48717191"/>
    <d v="2023-09-01T00:00:00"/>
    <s v="Missing"/>
  </r>
  <r>
    <s v="ashankcn"/>
    <s v="github.io"/>
    <s v="Armin"/>
    <s v="Shank"/>
    <s v="Male"/>
    <s v="Male"/>
    <s v="135.34.11.233"/>
    <s v="123.247.253.151"/>
    <n v="456"/>
    <n v="456"/>
    <s v="NYSE"/>
    <s v="COTV"/>
    <s v="Cotiviti Holdings, Inc."/>
    <x v="7"/>
    <s v="Business Services"/>
    <s v="$3.5B"/>
    <n v="3500000000"/>
    <n v="1800.93"/>
    <n v="-9.25"/>
    <n v="161039362"/>
    <d v="2020-10-02T00:00:00"/>
    <s v="Complete"/>
  </r>
  <r>
    <s v="ksebrightco"/>
    <s v="china.com.cn"/>
    <s v="Kimberlyn"/>
    <s v="Sebright"/>
    <s v="Female"/>
    <s v="Female"/>
    <s v="224.93.133.133"/>
    <s v="154.99.201.27"/>
    <n v="457"/>
    <n v="457"/>
    <s v="NYSE"/>
    <s v="TNP"/>
    <s v="Tsakos Energy Navigation Ltd"/>
    <x v="12"/>
    <s v="Marine Transportation"/>
    <s v="$366.58M"/>
    <n v="366580000"/>
    <n v="1443.41"/>
    <n v="-1.28"/>
    <n v="94754140"/>
    <d v="2023-09-09T00:00:00"/>
    <s v="Complete"/>
  </r>
  <r>
    <s v="rdroogancp"/>
    <s v="wordpress.org"/>
    <s v="Rockwell"/>
    <s v="Droogan"/>
    <s v="Male"/>
    <s v="Male"/>
    <s v="240.31.92.93"/>
    <s v="87.79.159.168"/>
    <n v="458"/>
    <n v="458"/>
    <s v="NASDAQ"/>
    <s v="CPTAG"/>
    <s v="Capitala Finance Corp."/>
    <x v="2"/>
    <s v="N/A"/>
    <s v="N/A"/>
    <n v="0"/>
    <n v="1399.05"/>
    <n v="-5.82"/>
    <n v="44936557"/>
    <d v="2020-03-10T00:00:00"/>
    <s v="Missing"/>
  </r>
  <r>
    <s v="tkornelcq"/>
    <s v="ameblo.jp"/>
    <s v="Terri"/>
    <s v="Kornel"/>
    <s v="Female"/>
    <s v="Female"/>
    <s v="241.192.36.185"/>
    <s v="36.197.168.199"/>
    <n v="459"/>
    <n v="459"/>
    <s v="NASDAQ"/>
    <s v="VICR"/>
    <s v="Vicor Corporation"/>
    <x v="1"/>
    <s v="Industrial Machinery/Components"/>
    <s v="$756.67M"/>
    <n v="756670000"/>
    <n v="384.27"/>
    <n v="4.95"/>
    <n v="28302020"/>
    <d v="2025-09-05T00:00:00"/>
    <s v="Complete"/>
  </r>
  <r>
    <s v="sbendincr"/>
    <s v="altervista.org"/>
    <s v="Shepherd"/>
    <s v="Bendin"/>
    <s v="Male"/>
    <s v="Male"/>
    <s v="130.13.178.236"/>
    <s v="214.178.99.125"/>
    <n v="460"/>
    <n v="460"/>
    <s v="NYSE"/>
    <s v="CMRE^B"/>
    <s v="Costamare Inc."/>
    <x v="2"/>
    <s v="N/A"/>
    <s v="N/A"/>
    <n v="0"/>
    <n v="952.84"/>
    <n v="16.09"/>
    <n v="224555"/>
    <d v="2022-08-03T00:00:00"/>
    <s v="Missing"/>
  </r>
  <r>
    <s v="gizakovcs"/>
    <s v="sina.com.cn"/>
    <s v="Gael"/>
    <s v="Izakov"/>
    <s v="Male"/>
    <s v="Male"/>
    <s v="254.119.192.182"/>
    <s v="201.26.1.126"/>
    <n v="461"/>
    <n v="461"/>
    <s v="NYSE"/>
    <s v="LXU"/>
    <s v="Lsb Industries Inc."/>
    <x v="10"/>
    <s v="Major Chemicals"/>
    <s v="$295.41M"/>
    <n v="295410000"/>
    <n v="1512.04"/>
    <n v="2.4300000000000002"/>
    <n v="85931965"/>
    <d v="2022-08-03T00:00:00"/>
    <s v="Complete"/>
  </r>
  <r>
    <s v="sbatchct"/>
    <s v="ftc.gov"/>
    <s v="Seth"/>
    <s v="Batch"/>
    <s v="Male"/>
    <s v="Male"/>
    <s v="179.108.29.142"/>
    <s v="72.19.40.247"/>
    <n v="462"/>
    <n v="462"/>
    <s v="NYSE"/>
    <s v="HAL"/>
    <s v="Halliburton Company"/>
    <x v="9"/>
    <s v="Oilfield Services/Equipment"/>
    <s v="$38.42B"/>
    <n v="38420000000"/>
    <n v="604.69000000000005"/>
    <n v="5.83"/>
    <n v="79344750"/>
    <d v="2024-09-26T00:00:00"/>
    <s v="Complete"/>
  </r>
  <r>
    <s v="swahlbergcu"/>
    <s v="mozilla.com"/>
    <s v="Salem"/>
    <s v="Wahlberg"/>
    <s v="Male"/>
    <s v="Male"/>
    <s v="150.138.249.39"/>
    <s v="212.63.97.190"/>
    <n v="463"/>
    <n v="463"/>
    <s v="NASDAQ"/>
    <s v="CNSL"/>
    <s v="Consolidated Communications Holdings, Inc."/>
    <x v="8"/>
    <s v="Telecommunications Equipment"/>
    <s v="$1.09B"/>
    <n v="1090000000"/>
    <n v="622.30999999999995"/>
    <n v="-1.41"/>
    <n v="34110871"/>
    <d v="2024-07-26T00:00:00"/>
    <s v="Complete"/>
  </r>
  <r>
    <s v="reldincv"/>
    <s v="reference.com"/>
    <s v="Raina"/>
    <s v="Eldin"/>
    <s v="Female"/>
    <s v="Female"/>
    <s v="34.141.141.52"/>
    <s v="183.93.57.194"/>
    <n v="464"/>
    <n v="464"/>
    <s v="NASDAQ"/>
    <s v="JASO"/>
    <s v="JA Solar Holdings, Co., Ltd."/>
    <x v="4"/>
    <s v="Semiconductors"/>
    <s v="$301.6M"/>
    <n v="301600000"/>
    <n v="1299.08"/>
    <n v="0.66"/>
    <n v="104126248"/>
    <d v="2024-12-31T00:00:00"/>
    <s v="Complete"/>
  </r>
  <r>
    <s v="zplankcw"/>
    <s v="miibeian.gov.cn"/>
    <s v="Zorine"/>
    <s v="Plank"/>
    <s v="Female"/>
    <s v="Female"/>
    <s v="132.154.11.111"/>
    <s v="131.153.224.35"/>
    <n v="465"/>
    <n v="465"/>
    <s v="NYSE"/>
    <s v="BFR"/>
    <s v="BBVA Banco Frances S.A."/>
    <x v="3"/>
    <s v="Commercial Banks"/>
    <s v="$3.47B"/>
    <n v="3470000000"/>
    <n v="1851.12"/>
    <n v="2.84"/>
    <n v="49134280"/>
    <d v="2021-07-21T00:00:00"/>
    <s v="Complete"/>
  </r>
  <r>
    <s v="fvispocx"/>
    <s v="1688.com"/>
    <s v="Farly"/>
    <s v="Vispo"/>
    <s v="Male"/>
    <s v="Male"/>
    <s v="129.140.69.126"/>
    <s v="14.91.75.204"/>
    <n v="466"/>
    <n v="466"/>
    <s v="NYSE"/>
    <s v="TGT"/>
    <s v="Target Corporation"/>
    <x v="6"/>
    <s v="Department/Specialty Retail Stores"/>
    <s v="$29.03B"/>
    <n v="29030000000"/>
    <n v="991.71"/>
    <n v="2.46"/>
    <n v="190369679"/>
    <d v="2020-07-03T00:00:00"/>
    <s v="Complete"/>
  </r>
  <r>
    <s v="ctawncy"/>
    <s v="yandex.ru"/>
    <s v="Corissa"/>
    <s v="Tawn"/>
    <s v="Female"/>
    <s v="Female"/>
    <s v="1.81.253.191"/>
    <s v="12.144.62.154"/>
    <n v="467"/>
    <n v="467"/>
    <s v="NYSE"/>
    <s v="BLX"/>
    <s v="Banco Latinoamericano de Comercio Exterior, S.A."/>
    <x v="3"/>
    <s v="Commercial Banks"/>
    <s v="$1.1B"/>
    <n v="1100000000"/>
    <n v="1518.69"/>
    <n v="17.43"/>
    <n v="120505412"/>
    <d v="2026-06-13T00:00:00"/>
    <s v="Complete"/>
  </r>
  <r>
    <s v="amacgianycz"/>
    <s v="cpanel.net"/>
    <s v="Alexine"/>
    <s v="MacGiany"/>
    <s v="Female"/>
    <s v="Female"/>
    <s v="204.160.172.233"/>
    <s v="27.109.210.22"/>
    <n v="468"/>
    <n v="468"/>
    <s v="NYSE"/>
    <s v="UTL"/>
    <s v="UNITIL Corporation"/>
    <x v="8"/>
    <s v="Power Generation"/>
    <s v="$710.24M"/>
    <n v="710240000"/>
    <n v="1275.3499999999999"/>
    <n v="-5.27"/>
    <n v="134100712"/>
    <d v="2024-04-03T00:00:00"/>
    <s v="Complete"/>
  </r>
  <r>
    <s v="sprentyd0"/>
    <s v="ted.com"/>
    <s v="Salim"/>
    <s v="Prenty"/>
    <s v="Male"/>
    <s v="Male"/>
    <s v="213.250.81.169"/>
    <s v="187.74.60.167"/>
    <n v="469"/>
    <n v="469"/>
    <s v="NASDAQ"/>
    <s v="WILC"/>
    <s v="G. Willi-Food International,  Ltd."/>
    <x v="5"/>
    <s v="Food Distributors"/>
    <s v="$92.42M"/>
    <n v="92420000"/>
    <n v="374.44"/>
    <n v="-6.94"/>
    <n v="48200536"/>
    <d v="2026-03-17T00:00:00"/>
    <s v="Complete"/>
  </r>
  <r>
    <s v="nhurryd1"/>
    <s v="cnbc.com"/>
    <s v="Nonnah"/>
    <s v="Hurry"/>
    <s v="Female"/>
    <s v="Female"/>
    <s v="72.242.206.122"/>
    <s v="143.167.188.223"/>
    <n v="470"/>
    <n v="470"/>
    <s v="NASDAQ"/>
    <s v="IDSY"/>
    <s v="I.D. Systems, Inc."/>
    <x v="11"/>
    <s v="Telecommunications Equipment"/>
    <s v="$87.7M"/>
    <n v="87700000"/>
    <n v="823.8"/>
    <n v="9.5299999999999994"/>
    <n v="127085015"/>
    <d v="2023-03-26T00:00:00"/>
    <s v="Complete"/>
  </r>
  <r>
    <s v="acrouxd2"/>
    <s v="xrea.com"/>
    <s v="Allyson"/>
    <s v="Croux"/>
    <s v="Female"/>
    <s v="Female"/>
    <s v="202.117.24.53"/>
    <s v="33.5.87.7"/>
    <n v="471"/>
    <n v="471"/>
    <s v="NYSE"/>
    <s v="LII"/>
    <s v="Lennox International, Inc."/>
    <x v="1"/>
    <s v="Industrial Machinery/Components"/>
    <s v="$8.05B"/>
    <n v="8050000000.000001"/>
    <n v="547.72"/>
    <n v="-5.08"/>
    <n v="21483925"/>
    <d v="2024-01-10T00:00:00"/>
    <s v="Complete"/>
  </r>
  <r>
    <s v="jstopforthd3"/>
    <s v="over-blog.com"/>
    <s v="Jonell"/>
    <s v="Stopforth"/>
    <s v="Female"/>
    <s v="Female"/>
    <s v="107.81.193.39"/>
    <s v="159.2.39.5"/>
    <n v="472"/>
    <n v="472"/>
    <s v="NASDAQ"/>
    <s v="CASI"/>
    <s v="CASI Pharmaceuticals, Inc."/>
    <x v="0"/>
    <s v="Biotechnology: Biological Products (No Diagnostic Substances)"/>
    <s v="$55.38M"/>
    <n v="55380000"/>
    <n v="1758.47"/>
    <n v="0.01"/>
    <n v="80006768"/>
    <d v="2021-06-07T00:00:00"/>
    <s v="Complete"/>
  </r>
  <r>
    <s v="mgussied4"/>
    <s v="google.com.hk"/>
    <s v="Merry"/>
    <s v="Gussie"/>
    <s v="Female"/>
    <s v="Female"/>
    <s v="38.201.248.41"/>
    <s v="98.61.217.217"/>
    <n v="473"/>
    <n v="473"/>
    <s v="NYSE"/>
    <s v="MS^K"/>
    <s v="Morgan Stanley"/>
    <x v="2"/>
    <s v="N/A"/>
    <s v="N/A"/>
    <n v="0"/>
    <n v="1518.93"/>
    <n v="6"/>
    <n v="112591235"/>
    <d v="2026-06-21T00:00:00"/>
    <s v="Missing"/>
  </r>
  <r>
    <s v="bslaynyd5"/>
    <s v="senate.gov"/>
    <s v="Barnabas"/>
    <s v="Slayny"/>
    <s v="Male"/>
    <s v="Male"/>
    <s v="138.66.164.62"/>
    <s v="127.26.30.220"/>
    <n v="474"/>
    <n v="474"/>
    <s v="NASDAQ"/>
    <s v="GTIM"/>
    <s v="Good Times Restaurants Inc."/>
    <x v="6"/>
    <s v="Restaurants"/>
    <s v="$41.81M"/>
    <n v="41810000"/>
    <n v="1620.05"/>
    <n v="-5.18"/>
    <n v="75769816"/>
    <d v="2025-03-21T00:00:00"/>
    <s v="Complete"/>
  </r>
  <r>
    <s v="sosinind6"/>
    <s v="springer.com"/>
    <s v="Stanford"/>
    <s v="Osinin"/>
    <s v="Male"/>
    <s v="Male"/>
    <s v="154.220.79.99"/>
    <s v="192.218.242.158"/>
    <n v="475"/>
    <n v="475"/>
    <s v="NASDAQ"/>
    <s v="FYX"/>
    <s v="First Trust Small Cap Core AlphaDEX Fund"/>
    <x v="2"/>
    <s v="N/A"/>
    <s v="$488.7M"/>
    <n v="488700000"/>
    <n v="579.48"/>
    <n v="-4.62"/>
    <n v="162013799"/>
    <d v="2021-04-19T00:00:00"/>
    <s v="Missing"/>
  </r>
  <r>
    <s v="llowndsbroughd7"/>
    <s v="e-recht24.de"/>
    <s v="Lynna"/>
    <s v="Lowndsbrough"/>
    <s v="Female"/>
    <s v="Female"/>
    <s v="149.180.13.163"/>
    <s v="197.96.150.101"/>
    <n v="476"/>
    <n v="476"/>
    <s v="NASDAQ"/>
    <s v="IGF"/>
    <s v="iShares Global Infrastructure ETF"/>
    <x v="2"/>
    <s v="N/A"/>
    <s v="$1.71B"/>
    <n v="1710000000"/>
    <n v="106.73"/>
    <n v="9.17"/>
    <n v="24827419"/>
    <d v="2022-07-23T00:00:00"/>
    <s v="Missing"/>
  </r>
  <r>
    <s v="wmccrostied8"/>
    <s v="liveinternet.ru"/>
    <s v="Wood"/>
    <s v="McCrostie"/>
    <s v="Male"/>
    <s v="Male"/>
    <s v="128.80.43.232"/>
    <s v="237.188.188.255"/>
    <n v="477"/>
    <n v="477"/>
    <s v="NASDAQ"/>
    <s v="SHSP"/>
    <s v="SharpSpring, Inc."/>
    <x v="4"/>
    <s v="Computer Software: Prepackaged Software"/>
    <s v="$37.65M"/>
    <n v="37650000"/>
    <n v="1981.86"/>
    <n v="12.44"/>
    <n v="20500904"/>
    <d v="2023-03-10T00:00:00"/>
    <s v="Complete"/>
  </r>
  <r>
    <s v="loddyd9"/>
    <s v="bravesites.com"/>
    <s v="Lennard"/>
    <s v="Oddy"/>
    <s v="Bigender"/>
    <s v="Other"/>
    <s v="118.163.255.218"/>
    <s v="184.228.241.22"/>
    <n v="478"/>
    <n v="478"/>
    <s v="NASDAQ"/>
    <s v="HDNG"/>
    <s v="Hardinge Inc."/>
    <x v="1"/>
    <s v="Industrial Machinery/Components"/>
    <s v="$162.72M"/>
    <n v="162720000"/>
    <n v="1772.59"/>
    <n v="-1.81"/>
    <n v="94749412"/>
    <d v="2025-12-20T00:00:00"/>
    <s v="Complete"/>
  </r>
  <r>
    <s v="aparrottda"/>
    <s v="theguardian.com"/>
    <s v="Adele"/>
    <s v="Parrott"/>
    <s v="Female"/>
    <s v="Female"/>
    <s v="102.110.57.175"/>
    <s v="210.57.75.128"/>
    <n v="479"/>
    <n v="479"/>
    <s v="NASDAQ"/>
    <s v="CSPI"/>
    <s v="CSP Inc."/>
    <x v="4"/>
    <s v="EDP Services"/>
    <s v="$42.78M"/>
    <n v="42780000"/>
    <n v="705.66"/>
    <n v="-7.33"/>
    <n v="70867334"/>
    <d v="2024-07-25T00:00:00"/>
    <s v="Complete"/>
  </r>
  <r>
    <s v="dgantzdb"/>
    <s v="nyu.edu"/>
    <s v="Dennet"/>
    <s v="Gantz"/>
    <s v="Male"/>
    <s v="Male"/>
    <s v="233.129.229.66"/>
    <s v="41.32.144.209"/>
    <n v="480"/>
    <n v="480"/>
    <s v="NASDAQ"/>
    <s v="BCOR"/>
    <s v="Blucora, Inc."/>
    <x v="4"/>
    <s v="EDP Services"/>
    <s v="$909.02M"/>
    <n v="909020000"/>
    <n v="1779.14"/>
    <n v="5.43"/>
    <n v="168950470"/>
    <d v="2022-10-06T00:00:00"/>
    <s v="Complete"/>
  </r>
  <r>
    <s v="svanyushkindc"/>
    <s v="yellowbook.com"/>
    <s v="Skip"/>
    <s v="Vanyushkin"/>
    <s v="Non-binary"/>
    <s v="Other"/>
    <s v="22.167.154.35"/>
    <s v="246.97.51.97"/>
    <n v="481"/>
    <n v="481"/>
    <s v="NYSE"/>
    <s v="VR"/>
    <s v="Validus Holdings, Ltd."/>
    <x v="3"/>
    <s v="Property-Casualty Insurers"/>
    <s v="$4.21B"/>
    <n v="4210000000"/>
    <n v="1727.71"/>
    <n v="-16.73"/>
    <n v="130556488"/>
    <d v="2021-01-06T00:00:00"/>
    <s v="Complete"/>
  </r>
  <r>
    <s v="jscafedd"/>
    <s v="google.com"/>
    <s v="Jaynell"/>
    <s v="Scafe"/>
    <s v="Female"/>
    <s v="Female"/>
    <s v="166.222.69.252"/>
    <s v="137.86.158.66"/>
    <n v="482"/>
    <n v="482"/>
    <s v="NASDAQ"/>
    <s v="PACW"/>
    <s v="PacWest Bancorp"/>
    <x v="3"/>
    <s v="Major Banks"/>
    <s v="$5.87B"/>
    <n v="5870000000"/>
    <n v="1926.96"/>
    <n v="-14.5"/>
    <n v="114379857"/>
    <d v="2025-04-16T00:00:00"/>
    <s v="Complete"/>
  </r>
  <r>
    <s v="hroysonde"/>
    <s v="nps.gov"/>
    <s v="Had"/>
    <s v="Royson"/>
    <s v="Male"/>
    <s v="Male"/>
    <s v="157.229.57.68"/>
    <s v="177.248.223.54"/>
    <n v="483"/>
    <n v="483"/>
    <s v="NASDAQ"/>
    <s v="SBNYW"/>
    <s v="Signature Bank"/>
    <x v="3"/>
    <s v="Major Banks"/>
    <s v="N/A"/>
    <n v="0"/>
    <n v="1971.41"/>
    <n v="-6.83"/>
    <n v="14822691"/>
    <d v="2024-08-13T00:00:00"/>
    <s v="Missing"/>
  </r>
  <r>
    <s v="lkuschadf"/>
    <s v="arizona.edu"/>
    <s v="Linnea"/>
    <s v="Kuscha"/>
    <s v="Female"/>
    <s v="Female"/>
    <s v="2.42.4.27"/>
    <s v="217.121.236.124"/>
    <n v="484"/>
    <n v="484"/>
    <s v="NYSE"/>
    <s v="JHA"/>
    <s v="Nuveen High Income 2020 Target Term Fund"/>
    <x v="2"/>
    <s v="N/A"/>
    <s v="$296.92M"/>
    <n v="296920000"/>
    <n v="714.55"/>
    <n v="-4.41"/>
    <n v="98089107"/>
    <d v="2022-11-21T00:00:00"/>
    <s v="Missing"/>
  </r>
  <r>
    <s v="slinneydg"/>
    <s v="uol.com.br"/>
    <s v="Stefa"/>
    <s v="Linney"/>
    <s v="Female"/>
    <s v="Female"/>
    <s v="255.151.192.241"/>
    <s v="201.128.40.154"/>
    <n v="485"/>
    <n v="485"/>
    <s v="NASDAQ"/>
    <s v="ESLT"/>
    <s v="Elbit Systems Ltd."/>
    <x v="1"/>
    <s v="Military/Government/Technical"/>
    <s v="$5.29B"/>
    <n v="5290000000"/>
    <n v="964.43"/>
    <n v="7.91"/>
    <n v="117153612"/>
    <d v="2026-07-06T00:00:00"/>
    <s v="Complete"/>
  </r>
  <r>
    <s v="tzealeydh"/>
    <s v="mlb.com"/>
    <s v="Truman"/>
    <s v="Zealey"/>
    <s v="Male"/>
    <s v="Male"/>
    <s v="226.19.12.229"/>
    <s v="47.38.164.237"/>
    <n v="486"/>
    <n v="486"/>
    <s v="NYSE"/>
    <s v="BMI"/>
    <s v="Badger Meter, Inc."/>
    <x v="1"/>
    <s v="Industrial Machinery/Components"/>
    <s v="$1.16B"/>
    <n v="1160000000"/>
    <n v="1523.04"/>
    <n v="5.61"/>
    <n v="197770792"/>
    <d v="2021-08-17T00:00:00"/>
    <s v="Complete"/>
  </r>
  <r>
    <s v="fkliemkedi"/>
    <s v="mashable.com"/>
    <s v="Felicio"/>
    <s v="Kliemke"/>
    <s v="Male"/>
    <s v="Male"/>
    <s v="31.16.217.76"/>
    <s v="177.105.232.248"/>
    <n v="487"/>
    <n v="487"/>
    <s v="NASDAQ"/>
    <s v="BCPC"/>
    <s v="Balchem Corporation"/>
    <x v="10"/>
    <s v="Major Chemicals"/>
    <s v="$2.56B"/>
    <n v="2560000000"/>
    <n v="818.37"/>
    <n v="4.4800000000000004"/>
    <n v="3535197"/>
    <d v="2020-08-30T00:00:00"/>
    <s v="Complete"/>
  </r>
  <r>
    <s v="isarvardj"/>
    <s v="sourceforge.net"/>
    <s v="Ilse"/>
    <s v="Sarvar"/>
    <s v="Female"/>
    <s v="Female"/>
    <s v="185.177.167.71"/>
    <s v="46.101.177.238"/>
    <n v="488"/>
    <n v="488"/>
    <s v="NYSE"/>
    <s v="OSG"/>
    <s v="Overseas Shipholding Group, Inc."/>
    <x v="12"/>
    <s v="Marine Transportation"/>
    <s v="$192.45M"/>
    <n v="192450000"/>
    <n v="1175.8399999999999"/>
    <n v="-0.42"/>
    <n v="53550454"/>
    <d v="2022-11-17T00:00:00"/>
    <s v="Complete"/>
  </r>
  <r>
    <s v="pstanforddk"/>
    <s v="flavors.me"/>
    <s v="Patten"/>
    <s v="Stanford"/>
    <s v="Male"/>
    <s v="Male"/>
    <s v="191.188.236.243"/>
    <s v="61.110.206.109"/>
    <n v="489"/>
    <n v="489"/>
    <s v="NASDAQ"/>
    <s v="FEUZ"/>
    <s v="First Trust Eurozone AlphaDEX ETF"/>
    <x v="2"/>
    <s v="N/A"/>
    <s v="$9.76M"/>
    <n v="9760000"/>
    <n v="638.5"/>
    <n v="-6.84"/>
    <n v="134197011"/>
    <d v="2021-07-07T00:00:00"/>
    <s v="Missing"/>
  </r>
  <r>
    <s v="pandreuzzidl"/>
    <s v="columbia.edu"/>
    <s v="Patten"/>
    <s v="Andreuzzi"/>
    <s v="Male"/>
    <s v="Male"/>
    <s v="177.109.88.177"/>
    <s v="85.11.111.50"/>
    <n v="490"/>
    <n v="490"/>
    <s v="NASDAQ"/>
    <s v="IPCC"/>
    <s v="Infinity Property and Casualty Corporation"/>
    <x v="3"/>
    <s v="Property-Casualty Insurers"/>
    <s v="$1.05B"/>
    <n v="1050000000"/>
    <n v="796.73"/>
    <n v="15.78"/>
    <n v="62879088"/>
    <d v="2021-03-09T00:00:00"/>
    <s v="Complete"/>
  </r>
  <r>
    <s v="kgiannonidm"/>
    <s v="spotify.com"/>
    <s v="Konstantin"/>
    <s v="Giannoni"/>
    <s v="Male"/>
    <s v="Male"/>
    <s v="233.63.184.75"/>
    <s v="110.115.38.184"/>
    <n v="491"/>
    <n v="491"/>
    <s v="NASDAQ"/>
    <s v="SRPT"/>
    <s v="Sarepta Therapeutics, Inc."/>
    <x v="0"/>
    <s v="Major Pharmaceuticals"/>
    <s v="$1.78B"/>
    <n v="1780000000"/>
    <n v="1995.79"/>
    <n v="17.04"/>
    <n v="35792662"/>
    <d v="2020-12-13T00:00:00"/>
    <s v="Complete"/>
  </r>
  <r>
    <s v="rblythdn"/>
    <s v="wikispaces.com"/>
    <s v="Rolland"/>
    <s v="Blyth"/>
    <s v="Male"/>
    <s v="Male"/>
    <s v="109.77.162.183"/>
    <s v="241.248.182.16"/>
    <n v="492"/>
    <n v="492"/>
    <s v="NYSE"/>
    <s v="COF^D"/>
    <s v="Capital One Financial Corporation"/>
    <x v="2"/>
    <s v="N/A"/>
    <s v="N/A"/>
    <n v="0"/>
    <n v="1160.51"/>
    <n v="18.45"/>
    <n v="91930993"/>
    <d v="2021-03-03T00:00:00"/>
    <s v="Missing"/>
  </r>
  <r>
    <s v="wlurrimando"/>
    <s v="123-reg.co.uk"/>
    <s v="Wolfie"/>
    <s v="Lurriman"/>
    <s v="Male"/>
    <s v="Male"/>
    <s v="253.141.199.226"/>
    <s v="183.180.22.119"/>
    <n v="493"/>
    <n v="493"/>
    <s v="NYSE"/>
    <s v="HJV"/>
    <s v="MS Structured Asset Corp Saturns GE Cap Corp Series 2002-14"/>
    <x v="3"/>
    <s v="Finance: Consumer Services"/>
    <s v="N/A"/>
    <n v="0"/>
    <n v="1267.54"/>
    <n v="-10.61"/>
    <n v="6966169"/>
    <d v="2025-06-23T00:00:00"/>
    <s v="Missing"/>
  </r>
  <r>
    <s v="nbakhrushindp"/>
    <s v="wired.com"/>
    <s v="Nalani"/>
    <s v="Bakhrushin"/>
    <s v="Genderqueer"/>
    <s v="Other"/>
    <s v="6.122.241.15"/>
    <s v="250.104.245.19"/>
    <n v="494"/>
    <n v="494"/>
    <s v="NASDAQ"/>
    <s v="SPEX"/>
    <s v="Spherix Incorporated"/>
    <x v="7"/>
    <s v="Multi-Sector Companies"/>
    <s v="$4.5M"/>
    <n v="4500000"/>
    <n v="131.80000000000001"/>
    <n v="18.05"/>
    <n v="156263252"/>
    <d v="2025-11-20T00:00:00"/>
    <s v="Complete"/>
  </r>
  <r>
    <s v="sbreretondq"/>
    <s v="smh.com.au"/>
    <s v="Sigismundo"/>
    <s v="Brereton"/>
    <s v="Male"/>
    <s v="Male"/>
    <s v="7.75.243.35"/>
    <s v="86.219.6.91"/>
    <n v="495"/>
    <n v="495"/>
    <s v="NYSE"/>
    <s v="WRB"/>
    <s v="W.R. Berkley Corporation"/>
    <x v="3"/>
    <s v="Property-Casualty Insurers"/>
    <s v="$8.51B"/>
    <n v="8510000000"/>
    <n v="497.05"/>
    <n v="2.1"/>
    <n v="95791910"/>
    <d v="2024-05-03T00:00:00"/>
    <s v="Complete"/>
  </r>
  <r>
    <s v="callmonddr"/>
    <s v="ustream.tv"/>
    <s v="Catie"/>
    <s v="Allmond"/>
    <s v="Female"/>
    <s v="Female"/>
    <s v="116.48.215.209"/>
    <s v="253.161.86.71"/>
    <n v="496"/>
    <n v="496"/>
    <s v="NASDAQ"/>
    <s v="CGIX"/>
    <s v="Cancer Genetics, Inc."/>
    <x v="0"/>
    <s v="Medical Specialities"/>
    <s v="$72.13M"/>
    <n v="72130000"/>
    <n v="401.33"/>
    <n v="-6.2"/>
    <n v="75085378"/>
    <d v="2026-10-11T00:00:00"/>
    <s v="Complete"/>
  </r>
  <r>
    <s v="sjadods"/>
    <s v="amazonaws.com"/>
    <s v="Sarena"/>
    <s v="Jado"/>
    <s v="Female"/>
    <s v="Female"/>
    <s v="126.85.149.25"/>
    <s v="21.22.109.125"/>
    <n v="497"/>
    <n v="497"/>
    <s v="NYSE"/>
    <s v="WLH"/>
    <s v="Lyon William Homes"/>
    <x v="1"/>
    <s v="Homebuilding"/>
    <s v="$719.19M"/>
    <n v="719190000"/>
    <n v="1507.27"/>
    <n v="8.81"/>
    <n v="66794701"/>
    <d v="2024-11-07T00:00:00"/>
    <s v="Complete"/>
  </r>
  <r>
    <s v="bmccaskilldt"/>
    <s v="intel.com"/>
    <s v="Berti"/>
    <s v="McCaskill"/>
    <s v="Male"/>
    <s v="Male"/>
    <s v="172.86.191.9"/>
    <s v="234.140.147.2"/>
    <n v="498"/>
    <n v="498"/>
    <s v="NASDAQ"/>
    <s v="IDXX"/>
    <s v="IDEXX Laboratories, Inc."/>
    <x v="0"/>
    <s v="Biotechnology: In Vitro &amp; In Vivo Diagnostic Substances"/>
    <s v="$14.16B"/>
    <n v="14160000000"/>
    <n v="250.57"/>
    <n v="8.15"/>
    <n v="25809202"/>
    <d v="2022-04-04T00:00:00"/>
    <s v="Complete"/>
  </r>
  <r>
    <s v="jsemperdu"/>
    <s v="youku.com"/>
    <s v="Jessalyn"/>
    <s v="Semper"/>
    <s v="Female"/>
    <s v="Female"/>
    <s v="181.111.204.44"/>
    <s v="5.193.28.145"/>
    <n v="499"/>
    <n v="499"/>
    <s v="NASDAQ"/>
    <s v="HMTA"/>
    <s v="HomeTown Bankshares Corporation"/>
    <x v="3"/>
    <s v="Major Banks"/>
    <s v="$60.41M"/>
    <n v="60410000"/>
    <n v="245.28"/>
    <n v="-0.61"/>
    <n v="86396768"/>
    <d v="2021-05-11T00:00:00"/>
    <s v="Complete"/>
  </r>
  <r>
    <s v="sfaersdv"/>
    <s v="bbc.co.uk"/>
    <s v="Sam"/>
    <s v="Faers"/>
    <s v="Female"/>
    <s v="Female"/>
    <s v="46.163.166.100"/>
    <s v="31.66.154.88"/>
    <n v="500"/>
    <n v="500"/>
    <s v="NASDAQ"/>
    <s v="CMLS"/>
    <s v="Cumulus Media Inc."/>
    <x v="6"/>
    <s v="Broadcasting"/>
    <s v="$14.07M"/>
    <n v="14070000"/>
    <n v="429.96"/>
    <n v="-3.12"/>
    <n v="98114797"/>
    <d v="2025-01-20T00:00:00"/>
    <s v="Complete"/>
  </r>
  <r>
    <s v="giglesiasdw"/>
    <s v="pagesperso-orange.fr"/>
    <s v="Genvieve"/>
    <s v="Iglesias"/>
    <s v="Female"/>
    <s v="Female"/>
    <s v="49.25.103.166"/>
    <s v="30.234.86.40"/>
    <n v="501"/>
    <n v="501"/>
    <s v="NASDAQ"/>
    <s v="INGN"/>
    <s v="Inogen, Inc"/>
    <x v="0"/>
    <s v="Industrial Specialties"/>
    <s v="$1.9B"/>
    <n v="1900000000"/>
    <n v="494.64"/>
    <n v="6.06"/>
    <n v="173952598"/>
    <d v="2025-04-19T00:00:00"/>
    <s v="Complete"/>
  </r>
  <r>
    <s v="dfredadx"/>
    <s v="t-online.de"/>
    <s v="Davide"/>
    <s v="Freda"/>
    <s v="Male"/>
    <s v="Male"/>
    <s v="44.37.16.185"/>
    <s v="132.170.115.126"/>
    <n v="502"/>
    <n v="502"/>
    <s v="NASDAQ"/>
    <s v="ADMP"/>
    <s v="Adamis Pharmaceuticals Corporation"/>
    <x v="0"/>
    <s v="Major Pharmaceuticals"/>
    <s v="$143.33M"/>
    <n v="143330000"/>
    <n v="183.94"/>
    <n v="-11.61"/>
    <n v="4749352"/>
    <d v="2022-01-29T00:00:00"/>
    <s v="Complete"/>
  </r>
  <r>
    <s v="cstartedy"/>
    <s v="exblog.jp"/>
    <s v="Catlin"/>
    <s v="Starte"/>
    <s v="Female"/>
    <s v="Female"/>
    <s v="242.89.98.124"/>
    <s v="208.2.86.69"/>
    <n v="503"/>
    <n v="503"/>
    <s v="NASDAQ"/>
    <s v="CERC"/>
    <s v="Cerecor Inc."/>
    <x v="0"/>
    <s v="Major Pharmaceuticals"/>
    <s v="$7.18M"/>
    <n v="7180000"/>
    <n v="349.79"/>
    <n v="-11.48"/>
    <n v="153740727"/>
    <d v="2022-04-22T00:00:00"/>
    <s v="Complete"/>
  </r>
  <r>
    <s v="whubbucksdz"/>
    <s v="buzzfeed.com"/>
    <s v="Willard"/>
    <s v="Hubbucks"/>
    <s v="Male"/>
    <s v="Male"/>
    <s v="78.12.16.60"/>
    <s v="224.83.95.28"/>
    <n v="504"/>
    <n v="504"/>
    <s v="NYSE"/>
    <s v="LKSD"/>
    <s v="LSC Communications, Inc."/>
    <x v="7"/>
    <s v="Publishing"/>
    <s v="$742.65M"/>
    <n v="742650000"/>
    <n v="919.51"/>
    <n v="7.75"/>
    <n v="7144668"/>
    <d v="2020-07-05T00:00:00"/>
    <s v="Complete"/>
  </r>
  <r>
    <s v="onilgese0"/>
    <s v="goo.gl"/>
    <s v="Ollie"/>
    <s v="Nilges"/>
    <s v="Male"/>
    <s v="Male"/>
    <s v="73.120.97.175"/>
    <s v="167.12.216.14"/>
    <n v="505"/>
    <n v="505"/>
    <s v="NYSE"/>
    <s v="PPP"/>
    <s v="Primero Mining Corp"/>
    <x v="10"/>
    <s v="Precious Metals"/>
    <s v="$64.88M"/>
    <n v="64879999.999999993"/>
    <n v="292.70999999999998"/>
    <n v="16.28"/>
    <n v="97835740"/>
    <d v="2023-06-18T00:00:00"/>
    <s v="Complete"/>
  </r>
  <r>
    <s v="gblaguee1"/>
    <s v="last.fm"/>
    <s v="Granville"/>
    <s v="Blague"/>
    <s v="Male"/>
    <s v="Male"/>
    <s v="105.73.134.110"/>
    <s v="249.157.144.142"/>
    <n v="506"/>
    <n v="506"/>
    <s v="NASDAQ"/>
    <s v="ABCO"/>
    <s v="The Advisory Board Company"/>
    <x v="6"/>
    <s v="Other Consumer Services"/>
    <s v="$2.09B"/>
    <n v="2089999999.9999998"/>
    <n v="1831.04"/>
    <n v="5.89"/>
    <n v="111507209"/>
    <d v="2021-04-22T00:00:00"/>
    <s v="Complete"/>
  </r>
  <r>
    <s v="dstutte2"/>
    <s v="aol.com"/>
    <s v="Derek"/>
    <s v="Stutt"/>
    <s v="Male"/>
    <s v="Male"/>
    <s v="172.66.222.155"/>
    <s v="73.185.144.205"/>
    <n v="507"/>
    <n v="507"/>
    <s v="NASDAQ"/>
    <s v="AMBCW"/>
    <s v="Ambac Financial Group, Inc."/>
    <x v="3"/>
    <s v="Property-Casualty Insurers"/>
    <s v="N/A"/>
    <n v="0"/>
    <n v="48.44"/>
    <n v="2.66"/>
    <n v="40932709"/>
    <d v="2026-10-28T00:00:00"/>
    <s v="Missing"/>
  </r>
  <r>
    <s v="nmendenhalle3"/>
    <s v="engadget.com"/>
    <s v="Nikita"/>
    <s v="Mendenhall"/>
    <s v="Male"/>
    <s v="Male"/>
    <s v="170.54.236.19"/>
    <s v="74.248.194.55"/>
    <n v="508"/>
    <n v="508"/>
    <s v="NASDAQ"/>
    <s v="IROQ"/>
    <s v="IF Bancorp, Inc."/>
    <x v="3"/>
    <s v="Savings Institutions"/>
    <s v="$77.63M"/>
    <n v="77630000"/>
    <n v="1618.56"/>
    <n v="14.13"/>
    <n v="131419398"/>
    <d v="2022-01-27T00:00:00"/>
    <s v="Complete"/>
  </r>
  <r>
    <s v="fhortope4"/>
    <s v="cmu.edu"/>
    <s v="Faye"/>
    <s v="Hortop"/>
    <s v="Female"/>
    <s v="Female"/>
    <s v="126.239.30.7"/>
    <s v="138.253.153.97"/>
    <n v="509"/>
    <n v="509"/>
    <s v="NYSE"/>
    <s v="OB"/>
    <s v="OneBeacon Insurance Group, Ltd."/>
    <x v="3"/>
    <s v="Property-Casualty Insurers"/>
    <s v="$1.72B"/>
    <n v="1720000000"/>
    <n v="367.62"/>
    <n v="-13.07"/>
    <n v="6859300"/>
    <d v="2026-09-28T00:00:00"/>
    <s v="Complete"/>
  </r>
  <r>
    <s v="gonearye5"/>
    <s v="deliciousdays.com"/>
    <s v="Garrett"/>
    <s v="O'Neary"/>
    <s v="Male"/>
    <s v="Male"/>
    <s v="139.127.120.241"/>
    <s v="148.74.151.219"/>
    <n v="510"/>
    <n v="510"/>
    <s v="NASDAQ"/>
    <s v="SPOK"/>
    <s v="Spok Holdings, Inc."/>
    <x v="8"/>
    <s v="Telecommunications Equipment"/>
    <s v="$371.61M"/>
    <n v="371610000"/>
    <n v="1198.24"/>
    <n v="-19.05"/>
    <n v="161935506"/>
    <d v="2021-08-01T00:00:00"/>
    <s v="Complete"/>
  </r>
  <r>
    <s v="rmaskewe6"/>
    <s v="alibaba.com"/>
    <s v="Rosemaria"/>
    <s v="Maskew"/>
    <s v="Female"/>
    <s v="Female"/>
    <s v="238.204.156.123"/>
    <s v="222.83.66.71"/>
    <n v="511"/>
    <n v="511"/>
    <s v="NASDAQ"/>
    <s v="CHSCM"/>
    <s v="CHS Inc"/>
    <x v="6"/>
    <s v="Farming/Seeds/Milling"/>
    <s v="$542.67M"/>
    <n v="542670000"/>
    <n v="1814.63"/>
    <n v="3.85"/>
    <n v="66175095"/>
    <d v="2020-04-30T00:00:00"/>
    <s v="Complete"/>
  </r>
  <r>
    <s v="cthorsbye7"/>
    <s v="vk.com"/>
    <s v="Christalle"/>
    <s v="Thorsby"/>
    <s v="Female"/>
    <s v="Female"/>
    <s v="200.60.117.206"/>
    <s v="72.103.197.10"/>
    <n v="512"/>
    <n v="512"/>
    <s v="NYSE"/>
    <s v="CMA.WS"/>
    <s v="Comerica Incorporated"/>
    <x v="2"/>
    <s v="N/A"/>
    <s v="N/A"/>
    <n v="0"/>
    <n v="645.4"/>
    <n v="-18.66"/>
    <n v="146127701"/>
    <d v="2023-11-21T00:00:00"/>
    <s v="Missing"/>
  </r>
  <r>
    <s v="inutbeane8"/>
    <s v="wired.com"/>
    <s v="Iormina"/>
    <s v="Nutbean"/>
    <s v="Female"/>
    <s v="Female"/>
    <s v="152.187.213.110"/>
    <s v="219.232.37.214"/>
    <n v="513"/>
    <n v="513"/>
    <s v="NASDAQ"/>
    <s v="ACXM"/>
    <s v="Acxiom Corporation"/>
    <x v="4"/>
    <s v="EDP Services"/>
    <s v="$2.06B"/>
    <n v="2060000000"/>
    <n v="585.22"/>
    <n v="6.24"/>
    <n v="53006342"/>
    <d v="2023-07-24T00:00:00"/>
    <s v="Complete"/>
  </r>
  <r>
    <s v="gsuermeiere9"/>
    <s v="narod.ru"/>
    <s v="Gabbie"/>
    <s v="Suermeier"/>
    <s v="Female"/>
    <s v="Female"/>
    <s v="28.123.108.213"/>
    <s v="113.132.13.203"/>
    <n v="514"/>
    <n v="514"/>
    <s v="NYSE"/>
    <s v="SLB"/>
    <s v="Schlumberger N.V."/>
    <x v="9"/>
    <s v="Oilfield Services/Equipment"/>
    <s v="$95.29B"/>
    <n v="95290000000"/>
    <n v="1251.94"/>
    <n v="-13.46"/>
    <n v="82164637"/>
    <d v="2023-05-16T00:00:00"/>
    <s v="Complete"/>
  </r>
  <r>
    <s v="goslerea"/>
    <s v="ycombinator.com"/>
    <s v="Greg"/>
    <s v="Osler"/>
    <s v="Male"/>
    <s v="Male"/>
    <s v="130.24.249.50"/>
    <s v="78.244.211.69"/>
    <n v="515"/>
    <n v="515"/>
    <s v="NYSE"/>
    <s v="SAN^B"/>
    <s v="Banco Santander, S.A."/>
    <x v="2"/>
    <s v="N/A"/>
    <s v="N/A"/>
    <n v="0"/>
    <n v="1587.22"/>
    <n v="12.56"/>
    <n v="30743414"/>
    <d v="2023-11-20T00:00:00"/>
    <s v="Missing"/>
  </r>
  <r>
    <s v="dhazzardeb"/>
    <s v="prweb.com"/>
    <s v="Danella"/>
    <s v="Hazzard"/>
    <s v="Female"/>
    <s v="Female"/>
    <s v="205.208.131.158"/>
    <s v="110.198.183.117"/>
    <n v="516"/>
    <n v="516"/>
    <s v="NASDAQ"/>
    <s v="PCOM"/>
    <s v="Points International, Ltd."/>
    <x v="7"/>
    <s v="Business Services"/>
    <s v="$126.39M"/>
    <n v="126390000"/>
    <n v="1184.6300000000001"/>
    <n v="8.08"/>
    <n v="74443833"/>
    <d v="2023-03-03T00:00:00"/>
    <s v="Complete"/>
  </r>
  <r>
    <s v="dastlesec"/>
    <s v="foxnews.com"/>
    <s v="Deni"/>
    <s v="Astles"/>
    <s v="Female"/>
    <s v="Female"/>
    <s v="0.137.135.194"/>
    <s v="177.195.21.222"/>
    <n v="517"/>
    <n v="517"/>
    <s v="NYSE"/>
    <s v="TISI"/>
    <s v="Team, Inc."/>
    <x v="6"/>
    <s v="Other Consumer Services"/>
    <s v="$751.34M"/>
    <n v="751340000"/>
    <n v="114.54"/>
    <n v="10.67"/>
    <n v="188665582"/>
    <d v="2023-02-23T00:00:00"/>
    <s v="Complete"/>
  </r>
  <r>
    <s v="ttwelvesed"/>
    <s v="liveinternet.ru"/>
    <s v="Torrin"/>
    <s v="Twelves"/>
    <s v="Genderfluid"/>
    <s v="Other"/>
    <s v="78.234.254.155"/>
    <s v="52.77.187.14"/>
    <n v="518"/>
    <n v="518"/>
    <s v="NASDAQ"/>
    <s v="PNQI"/>
    <s v="PowerShares Nasdaq Internet Portfolio"/>
    <x v="2"/>
    <s v="N/A"/>
    <s v="$388.09M"/>
    <n v="388090000"/>
    <n v="1292"/>
    <n v="7.06"/>
    <n v="119557670"/>
    <d v="2024-08-19T00:00:00"/>
    <s v="Missing"/>
  </r>
  <r>
    <s v="dcossingtonee"/>
    <s v="census.gov"/>
    <s v="Dennie"/>
    <s v="Cossington"/>
    <s v="Female"/>
    <s v="Female"/>
    <s v="113.126.212.20"/>
    <s v="168.78.2.195"/>
    <n v="519"/>
    <n v="519"/>
    <s v="NYSE"/>
    <s v="MYD"/>
    <s v="Blackrock MuniYield Fund, Inc."/>
    <x v="2"/>
    <s v="N/A"/>
    <s v="$703.23M"/>
    <n v="703230000"/>
    <n v="1674.29"/>
    <n v="-8.69"/>
    <n v="17796687"/>
    <d v="2025-07-13T00:00:00"/>
    <s v="Missing"/>
  </r>
  <r>
    <s v="btroreyef"/>
    <s v="drupal.org"/>
    <s v="Berget"/>
    <s v="Trorey"/>
    <s v="Female"/>
    <s v="Female"/>
    <s v="52.168.146.145"/>
    <s v="222.22.133.54"/>
    <n v="520"/>
    <n v="520"/>
    <s v="NYSE"/>
    <s v="KORS"/>
    <s v="Michael Kors Holdings Limited"/>
    <x v="5"/>
    <s v="Apparel"/>
    <s v="$5.39B"/>
    <n v="5390000000"/>
    <n v="1961.75"/>
    <n v="11.82"/>
    <n v="78973286"/>
    <d v="2024-02-11T00:00:00"/>
    <s v="Complete"/>
  </r>
  <r>
    <s v="podareeg"/>
    <s v="about.com"/>
    <s v="Phillip"/>
    <s v="O'Dare"/>
    <s v="Male"/>
    <s v="Male"/>
    <s v="121.145.214.212"/>
    <s v="44.217.99.210"/>
    <n v="521"/>
    <n v="521"/>
    <s v="NASDAQ"/>
    <s v="TCBIW"/>
    <s v="Texas Capital Bancshares, Inc."/>
    <x v="3"/>
    <s v="Major Banks"/>
    <s v="N/A"/>
    <n v="0"/>
    <n v="528.39"/>
    <n v="-1.49"/>
    <n v="137003107"/>
    <d v="2020-02-17T00:00:00"/>
    <s v="Missing"/>
  </r>
  <r>
    <s v="iphillpeh"/>
    <s v="ning.com"/>
    <s v="Iggy"/>
    <s v="Phillp"/>
    <s v="Male"/>
    <s v="Male"/>
    <s v="148.95.244.6"/>
    <s v="25.233.167.2"/>
    <n v="522"/>
    <n v="522"/>
    <s v="NASDAQ"/>
    <s v="JRVR"/>
    <s v="James River Group Holdings, Ltd."/>
    <x v="3"/>
    <s v="Property-Casualty Insurers"/>
    <s v="$1.18B"/>
    <n v="1180000000"/>
    <n v="662.58"/>
    <n v="18.23"/>
    <n v="100762091"/>
    <d v="2026-01-05T00:00:00"/>
    <s v="Complete"/>
  </r>
  <r>
    <s v="jpendleberryei"/>
    <s v="army.mil"/>
    <s v="Jessamine"/>
    <s v="Pendleberry"/>
    <s v="Female"/>
    <s v="Female"/>
    <s v="127.49.202.155"/>
    <s v="18.88.242.164"/>
    <n v="523"/>
    <n v="523"/>
    <s v="NYSE"/>
    <s v="NUV"/>
    <s v="Nuveen AMT-Free Municipal Value Fund"/>
    <x v="2"/>
    <s v="N/A"/>
    <s v="$2.09B"/>
    <n v="2089999999.9999998"/>
    <n v="813.94"/>
    <n v="-2.0699999999999998"/>
    <n v="136859935"/>
    <d v="2022-07-13T00:00:00"/>
    <s v="Missing"/>
  </r>
  <r>
    <s v="adowdenej"/>
    <s v="fc2.com"/>
    <s v="Audry"/>
    <s v="Dowden"/>
    <s v="Female"/>
    <s v="Female"/>
    <s v="125.31.108.200"/>
    <s v="9.3.33.159"/>
    <n v="524"/>
    <n v="524"/>
    <s v="NYSE"/>
    <s v="LBF"/>
    <s v="Scudder Global High Income Fund, Inc."/>
    <x v="2"/>
    <s v="N/A"/>
    <s v="$56.46M"/>
    <n v="56460000"/>
    <n v="1993.15"/>
    <n v="17.79"/>
    <n v="62851365"/>
    <d v="2026-07-15T00:00:00"/>
    <s v="Missing"/>
  </r>
  <r>
    <s v="csherlandek"/>
    <s v="reddit.com"/>
    <s v="Clark"/>
    <s v="Sherland"/>
    <s v="Male"/>
    <s v="Male"/>
    <s v="60.229.217.184"/>
    <s v="199.96.208.78"/>
    <n v="525"/>
    <n v="525"/>
    <s v="NYSE"/>
    <s v="SMM"/>
    <s v="Salient Midstream &amp; MLP Fund"/>
    <x v="2"/>
    <s v="N/A"/>
    <s v="$199.02M"/>
    <n v="199020000"/>
    <n v="636.04999999999995"/>
    <n v="-7.87"/>
    <n v="69821774"/>
    <d v="2021-11-29T00:00:00"/>
    <s v="Missing"/>
  </r>
  <r>
    <s v="hedgellerel"/>
    <s v="loc.gov"/>
    <s v="Harry"/>
    <s v="Edgeller"/>
    <s v="Male"/>
    <s v="Male"/>
    <s v="55.168.67.64"/>
    <s v="183.142.59.6"/>
    <n v="526"/>
    <n v="526"/>
    <s v="NYSE"/>
    <s v="GIS"/>
    <s v="General Mills, Inc."/>
    <x v="5"/>
    <s v="Packaged Foods"/>
    <s v="$32.9B"/>
    <n v="32900000000"/>
    <n v="897.38"/>
    <n v="8.41"/>
    <n v="146262282"/>
    <d v="2021-05-16T00:00:00"/>
    <s v="Complete"/>
  </r>
  <r>
    <s v="landertonem"/>
    <s v="unesco.org"/>
    <s v="Lona"/>
    <s v="Anderton"/>
    <s v="Female"/>
    <s v="Female"/>
    <s v="27.30.3.249"/>
    <s v="35.93.27.202"/>
    <n v="527"/>
    <n v="527"/>
    <s v="NYSE"/>
    <s v="SVU"/>
    <s v="SuperValu Inc."/>
    <x v="5"/>
    <s v="Food Distributors"/>
    <s v="$864.67M"/>
    <n v="864670000"/>
    <n v="7.44"/>
    <n v="-11.34"/>
    <n v="85095189"/>
    <d v="2022-06-15T00:00:00"/>
    <s v="Complete"/>
  </r>
  <r>
    <s v="hsampsonen"/>
    <s v="addthis.com"/>
    <s v="Hermann"/>
    <s v="Sampson"/>
    <s v="Male"/>
    <s v="Male"/>
    <s v="214.66.154.235"/>
    <s v="31.163.217.203"/>
    <n v="528"/>
    <n v="528"/>
    <s v="NYSE"/>
    <s v="TU"/>
    <s v="TELUS Corporation"/>
    <x v="8"/>
    <s v="Telecommunications Equipment"/>
    <s v="$20.42B"/>
    <n v="20420000000"/>
    <n v="1343.81"/>
    <n v="-16.7"/>
    <n v="80496665"/>
    <d v="2025-03-13T00:00:00"/>
    <s v="Complete"/>
  </r>
  <r>
    <s v="hcrankshaweo"/>
    <s v="mit.edu"/>
    <s v="Hatti"/>
    <s v="Crankshaw"/>
    <s v="Female"/>
    <s v="Female"/>
    <s v="243.218.208.2"/>
    <s v="116.69.75.124"/>
    <n v="529"/>
    <n v="529"/>
    <s v="NASDAQ"/>
    <s v="VIA"/>
    <s v="Viacom Inc."/>
    <x v="6"/>
    <s v="Television Services"/>
    <s v="$15.55B"/>
    <n v="15550000000"/>
    <n v="1588.31"/>
    <n v="-14.1"/>
    <n v="123273270"/>
    <d v="2020-01-17T00:00:00"/>
    <s v="Complete"/>
  </r>
  <r>
    <s v="eilesep"/>
    <s v="twitter.com"/>
    <s v="Emmett"/>
    <s v="Iles"/>
    <s v="Male"/>
    <s v="Male"/>
    <s v="249.247.44.141"/>
    <s v="241.125.49.93"/>
    <n v="530"/>
    <n v="530"/>
    <s v="NASDAQ"/>
    <s v="CRESY"/>
    <s v="Cresud S.A.C.I.F. y A."/>
    <x v="3"/>
    <s v="Real Estate"/>
    <s v="$951.53M"/>
    <n v="951530000"/>
    <n v="516.45000000000005"/>
    <n v="-8.2200000000000006"/>
    <n v="148686893"/>
    <d v="2026-11-04T00:00:00"/>
    <s v="Complete"/>
  </r>
  <r>
    <s v="bfeatonbyeq"/>
    <s v="facebook.com"/>
    <s v="Byram"/>
    <s v="Featonby"/>
    <s v="Male"/>
    <s v="Male"/>
    <s v="67.154.76.17"/>
    <s v="153.221.36.220"/>
    <n v="531"/>
    <n v="531"/>
    <s v="NYSE"/>
    <s v="VVC"/>
    <s v="Vectren Corporation"/>
    <x v="8"/>
    <s v="Natural Gas Distribution"/>
    <s v="$5.15B"/>
    <n v="5150000000"/>
    <n v="1118.32"/>
    <n v="4.83"/>
    <n v="115494250"/>
    <d v="2022-11-12T00:00:00"/>
    <s v="Complete"/>
  </r>
  <r>
    <s v="hantoonser"/>
    <s v="wired.com"/>
    <s v="Hogan"/>
    <s v="Antoons"/>
    <s v="Bigender"/>
    <s v="Other"/>
    <s v="55.152.80.100"/>
    <s v="249.205.198.57"/>
    <n v="532"/>
    <n v="532"/>
    <s v="NASDAQ"/>
    <s v="AVID"/>
    <s v="Avid Technology, Inc."/>
    <x v="4"/>
    <s v="Computer Software: Prepackaged Software"/>
    <s v="$205.59M"/>
    <n v="205590000"/>
    <n v="385.83"/>
    <n v="-17.440000000000001"/>
    <n v="113569287"/>
    <d v="2023-08-08T00:00:00"/>
    <s v="Complete"/>
  </r>
  <r>
    <s v="wnowelles"/>
    <s v="soundcloud.com"/>
    <s v="Wilhelm"/>
    <s v="Nowell"/>
    <s v="Polygender"/>
    <s v="Other"/>
    <s v="40.58.61.201"/>
    <s v="195.87.202.186"/>
    <n v="533"/>
    <n v="533"/>
    <s v="NASDAQ"/>
    <s v="DIOD"/>
    <s v="Diodes Incorporated"/>
    <x v="4"/>
    <s v="Semiconductors"/>
    <s v="$1.22B"/>
    <n v="1220000000"/>
    <n v="81.459999999999994"/>
    <n v="5.18"/>
    <n v="34933162"/>
    <d v="2022-08-02T00:00:00"/>
    <s v="Complete"/>
  </r>
  <r>
    <s v="jingmanet"/>
    <s v="constantcontact.com"/>
    <s v="Josiah"/>
    <s v="Ingman"/>
    <s v="Male"/>
    <s v="Male"/>
    <s v="197.76.110.15"/>
    <s v="32.192.38.151"/>
    <n v="534"/>
    <n v="534"/>
    <s v="NYSE"/>
    <s v="STZ.B"/>
    <s v="Constellation Brands Inc"/>
    <x v="2"/>
    <s v="N/A"/>
    <s v="N/A"/>
    <n v="0"/>
    <n v="771.39"/>
    <n v="4.99"/>
    <n v="182078028"/>
    <d v="2025-06-11T00:00:00"/>
    <s v="Missing"/>
  </r>
  <r>
    <s v="tbickelleu"/>
    <s v="nature.com"/>
    <s v="Torie"/>
    <s v="Bickell"/>
    <s v="Female"/>
    <s v="Female"/>
    <s v="170.33.175.202"/>
    <s v="169.199.246.63"/>
    <n v="535"/>
    <n v="535"/>
    <s v="NYSE"/>
    <s v="PSB^T"/>
    <s v="PS Business Parks, Inc."/>
    <x v="2"/>
    <s v="N/A"/>
    <s v="N/A"/>
    <n v="0"/>
    <n v="639.41999999999996"/>
    <n v="-0.45"/>
    <n v="22250981"/>
    <d v="2020-12-07T00:00:00"/>
    <s v="Missing"/>
  </r>
  <r>
    <s v="bblownev"/>
    <s v="omniture.com"/>
    <s v="Barbaraanne"/>
    <s v="Blown"/>
    <s v="Female"/>
    <s v="Female"/>
    <s v="64.138.76.180"/>
    <s v="44.4.164.131"/>
    <n v="536"/>
    <n v="536"/>
    <s v="NYSE"/>
    <s v="LUB"/>
    <s v="Luby's, Inc."/>
    <x v="6"/>
    <s v="Restaurants"/>
    <s v="$88.73M"/>
    <n v="88730000"/>
    <n v="1201.28"/>
    <n v="-17.46"/>
    <n v="532255"/>
    <d v="2022-09-18T00:00:00"/>
    <s v="Complete"/>
  </r>
  <r>
    <s v="awoodersonew"/>
    <s v="etsy.com"/>
    <s v="Alice"/>
    <s v="Wooderson"/>
    <s v="Female"/>
    <s v="Female"/>
    <s v="148.98.173.121"/>
    <s v="109.144.221.112"/>
    <n v="537"/>
    <n v="537"/>
    <s v="NASDAQ"/>
    <s v="ABUS"/>
    <s v="Arbutus Biopharma Corporation"/>
    <x v="0"/>
    <s v="Major Pharmaceuticals"/>
    <s v="$198.09M"/>
    <n v="198090000"/>
    <n v="673.15"/>
    <n v="13.84"/>
    <n v="80763821"/>
    <d v="2024-11-29T00:00:00"/>
    <s v="Complete"/>
  </r>
  <r>
    <s v="ghuotex"/>
    <s v="google.co.jp"/>
    <s v="Gerard"/>
    <s v="Huot"/>
    <s v="Genderfluid"/>
    <s v="Other"/>
    <s v="179.42.181.174"/>
    <s v="100.28.90.46"/>
    <n v="538"/>
    <n v="538"/>
    <s v="NASDAQ"/>
    <s v="RGEN"/>
    <s v="Repligen Corporation"/>
    <x v="0"/>
    <s v="Biotechnology: Biological Products (No Diagnostic Substances)"/>
    <s v="$1.3B"/>
    <n v="1300000000"/>
    <n v="1926.78"/>
    <n v="5.71"/>
    <n v="180388587"/>
    <d v="2022-04-13T00:00:00"/>
    <s v="Complete"/>
  </r>
  <r>
    <s v="jdruhaney"/>
    <s v="shareasale.com"/>
    <s v="Jasen"/>
    <s v="Druhan"/>
    <s v="Male"/>
    <s v="Male"/>
    <s v="210.139.246.200"/>
    <s v="119.244.220.74"/>
    <n v="539"/>
    <n v="539"/>
    <s v="NASDAQ"/>
    <s v="DWLV"/>
    <s v="PowerShares DWA Momentum &amp; Low Volatility Rotation Portfolio"/>
    <x v="2"/>
    <s v="N/A"/>
    <s v="$4.2M"/>
    <n v="4200000"/>
    <n v="1191.3599999999999"/>
    <n v="-12.01"/>
    <n v="154693676"/>
    <d v="2022-09-25T00:00:00"/>
    <s v="Missing"/>
  </r>
  <r>
    <s v="edimitrijevicez"/>
    <s v="yellowpages.com"/>
    <s v="Erina"/>
    <s v="Dimitrijevic"/>
    <s v="Female"/>
    <s v="Female"/>
    <s v="144.214.31.6"/>
    <s v="59.228.210.148"/>
    <n v="540"/>
    <n v="540"/>
    <s v="NYSE"/>
    <s v="DLB"/>
    <s v="Dolby Laboratories"/>
    <x v="7"/>
    <s v="Multi-Sector Companies"/>
    <s v="$5.04B"/>
    <n v="5040000000"/>
    <n v="1362.97"/>
    <n v="5.84"/>
    <n v="104228257"/>
    <d v="2020-07-29T00:00:00"/>
    <s v="Complete"/>
  </r>
  <r>
    <s v="cpettegref0"/>
    <s v="google.nl"/>
    <s v="Chiarra"/>
    <s v="Pettegre"/>
    <s v="Female"/>
    <s v="Female"/>
    <s v="130.85.27.63"/>
    <s v="128.21.72.89"/>
    <n v="541"/>
    <n v="541"/>
    <s v="NYSE"/>
    <s v="TI"/>
    <s v="Telecom Italia S.P.A."/>
    <x v="6"/>
    <s v="Telecommunications Equipment"/>
    <s v="$19.89B"/>
    <n v="19890000000"/>
    <n v="16.64"/>
    <n v="-16.84"/>
    <n v="149883506"/>
    <d v="2023-07-01T00:00:00"/>
    <s v="Complete"/>
  </r>
  <r>
    <s v="wachromovf1"/>
    <s v="sogou.com"/>
    <s v="Waverley"/>
    <s v="Achromov"/>
    <s v="Male"/>
    <s v="Male"/>
    <s v="104.164.131.188"/>
    <s v="208.111.130.157"/>
    <n v="542"/>
    <n v="542"/>
    <s v="NASDAQ"/>
    <s v="MRTN"/>
    <s v="Marten Transport, Ltd."/>
    <x v="12"/>
    <s v="Trucking Freight/Courier Services"/>
    <s v="$905.46M"/>
    <n v="905460000"/>
    <n v="1206"/>
    <n v="2.12"/>
    <n v="42194593"/>
    <d v="2025-03-07T00:00:00"/>
    <s v="Complete"/>
  </r>
  <r>
    <s v="hsodenf2"/>
    <s v="examiner.com"/>
    <s v="Hilde"/>
    <s v="Soden"/>
    <s v="Female"/>
    <s v="Female"/>
    <s v="148.242.71.219"/>
    <s v="18.106.82.13"/>
    <n v="543"/>
    <n v="543"/>
    <s v="NASDAQ"/>
    <s v="GERN"/>
    <s v="Geron Corporation"/>
    <x v="0"/>
    <s v="Major Pharmaceuticals"/>
    <s v="$420.22M"/>
    <n v="420220000"/>
    <n v="887"/>
    <n v="-4.33"/>
    <n v="44100064"/>
    <d v="2022-01-11T00:00:00"/>
    <s v="Complete"/>
  </r>
  <r>
    <s v="xthrelkeldf3"/>
    <s v="macromedia.com"/>
    <s v="Xenos"/>
    <s v="Threlkeld"/>
    <s v="Male"/>
    <s v="Male"/>
    <s v="106.122.91.1"/>
    <s v="76.160.111.225"/>
    <n v="544"/>
    <n v="544"/>
    <s v="NYSE"/>
    <s v="CEA"/>
    <s v="China Eastern Airlines Corporation Ltd."/>
    <x v="12"/>
    <s v="Air Freight/Delivery Services"/>
    <s v="$8.42B"/>
    <n v="8420000000"/>
    <n v="679.5"/>
    <n v="13.68"/>
    <n v="120079380"/>
    <d v="2020-01-31T00:00:00"/>
    <s v="Complete"/>
  </r>
  <r>
    <s v="cligertwoodf4"/>
    <s v="ocn.ne.jp"/>
    <s v="Connor"/>
    <s v="Ligertwood"/>
    <s v="Male"/>
    <s v="Male"/>
    <s v="49.98.170.148"/>
    <s v="74.184.169.199"/>
    <n v="545"/>
    <n v="545"/>
    <s v="NYSE"/>
    <s v="LCI"/>
    <s v="Lannett Co Inc"/>
    <x v="0"/>
    <s v="Major Pharmaceuticals"/>
    <s v="$688.77M"/>
    <n v="688770000"/>
    <n v="905.38"/>
    <n v="-11.45"/>
    <n v="196653773"/>
    <d v="2025-03-26T00:00:00"/>
    <s v="Complete"/>
  </r>
  <r>
    <s v="rminoguef5"/>
    <s v="chron.com"/>
    <s v="Ronald"/>
    <s v="Minogue"/>
    <s v="Male"/>
    <s v="Male"/>
    <s v="68.24.167.78"/>
    <s v="169.55.18.66"/>
    <n v="546"/>
    <n v="546"/>
    <s v="NYSE"/>
    <s v="BW"/>
    <s v="Babcock"/>
    <x v="1"/>
    <s v="Building Products"/>
    <s v="$558.63M"/>
    <n v="558630000"/>
    <n v="723.88"/>
    <n v="-13.38"/>
    <n v="140303708"/>
    <d v="2021-06-05T00:00:00"/>
    <s v="Complete"/>
  </r>
  <r>
    <s v="aminghellaf6"/>
    <s v="elpais.com"/>
    <s v="Ahmad"/>
    <s v="Minghella"/>
    <s v="Male"/>
    <s v="Male"/>
    <s v="187.68.47.203"/>
    <s v="236.31.128.109"/>
    <n v="547"/>
    <n v="547"/>
    <s v="NYSE"/>
    <s v="BLK"/>
    <s v="BlackRock, Inc."/>
    <x v="3"/>
    <s v="Investment Bankers/Brokers/Service"/>
    <s v="$67.98B"/>
    <n v="67980000000.000008"/>
    <n v="1354.38"/>
    <n v="2.35"/>
    <n v="193133002"/>
    <d v="2020-04-23T00:00:00"/>
    <s v="Complete"/>
  </r>
  <r>
    <s v="mritchleyf7"/>
    <s v="lycos.com"/>
    <s v="Mattie"/>
    <s v="Ritchley"/>
    <s v="Male"/>
    <s v="Male"/>
    <s v="133.181.141.162"/>
    <s v="244.47.75.126"/>
    <n v="548"/>
    <n v="548"/>
    <s v="NASDAQ"/>
    <s v="PID"/>
    <s v="PowerShares International Dividend Achievers Portfolio"/>
    <x v="2"/>
    <s v="N/A"/>
    <s v="$802.72M"/>
    <n v="802720000"/>
    <n v="834.24"/>
    <n v="-5.46"/>
    <n v="61969719"/>
    <d v="2022-01-14T00:00:00"/>
    <s v="Missing"/>
  </r>
  <r>
    <s v="gantonovicf8"/>
    <s v="paypal.com"/>
    <s v="Geordie"/>
    <s v="Antonovic"/>
    <s v="Male"/>
    <s v="Male"/>
    <s v="223.63.173.59"/>
    <s v="109.2.66.245"/>
    <n v="549"/>
    <n v="549"/>
    <s v="NYSE"/>
    <s v="GSK"/>
    <s v="GlaxoSmithKline PLC"/>
    <x v="0"/>
    <s v="Major Pharmaceuticals"/>
    <s v="$107.75B"/>
    <n v="107750000000"/>
    <n v="1609.39"/>
    <n v="12.55"/>
    <n v="192637079"/>
    <d v="2023-04-04T00:00:00"/>
    <s v="Complete"/>
  </r>
  <r>
    <s v="dmarielf9"/>
    <s v="goo.ne.jp"/>
    <s v="Dalston"/>
    <s v="Mariel"/>
    <s v="Male"/>
    <s v="Male"/>
    <s v="143.43.227.66"/>
    <s v="90.57.116.49"/>
    <n v="550"/>
    <n v="550"/>
    <s v="NASDAQ"/>
    <s v="SIEN"/>
    <s v="Sientra, Inc."/>
    <x v="0"/>
    <s v="Industrial Specialties"/>
    <s v="$154.26M"/>
    <n v="154260000"/>
    <n v="760.73"/>
    <n v="18.18"/>
    <n v="164845617"/>
    <d v="2021-02-16T00:00:00"/>
    <s v="Complete"/>
  </r>
  <r>
    <s v="gfuzzensfa"/>
    <s v="springer.com"/>
    <s v="Garold"/>
    <s v="Fuzzens"/>
    <s v="Male"/>
    <s v="Male"/>
    <s v="229.64.196.230"/>
    <s v="243.6.195.184"/>
    <n v="551"/>
    <n v="551"/>
    <s v="NASDAQ"/>
    <s v="CRWS"/>
    <s v="Crown Crafts, Inc."/>
    <x v="10"/>
    <s v="Textiles"/>
    <s v="$71.74M"/>
    <n v="71740000"/>
    <n v="447.15"/>
    <n v="-0.74"/>
    <n v="130196939"/>
    <d v="2026-06-09T00:00:00"/>
    <s v="Complete"/>
  </r>
  <r>
    <s v="zpiertonfb"/>
    <s v="wp.com"/>
    <s v="Zitella"/>
    <s v="Pierton"/>
    <s v="Female"/>
    <s v="Female"/>
    <s v="85.211.159.41"/>
    <s v="144.75.211.149"/>
    <n v="552"/>
    <n v="552"/>
    <s v="NASDAQ"/>
    <s v="NWBI"/>
    <s v="Northwest Bancshares, Inc."/>
    <x v="3"/>
    <s v="Major Banks"/>
    <s v="$1.65B"/>
    <n v="1650000000"/>
    <n v="1169.53"/>
    <n v="18.579999999999998"/>
    <n v="158622035"/>
    <d v="2026-01-30T00:00:00"/>
    <s v="Complete"/>
  </r>
  <r>
    <s v="gmacdearmidfc"/>
    <s v="whitehouse.gov"/>
    <s v="Gualterio"/>
    <s v="MacDearmid"/>
    <s v="Male"/>
    <s v="Male"/>
    <s v="158.183.152.244"/>
    <s v="242.4.61.247"/>
    <n v="553"/>
    <n v="553"/>
    <s v="NASDAQ"/>
    <s v="ZG"/>
    <s v="Zillow Group, Inc."/>
    <x v="7"/>
    <s v="Business Services"/>
    <s v="$8.39B"/>
    <n v="8390000000.000001"/>
    <n v="1547.02"/>
    <n v="-7.92"/>
    <n v="129219315"/>
    <d v="2026-10-15T00:00:00"/>
    <s v="Complete"/>
  </r>
  <r>
    <s v="mterrellfd"/>
    <s v="baidu.com"/>
    <s v="Mitchell"/>
    <s v="Terrell"/>
    <s v="Male"/>
    <s v="Male"/>
    <s v="159.8.119.207"/>
    <s v="234.234.165.209"/>
    <n v="554"/>
    <n v="554"/>
    <s v="NYSE"/>
    <s v="HTGC"/>
    <s v="Hercules Capital, Inc."/>
    <x v="2"/>
    <s v="N/A"/>
    <s v="$1.1B"/>
    <n v="1100000000"/>
    <n v="1989.14"/>
    <n v="-17.78"/>
    <n v="72338803"/>
    <d v="2020-08-30T00:00:00"/>
    <s v="Missing"/>
  </r>
  <r>
    <s v="kgostickfe"/>
    <s v="addthis.com"/>
    <s v="Kilian"/>
    <s v="Gostick"/>
    <s v="Male"/>
    <s v="Male"/>
    <s v="180.129.204.131"/>
    <s v="85.101.162.241"/>
    <n v="555"/>
    <n v="555"/>
    <s v="NYSE"/>
    <s v="BME"/>
    <s v="Blackrock Health Sciences Trust"/>
    <x v="2"/>
    <s v="N/A"/>
    <s v="$305.71M"/>
    <n v="305710000"/>
    <n v="1345.43"/>
    <n v="8.6300000000000008"/>
    <n v="114585751"/>
    <d v="2021-05-07T00:00:00"/>
    <s v="Missing"/>
  </r>
  <r>
    <s v="areevesff"/>
    <s v="dagondesign.com"/>
    <s v="Abbe"/>
    <s v="Reeves"/>
    <s v="Male"/>
    <s v="Male"/>
    <s v="232.154.66.40"/>
    <s v="210.71.107.193"/>
    <n v="556"/>
    <n v="556"/>
    <s v="NYSE"/>
    <s v="IHC"/>
    <s v="Independence Holding Company"/>
    <x v="3"/>
    <s v="Life Insurance"/>
    <s v="$330.01M"/>
    <n v="330010000"/>
    <n v="1312.56"/>
    <n v="-7.62"/>
    <n v="50048221"/>
    <d v="2025-07-17T00:00:00"/>
    <s v="Complete"/>
  </r>
  <r>
    <s v="rthrelfallfg"/>
    <s v="sitemeter.com"/>
    <s v="Rikki"/>
    <s v="Threlfall"/>
    <s v="Female"/>
    <s v="Female"/>
    <s v="74.13.117.121"/>
    <s v="42.6.154.254"/>
    <n v="557"/>
    <n v="557"/>
    <s v="NYSE"/>
    <s v="TXT"/>
    <s v="Textron Inc."/>
    <x v="1"/>
    <s v="Aerospace"/>
    <s v="$12.7B"/>
    <n v="12700000000"/>
    <n v="528.54999999999995"/>
    <n v="16.47"/>
    <n v="88264532"/>
    <d v="2024-12-08T00:00:00"/>
    <s v="Complete"/>
  </r>
  <r>
    <s v="dfennafh"/>
    <s v="t-online.de"/>
    <s v="Delano"/>
    <s v="Fenna"/>
    <s v="Male"/>
    <s v="Male"/>
    <s v="215.190.217.122"/>
    <s v="33.159.211.12"/>
    <n v="558"/>
    <n v="558"/>
    <s v="NYSE"/>
    <s v="PAG"/>
    <s v="Penske Automotive Group, Inc."/>
    <x v="11"/>
    <s v="Automotive Aftermarket"/>
    <s v="$3.56B"/>
    <n v="3560000000"/>
    <n v="1973.49"/>
    <n v="-2.72"/>
    <n v="51422290"/>
    <d v="2026-01-19T00:00:00"/>
    <s v="Complete"/>
  </r>
  <r>
    <s v="jskippingsfi"/>
    <s v="intel.com"/>
    <s v="Joy"/>
    <s v="Skippings"/>
    <s v="Female"/>
    <s v="Female"/>
    <s v="108.168.252.180"/>
    <s v="243.50.212.116"/>
    <n v="559"/>
    <n v="559"/>
    <s v="NYSE"/>
    <s v="PG"/>
    <s v="Procter &amp; Gamble Company (The)"/>
    <x v="10"/>
    <s v="Package Goods/Cosmetics"/>
    <s v="$229.32B"/>
    <n v="229320000000"/>
    <n v="1160.17"/>
    <n v="-1.5"/>
    <n v="89076818"/>
    <d v="2023-07-01T00:00:00"/>
    <s v="Complete"/>
  </r>
  <r>
    <s v="ecoldhamfj"/>
    <s v="homestead.com"/>
    <s v="Eugene"/>
    <s v="Coldham"/>
    <s v="Male"/>
    <s v="Male"/>
    <s v="230.177.159.173"/>
    <s v="45.117.207.144"/>
    <n v="560"/>
    <n v="560"/>
    <s v="NASDAQ"/>
    <s v="PMBC"/>
    <s v="Pacific Mercantile Bancorp"/>
    <x v="3"/>
    <s v="Major Banks"/>
    <s v="$198.16M"/>
    <n v="198160000"/>
    <n v="25.25"/>
    <n v="-9.08"/>
    <n v="11761725"/>
    <d v="2024-02-28T00:00:00"/>
    <s v="Complete"/>
  </r>
  <r>
    <s v="horganerfk"/>
    <s v="mapy.cz"/>
    <s v="Hamel"/>
    <s v="Organer"/>
    <s v="Male"/>
    <s v="Male"/>
    <s v="240.108.90.216"/>
    <s v="114.80.237.1"/>
    <n v="561"/>
    <n v="561"/>
    <s v="NASDAQ"/>
    <s v="RGSE"/>
    <s v="Real Goods Solar, Inc."/>
    <x v="10"/>
    <s v="Engineering &amp; Construction"/>
    <s v="$6.14M"/>
    <n v="6140000"/>
    <n v="1050.6199999999999"/>
    <n v="3.9"/>
    <n v="48993888"/>
    <d v="2025-09-26T00:00:00"/>
    <s v="Complete"/>
  </r>
  <r>
    <s v="idelosfl"/>
    <s v="google.fr"/>
    <s v="Iain"/>
    <s v="Delos"/>
    <s v="Male"/>
    <s v="Male"/>
    <s v="141.71.118.209"/>
    <s v="143.101.23.150"/>
    <n v="562"/>
    <n v="562"/>
    <s v="NASDAQ"/>
    <s v="AVHI"/>
    <s v="A V Homes, Inc."/>
    <x v="1"/>
    <s v="Homebuilding"/>
    <s v="$410.69M"/>
    <n v="410690000"/>
    <n v="323.24"/>
    <n v="-10.97"/>
    <n v="100359266"/>
    <d v="2022-06-29T00:00:00"/>
    <s v="Complete"/>
  </r>
  <r>
    <s v="ghughesdonfm"/>
    <s v="sphinn.com"/>
    <s v="Gunther"/>
    <s v="Hughesdon"/>
    <s v="Male"/>
    <s v="Male"/>
    <s v="98.11.248.73"/>
    <s v="202.235.197.176"/>
    <n v="563"/>
    <n v="563"/>
    <s v="NYSE"/>
    <s v="HT^D"/>
    <s v="Hersha Hospitality Trust"/>
    <x v="2"/>
    <s v="N/A"/>
    <s v="N/A"/>
    <n v="0"/>
    <n v="1702.18"/>
    <n v="14.95"/>
    <n v="161461346"/>
    <d v="2021-12-11T00:00:00"/>
    <s v="Missing"/>
  </r>
  <r>
    <s v="sjarrelfn"/>
    <s v="t-online.de"/>
    <s v="Sam"/>
    <s v="Jarrel"/>
    <s v="Male"/>
    <s v="Male"/>
    <s v="104.7.221.209"/>
    <s v="165.171.218.183"/>
    <n v="564"/>
    <n v="564"/>
    <s v="NASDAQ"/>
    <s v="LLIT"/>
    <s v="Lianluo Smart Limited"/>
    <x v="0"/>
    <s v="Medical/Dental Instruments"/>
    <s v="$20.95M"/>
    <n v="20950000"/>
    <n v="1728.24"/>
    <n v="-1.2"/>
    <n v="65243963"/>
    <d v="2022-01-26T00:00:00"/>
    <s v="Complete"/>
  </r>
  <r>
    <s v="svassarfo"/>
    <s v="hp.com"/>
    <s v="Sula"/>
    <s v="Vassar"/>
    <s v="Female"/>
    <s v="Female"/>
    <s v="138.17.35.253"/>
    <s v="171.6.69.103"/>
    <n v="565"/>
    <n v="565"/>
    <s v="NYSE"/>
    <s v="NXP"/>
    <s v="Nuveen Select Tax Free Income Portfolio"/>
    <x v="2"/>
    <s v="N/A"/>
    <s v="$239.77M"/>
    <n v="239770000"/>
    <n v="702.63"/>
    <n v="8.81"/>
    <n v="158709358"/>
    <d v="2022-08-27T00:00:00"/>
    <s v="Missing"/>
  </r>
  <r>
    <s v="kleaderfp"/>
    <s v="wikipedia.org"/>
    <s v="Klara"/>
    <s v="Leader"/>
    <s v="Female"/>
    <s v="Female"/>
    <s v="188.136.148.37"/>
    <s v="59.133.164.140"/>
    <n v="566"/>
    <n v="566"/>
    <s v="NASDAQ"/>
    <s v="WAFDW"/>
    <s v="Washington Federal, Inc."/>
    <x v="3"/>
    <s v="Major Banks"/>
    <s v="N/A"/>
    <n v="0"/>
    <n v="863.27"/>
    <n v="-5.13"/>
    <n v="169643457"/>
    <d v="2020-08-10T00:00:00"/>
    <s v="Missing"/>
  </r>
  <r>
    <s v="nblanpeinfq"/>
    <s v="latimes.com"/>
    <s v="Niall"/>
    <s v="Blanpein"/>
    <s v="Genderfluid"/>
    <s v="Other"/>
    <s v="206.118.185.188"/>
    <s v="231.194.209.56"/>
    <n v="567"/>
    <n v="567"/>
    <s v="NASDAQ"/>
    <s v="ENTA"/>
    <s v="Enanta Pharmaceuticals, Inc."/>
    <x v="0"/>
    <s v="Major Pharmaceuticals"/>
    <s v="$647.69M"/>
    <n v="647690000"/>
    <n v="1741.66"/>
    <n v="5.12"/>
    <n v="189706155"/>
    <d v="2024-06-05T00:00:00"/>
    <s v="Complete"/>
  </r>
  <r>
    <s v="kedgertonfr"/>
    <s v="instagram.com"/>
    <s v="Kirbie"/>
    <s v="Edgerton"/>
    <s v="Female"/>
    <s v="Female"/>
    <s v="229.137.174.29"/>
    <s v="28.174.127.154"/>
    <n v="568"/>
    <n v="568"/>
    <s v="NASDAQ"/>
    <s v="CEMI"/>
    <s v="Chembio Diagnostics, Inc."/>
    <x v="0"/>
    <s v="Major Pharmaceuticals"/>
    <s v="$73.79M"/>
    <n v="73790000"/>
    <n v="389.84"/>
    <n v="-1.44"/>
    <n v="63638363"/>
    <d v="2025-01-22T00:00:00"/>
    <s v="Complete"/>
  </r>
  <r>
    <s v="gstanningfs"/>
    <s v="examiner.com"/>
    <s v="Gusty"/>
    <s v="Stanning"/>
    <s v="Female"/>
    <s v="Female"/>
    <s v="22.81.194.147"/>
    <s v="66.122.71.71"/>
    <n v="569"/>
    <n v="569"/>
    <s v="NASDAQ"/>
    <s v="VIRT"/>
    <s v="Virtu Financial, Inc."/>
    <x v="3"/>
    <s v="Investment Bankers/Brokers/Service"/>
    <s v="$2.38B"/>
    <n v="2380000000"/>
    <n v="104.95"/>
    <n v="15.81"/>
    <n v="67582167"/>
    <d v="2020-12-09T00:00:00"/>
    <s v="Complete"/>
  </r>
  <r>
    <s v="amacneiceft"/>
    <s v="miitbeian.gov.cn"/>
    <s v="Arnuad"/>
    <s v="MacNeice"/>
    <s v="Male"/>
    <s v="Male"/>
    <s v="120.19.30.179"/>
    <s v="223.232.138.188"/>
    <n v="570"/>
    <n v="570"/>
    <s v="NASDAQ"/>
    <s v="MBUU"/>
    <s v="Malibu Boats, Inc."/>
    <x v="1"/>
    <s v="Marine Transportation"/>
    <s v="$444.68M"/>
    <n v="444680000"/>
    <n v="1004.84"/>
    <n v="0.22"/>
    <n v="129089197"/>
    <d v="2021-10-31T00:00:00"/>
    <s v="Complete"/>
  </r>
  <r>
    <s v="opalfreefu"/>
    <s v="altervista.org"/>
    <s v="Olag"/>
    <s v="Palfree"/>
    <s v="Agender"/>
    <s v="Other"/>
    <s v="11.16.182.229"/>
    <s v="108.147.179.208"/>
    <n v="571"/>
    <n v="571"/>
    <s v="NASDAQ"/>
    <s v="ATRA"/>
    <s v="Atara Biotherapeutics, Inc."/>
    <x v="0"/>
    <s v="Biotechnology: Biological Products (No Diagnostic Substances)"/>
    <s v="$371.14M"/>
    <n v="371140000"/>
    <n v="1254.6400000000001"/>
    <n v="-17.579999999999998"/>
    <n v="138214657"/>
    <d v="2025-02-24T00:00:00"/>
    <s v="Complete"/>
  </r>
  <r>
    <s v="lovanesianfv"/>
    <s v="mapquest.com"/>
    <s v="Levey"/>
    <s v="Ovanesian"/>
    <s v="Male"/>
    <s v="Male"/>
    <s v="35.46.119.21"/>
    <s v="131.249.157.2"/>
    <n v="572"/>
    <n v="572"/>
    <s v="NYSE"/>
    <s v="MDP"/>
    <s v="Meredith Corporation"/>
    <x v="6"/>
    <s v="Newspapers/Magazines"/>
    <s v="$2.65B"/>
    <n v="2650000000"/>
    <n v="1861.86"/>
    <n v="4.34"/>
    <n v="48148697"/>
    <d v="2025-04-05T00:00:00"/>
    <s v="Complete"/>
  </r>
  <r>
    <s v="gogilbyfw"/>
    <s v="t.co"/>
    <s v="Gare"/>
    <s v="Ogilby"/>
    <s v="Male"/>
    <s v="Male"/>
    <s v="102.215.32.20"/>
    <s v="216.152.233.218"/>
    <n v="573"/>
    <n v="573"/>
    <s v="NYSE"/>
    <s v="ATO"/>
    <s v="Atmos Energy Corporation"/>
    <x v="8"/>
    <s v="Oil/Gas Transmission"/>
    <s v="$9.01B"/>
    <n v="9010000000"/>
    <n v="353.75"/>
    <n v="3.45"/>
    <n v="53535227"/>
    <d v="2020-11-14T00:00:00"/>
    <s v="Complete"/>
  </r>
  <r>
    <s v="obarfffx"/>
    <s v="admin.ch"/>
    <s v="Orran"/>
    <s v="Barff"/>
    <s v="Male"/>
    <s v="Male"/>
    <s v="167.190.190.86"/>
    <s v="97.17.224.6"/>
    <n v="574"/>
    <n v="574"/>
    <s v="NYSE"/>
    <s v="MSGN"/>
    <s v="MSG Networks Inc."/>
    <x v="6"/>
    <s v="Television Services"/>
    <s v="$1.66B"/>
    <n v="1660000000"/>
    <n v="1254.79"/>
    <n v="19.48"/>
    <n v="182982761"/>
    <d v="2022-04-21T00:00:00"/>
    <s v="Complete"/>
  </r>
  <r>
    <s v="rconnahfy"/>
    <s v="printfriendly.com"/>
    <s v="Rich"/>
    <s v="Connah"/>
    <s v="Male"/>
    <s v="Male"/>
    <s v="192.183.168.39"/>
    <s v="87.154.189.192"/>
    <n v="575"/>
    <n v="575"/>
    <s v="NYSE"/>
    <s v="WSM"/>
    <s v="Williams-Sonoma, Inc."/>
    <x v="6"/>
    <s v="Home Furnishings"/>
    <s v="$4.16B"/>
    <n v="4160000000"/>
    <n v="1584.78"/>
    <n v="3.27"/>
    <n v="558076"/>
    <d v="2021-10-31T00:00:00"/>
    <s v="Complete"/>
  </r>
  <r>
    <s v="pmarranfz"/>
    <s v="yahoo.com"/>
    <s v="Priscilla"/>
    <s v="Marran"/>
    <s v="Female"/>
    <s v="Female"/>
    <s v="120.119.169.44"/>
    <s v="206.21.16.49"/>
    <n v="576"/>
    <n v="576"/>
    <s v="NYSE"/>
    <s v="TPH"/>
    <s v="TRI Pointe Group, Inc."/>
    <x v="1"/>
    <s v="Homebuilding"/>
    <s v="$1.98B"/>
    <n v="1980000000"/>
    <n v="1685.83"/>
    <n v="-4.49"/>
    <n v="103078820"/>
    <d v="2020-03-27T00:00:00"/>
    <s v="Complete"/>
  </r>
  <r>
    <s v="afroweng0"/>
    <s v="facebook.com"/>
    <s v="Aymer"/>
    <s v="Frowen"/>
    <s v="Male"/>
    <s v="Male"/>
    <s v="102.220.104.245"/>
    <s v="85.22.90.228"/>
    <n v="577"/>
    <n v="577"/>
    <s v="NASDAQ"/>
    <s v="STBA"/>
    <s v="S&amp;T Bancorp, Inc."/>
    <x v="3"/>
    <s v="Major Banks"/>
    <s v="$1.24B"/>
    <n v="1240000000"/>
    <n v="1322.86"/>
    <n v="7.84"/>
    <n v="48082471"/>
    <d v="2026-05-09T00:00:00"/>
    <s v="Complete"/>
  </r>
  <r>
    <s v="hniesingg1"/>
    <s v="state.gov"/>
    <s v="Harold"/>
    <s v="Niesing"/>
    <s v="Male"/>
    <s v="Male"/>
    <s v="82.29.222.7"/>
    <s v="229.182.195.124"/>
    <n v="578"/>
    <n v="578"/>
    <s v="NYSE"/>
    <s v="FHY"/>
    <s v="First Trust Strategic High Income Fund II"/>
    <x v="2"/>
    <s v="N/A"/>
    <s v="$112.34M"/>
    <n v="112340000"/>
    <n v="1910.6"/>
    <n v="-4.0999999999999996"/>
    <n v="134562388"/>
    <d v="2021-10-27T00:00:00"/>
    <s v="Missing"/>
  </r>
  <r>
    <s v="btinseyg2"/>
    <s v="wsj.com"/>
    <s v="Bondie"/>
    <s v="Tinsey"/>
    <s v="Male"/>
    <s v="Male"/>
    <s v="186.112.40.9"/>
    <s v="139.202.71.231"/>
    <n v="579"/>
    <n v="579"/>
    <s v="NYSE"/>
    <s v="PNC.WS"/>
    <s v="PNC Financial Services Group, Inc. (The)"/>
    <x v="2"/>
    <s v="N/A"/>
    <s v="N/A"/>
    <n v="0"/>
    <n v="998.42"/>
    <n v="17.91"/>
    <n v="131667895"/>
    <d v="2025-05-25T00:00:00"/>
    <s v="Missing"/>
  </r>
  <r>
    <s v="mmuslimg3"/>
    <s v="imgur.com"/>
    <s v="Manon"/>
    <s v="Muslim"/>
    <s v="Female"/>
    <s v="Female"/>
    <s v="219.14.31.128"/>
    <s v="79.246.38.31"/>
    <n v="580"/>
    <n v="580"/>
    <s v="NASDAQ"/>
    <s v="SRET"/>
    <s v="Global X SuperDividend REIT ETF"/>
    <x v="2"/>
    <s v="N/A"/>
    <s v="$3.09M"/>
    <n v="3090000"/>
    <n v="1246.21"/>
    <n v="15.8"/>
    <n v="16246588"/>
    <d v="2021-02-23T00:00:00"/>
    <s v="Missing"/>
  </r>
  <r>
    <s v="gwebbeng4"/>
    <s v="xinhuanet.com"/>
    <s v="Gordy"/>
    <s v="Webben"/>
    <s v="Male"/>
    <s v="Male"/>
    <s v="251.68.161.80"/>
    <s v="207.67.92.82"/>
    <n v="581"/>
    <n v="581"/>
    <s v="NYSE"/>
    <s v="RFTA"/>
    <s v="RAIT Financial Trust"/>
    <x v="6"/>
    <s v="Real Estate Investment Trusts"/>
    <s v="N/A"/>
    <n v="0"/>
    <n v="1611.2"/>
    <n v="-14.96"/>
    <n v="98523570"/>
    <d v="2026-07-30T00:00:00"/>
    <s v="Missing"/>
  </r>
  <r>
    <s v="oheishamg5"/>
    <s v="plala.or.jp"/>
    <s v="Olenolin"/>
    <s v="Heisham"/>
    <s v="Male"/>
    <s v="Male"/>
    <s v="45.184.165.90"/>
    <s v="219.63.60.37"/>
    <n v="582"/>
    <n v="582"/>
    <s v="NASDAQ"/>
    <s v="TAST"/>
    <s v="Carrols Restaurant Group, Inc."/>
    <x v="6"/>
    <s v="Restaurants"/>
    <s v="$450.72M"/>
    <n v="450720000"/>
    <n v="410.15"/>
    <n v="16.850000000000001"/>
    <n v="6905288"/>
    <d v="2021-05-11T00:00:00"/>
    <s v="Complete"/>
  </r>
  <r>
    <s v="rbananeg6"/>
    <s v="si.edu"/>
    <s v="Roma"/>
    <s v="Banane"/>
    <s v="Male"/>
    <s v="Male"/>
    <s v="221.220.198.208"/>
    <s v="163.222.144.228"/>
    <n v="583"/>
    <n v="583"/>
    <s v="NYSE"/>
    <s v="RSO^A"/>
    <s v="Resource Capital Corp."/>
    <x v="2"/>
    <s v="N/A"/>
    <s v="N/A"/>
    <n v="0"/>
    <n v="1990.85"/>
    <n v="-16.88"/>
    <n v="99591625"/>
    <d v="2026-11-10T00:00:00"/>
    <s v="Missing"/>
  </r>
  <r>
    <s v="tprobyg7"/>
    <s v="ucla.edu"/>
    <s v="Tally"/>
    <s v="Proby"/>
    <s v="Agender"/>
    <s v="Other"/>
    <s v="246.50.104.217"/>
    <s v="112.208.77.112"/>
    <n v="584"/>
    <n v="584"/>
    <s v="NYSE"/>
    <s v="CDI"/>
    <s v="CDI Corporation"/>
    <x v="4"/>
    <s v="Professional Services"/>
    <s v="$108.41M"/>
    <n v="108410000"/>
    <n v="746.34"/>
    <n v="6.04"/>
    <n v="32030403"/>
    <d v="2022-05-31T00:00:00"/>
    <s v="Complete"/>
  </r>
  <r>
    <s v="akarusg8"/>
    <s v="tripod.com"/>
    <s v="Alane"/>
    <s v="Karus"/>
    <s v="Female"/>
    <s v="Female"/>
    <s v="159.51.44.117"/>
    <s v="72.223.92.69"/>
    <n v="585"/>
    <n v="585"/>
    <s v="NYSE"/>
    <s v="TWTR"/>
    <s v="Twitter, Inc."/>
    <x v="4"/>
    <s v="Computer Software: Programming, Data Processing"/>
    <s v="$12.18B"/>
    <n v="12180000000"/>
    <n v="278.04000000000002"/>
    <n v="10.47"/>
    <n v="168759131"/>
    <d v="2023-02-28T00:00:00"/>
    <s v="Complete"/>
  </r>
  <r>
    <s v="lwilcocksg9"/>
    <s v="google.ca"/>
    <s v="Lynnea"/>
    <s v="Wilcocks"/>
    <s v="Female"/>
    <s v="Female"/>
    <s v="109.217.52.17"/>
    <s v="10.12.59.130"/>
    <n v="586"/>
    <n v="586"/>
    <s v="NYSE"/>
    <s v="CSTM"/>
    <s v="Constellium N.V."/>
    <x v="10"/>
    <s v="Metal Fabrications"/>
    <s v="$702.12M"/>
    <n v="702120000"/>
    <n v="710"/>
    <n v="13.91"/>
    <n v="72275514"/>
    <d v="2021-11-10T00:00:00"/>
    <s v="Complete"/>
  </r>
  <r>
    <s v="jdillistonga"/>
    <s v="goo.ne.jp"/>
    <s v="Jorey"/>
    <s v="Dilliston"/>
    <s v="Female"/>
    <s v="Female"/>
    <s v="51.49.103.227"/>
    <s v="247.205.253.113"/>
    <n v="587"/>
    <n v="587"/>
    <s v="NASDAQ"/>
    <s v="VEAC"/>
    <s v="Vantage Energy Acquisition Corp."/>
    <x v="3"/>
    <s v="Business Services"/>
    <s v="$674.13M"/>
    <n v="674130000"/>
    <n v="612.66"/>
    <n v="-18.57"/>
    <n v="131530249"/>
    <d v="2021-11-02T00:00:00"/>
    <s v="Complete"/>
  </r>
  <r>
    <s v="cistedgb"/>
    <s v="webnode.com"/>
    <s v="Conrado"/>
    <s v="Isted"/>
    <s v="Polygender"/>
    <s v="Other"/>
    <s v="240.192.87.172"/>
    <s v="72.149.14.135"/>
    <n v="588"/>
    <n v="588"/>
    <s v="NASDAQ"/>
    <s v="TBK"/>
    <s v="Triumph Bancorp, Inc."/>
    <x v="3"/>
    <s v="Major Banks"/>
    <s v="$428.18M"/>
    <n v="428180000"/>
    <n v="286.58"/>
    <n v="-3.18"/>
    <n v="83645491"/>
    <d v="2020-02-05T00:00:00"/>
    <s v="Complete"/>
  </r>
  <r>
    <s v="ghugillgc"/>
    <s v="telegraph.co.uk"/>
    <s v="Goddart"/>
    <s v="Hugill"/>
    <s v="Agender"/>
    <s v="Other"/>
    <s v="239.141.194.97"/>
    <s v="113.217.145.6"/>
    <n v="589"/>
    <n v="589"/>
    <s v="NASDAQ"/>
    <s v="NXEOU"/>
    <s v="Nexeo Solutions, Inc."/>
    <x v="11"/>
    <s v="Specialty Chemicals"/>
    <s v="N/A"/>
    <n v="0"/>
    <n v="102.7"/>
    <n v="17.2"/>
    <n v="95031781"/>
    <d v="2022-08-14T00:00:00"/>
    <s v="Missing"/>
  </r>
  <r>
    <s v="twyeldgd"/>
    <s v="squarespace.com"/>
    <s v="Thelma"/>
    <s v="Wyeld"/>
    <s v="Female"/>
    <s v="Female"/>
    <s v="179.197.87.232"/>
    <s v="63.220.103.115"/>
    <n v="590"/>
    <n v="590"/>
    <s v="NASDAQ"/>
    <s v="PLAY"/>
    <s v="Dave &amp; Buster's Entertainment, Inc."/>
    <x v="6"/>
    <s v="Restaurants"/>
    <s v="$2.84B"/>
    <n v="2840000000"/>
    <n v="895.36"/>
    <n v="-3.06"/>
    <n v="94522891"/>
    <d v="2021-02-28T00:00:00"/>
    <s v="Complete"/>
  </r>
  <r>
    <s v="ldeeksge"/>
    <s v="odnoklassniki.ru"/>
    <s v="Lacey"/>
    <s v="Deeks"/>
    <s v="Female"/>
    <s v="Female"/>
    <s v="205.30.226.135"/>
    <s v="222.209.177.17"/>
    <n v="591"/>
    <n v="591"/>
    <s v="NYSE"/>
    <s v="MHF"/>
    <s v="Western Asset Municipal High Income Fund, Inc."/>
    <x v="2"/>
    <s v="N/A"/>
    <s v="$160.52M"/>
    <n v="160520000"/>
    <n v="267.91000000000003"/>
    <n v="-19.55"/>
    <n v="153778216"/>
    <d v="2020-06-22T00:00:00"/>
    <s v="Missing"/>
  </r>
  <r>
    <s v="cduetschegf"/>
    <s v="gravatar.com"/>
    <s v="Charlotte"/>
    <s v="Duetsche"/>
    <s v="Female"/>
    <s v="Female"/>
    <s v="116.86.237.185"/>
    <s v="8.188.153.182"/>
    <n v="592"/>
    <n v="592"/>
    <s v="NYSE"/>
    <s v="IBP"/>
    <s v="Installed Building Products, Inc."/>
    <x v="10"/>
    <s v="Homebuilding"/>
    <s v="$1.7B"/>
    <n v="1700000000"/>
    <n v="1055.1500000000001"/>
    <n v="-15.26"/>
    <n v="161715719"/>
    <d v="2021-09-30T00:00:00"/>
    <s v="Complete"/>
  </r>
  <r>
    <s v="jdunstallgg"/>
    <s v="unesco.org"/>
    <s v="Jenn"/>
    <s v="Dunstall"/>
    <s v="Female"/>
    <s v="Female"/>
    <s v="177.135.2.233"/>
    <s v="88.4.180.16"/>
    <n v="593"/>
    <n v="593"/>
    <s v="NYSE"/>
    <s v="XRF"/>
    <s v="China Rapid Finance Limited"/>
    <x v="3"/>
    <s v="Finance: Consumer Services"/>
    <s v="$441.95M"/>
    <n v="441950000"/>
    <n v="155.66"/>
    <n v="6.68"/>
    <n v="168083367"/>
    <d v="2026-12-28T00:00:00"/>
    <s v="Complete"/>
  </r>
  <r>
    <s v="dswalwellgh"/>
    <s v="pagesperso-orange.fr"/>
    <s v="Delmer"/>
    <s v="Swalwell"/>
    <s v="Male"/>
    <s v="Male"/>
    <s v="15.85.224.89"/>
    <s v="37.253.49.236"/>
    <n v="594"/>
    <n v="594"/>
    <s v="NASDAQ"/>
    <s v="SNHY"/>
    <s v="Sun Hydraulics Corporation"/>
    <x v="1"/>
    <s v="Metal Fabrications"/>
    <s v="$1.17B"/>
    <n v="1170000000"/>
    <n v="164.52"/>
    <n v="-6.02"/>
    <n v="94392242"/>
    <d v="2022-01-28T00:00:00"/>
    <s v="Complete"/>
  </r>
  <r>
    <s v="jpleasantsgi"/>
    <s v="de.vu"/>
    <s v="Jobey"/>
    <s v="Pleasants"/>
    <s v="Female"/>
    <s v="Female"/>
    <s v="243.143.106.24"/>
    <s v="87.109.247.182"/>
    <n v="595"/>
    <n v="595"/>
    <s v="NYSE"/>
    <s v="DO"/>
    <s v="Diamond Offshore Drilling, Inc."/>
    <x v="9"/>
    <s v="Oil &amp; Gas Production"/>
    <s v="$1.61B"/>
    <n v="1610000000"/>
    <n v="1235.3800000000001"/>
    <n v="17.63"/>
    <n v="48282641"/>
    <d v="2024-01-22T00:00:00"/>
    <s v="Complete"/>
  </r>
  <r>
    <s v="tniessgj"/>
    <s v="123-reg.co.uk"/>
    <s v="Tomlin"/>
    <s v="Niess"/>
    <s v="Male"/>
    <s v="Male"/>
    <s v="35.216.1.201"/>
    <s v="168.245.25.84"/>
    <n v="596"/>
    <n v="596"/>
    <s v="NASDAQ"/>
    <s v="SCAC"/>
    <s v="Saban Capital Acquisition Corp."/>
    <x v="3"/>
    <s v="Business Services"/>
    <s v="$315.63M"/>
    <n v="315630000"/>
    <n v="781.74"/>
    <n v="3.75"/>
    <n v="58637209"/>
    <d v="2020-06-12T00:00:00"/>
    <s v="Complete"/>
  </r>
  <r>
    <s v="foscroftgk"/>
    <s v="tuttocitta.it"/>
    <s v="Ferdinand"/>
    <s v="Oscroft"/>
    <s v="Male"/>
    <s v="Male"/>
    <s v="252.32.159.113"/>
    <s v="134.110.154.227"/>
    <n v="597"/>
    <n v="597"/>
    <s v="NYSE"/>
    <s v="IGI"/>
    <s v="Western Asset Investment Grade Defined Opportunity Trust Inc."/>
    <x v="2"/>
    <s v="N/A"/>
    <s v="$225.71M"/>
    <n v="225710000"/>
    <n v="334.28"/>
    <n v="-16.64"/>
    <n v="53799256"/>
    <d v="2026-09-29T00:00:00"/>
    <s v="Missing"/>
  </r>
  <r>
    <s v="dtolchardegl"/>
    <s v="cbc.ca"/>
    <s v="Dehlia"/>
    <s v="Tolcharde"/>
    <s v="Genderqueer"/>
    <s v="Other"/>
    <s v="86.242.213.55"/>
    <s v="177.72.180.101"/>
    <n v="598"/>
    <n v="598"/>
    <s v="NASDAQ"/>
    <s v="FCEF"/>
    <s v="First Trust CEF Income Opportunity ETF"/>
    <x v="2"/>
    <s v="N/A"/>
    <s v="$28.08M"/>
    <n v="28080000"/>
    <n v="655.37"/>
    <n v="-19.8"/>
    <n v="70448989"/>
    <d v="2024-10-04T00:00:00"/>
    <s v="Missing"/>
  </r>
  <r>
    <s v="sdyergm"/>
    <s v="jalbum.net"/>
    <s v="Sven"/>
    <s v="Dyer"/>
    <s v="Bigender"/>
    <s v="Other"/>
    <s v="159.84.174.172"/>
    <s v="224.194.231.140"/>
    <n v="599"/>
    <n v="599"/>
    <s v="NYSE"/>
    <s v="NUM"/>
    <s v="Nuveen Michigan Quality Municipal Income Fund"/>
    <x v="2"/>
    <s v="N/A"/>
    <s v="$286.36M"/>
    <n v="286360000"/>
    <n v="995.97"/>
    <n v="-15.22"/>
    <n v="185072896"/>
    <d v="2025-10-09T00:00:00"/>
    <s v="Missing"/>
  </r>
  <r>
    <s v="jschohiergn"/>
    <s v="cnet.com"/>
    <s v="Jesse"/>
    <s v="Schohier"/>
    <s v="Agender"/>
    <s v="Other"/>
    <s v="213.241.160.168"/>
    <s v="200.36.22.174"/>
    <n v="600"/>
    <n v="600"/>
    <s v="NASDAQ"/>
    <s v="KE"/>
    <s v="Kimball Electronics, Inc."/>
    <x v="4"/>
    <s v="Electrical Products"/>
    <s v="$496.43M"/>
    <n v="496430000"/>
    <n v="1149.83"/>
    <n v="15.35"/>
    <n v="125316724"/>
    <d v="2022-03-19T00:00:00"/>
    <s v="Complete"/>
  </r>
  <r>
    <s v="rgemelligo"/>
    <s v="liveinternet.ru"/>
    <s v="Rhys"/>
    <s v="Gemelli"/>
    <s v="Male"/>
    <s v="Male"/>
    <s v="109.132.123.18"/>
    <s v="189.64.170.253"/>
    <n v="601"/>
    <n v="601"/>
    <s v="NYSE"/>
    <s v="BGT"/>
    <s v="Blackrock Global"/>
    <x v="2"/>
    <s v="N/A"/>
    <s v="$334.83M"/>
    <n v="334830000"/>
    <n v="1002.62"/>
    <n v="-5.14"/>
    <n v="92462943"/>
    <d v="2020-05-20T00:00:00"/>
    <s v="Missing"/>
  </r>
  <r>
    <s v="gbunneygp"/>
    <s v="wp.com"/>
    <s v="Giuditta"/>
    <s v="Bunney"/>
    <s v="Non-binary"/>
    <s v="Other"/>
    <s v="233.13.193.250"/>
    <s v="34.113.142.216"/>
    <n v="602"/>
    <n v="602"/>
    <s v="NASDAQ"/>
    <s v="FDT"/>
    <s v="First Trust Developed Markets Ex-US AlphaDEX Fund"/>
    <x v="2"/>
    <s v="N/A"/>
    <s v="$458.32M"/>
    <n v="458320000"/>
    <n v="891.62"/>
    <n v="0.04"/>
    <n v="173031615"/>
    <d v="2024-03-08T00:00:00"/>
    <s v="Missing"/>
  </r>
  <r>
    <s v="jbeiderbeckegq"/>
    <s v="shareasale.com"/>
    <s v="Joletta"/>
    <s v="Beiderbecke"/>
    <s v="Female"/>
    <s v="Female"/>
    <s v="17.31.81.61"/>
    <s v="131.199.13.117"/>
    <n v="603"/>
    <n v="603"/>
    <s v="NYSE"/>
    <s v="GES"/>
    <s v="Guess?, Inc."/>
    <x v="5"/>
    <s v="Apparel"/>
    <s v="$974.73M"/>
    <n v="974730000"/>
    <n v="1862.12"/>
    <n v="-7.81"/>
    <n v="173088034"/>
    <d v="2022-07-23T00:00:00"/>
    <s v="Complete"/>
  </r>
  <r>
    <s v="dmcghiegr"/>
    <s v="ucsd.edu"/>
    <s v="Danella"/>
    <s v="McGhie"/>
    <s v="Female"/>
    <s v="Female"/>
    <s v="95.54.127.159"/>
    <s v="205.80.240.114"/>
    <n v="604"/>
    <n v="604"/>
    <s v="NYSE"/>
    <s v="CODI"/>
    <s v="Compass Diversified Holdings"/>
    <x v="11"/>
    <s v="Home Furnishings"/>
    <s v="$1.02B"/>
    <n v="1020000000"/>
    <n v="700.48"/>
    <n v="-3.62"/>
    <n v="90693718"/>
    <d v="2025-12-09T00:00:00"/>
    <s v="Complete"/>
  </r>
  <r>
    <s v="mguildgs"/>
    <s v="hatena.ne.jp"/>
    <s v="Menard"/>
    <s v="Guild"/>
    <s v="Male"/>
    <s v="Male"/>
    <s v="28.37.72.7"/>
    <s v="22.64.123.131"/>
    <n v="605"/>
    <n v="605"/>
    <s v="NASDAQ"/>
    <s v="HTLF"/>
    <s v="Heartland Financial USA, Inc."/>
    <x v="3"/>
    <s v="Major Banks"/>
    <s v="$1.25B"/>
    <n v="1250000000"/>
    <n v="382.14"/>
    <n v="-0.59"/>
    <n v="135733768"/>
    <d v="2024-11-16T00:00:00"/>
    <s v="Complete"/>
  </r>
  <r>
    <s v="dshippardgt"/>
    <s v="macromedia.com"/>
    <s v="Dniren"/>
    <s v="Shippard"/>
    <s v="Female"/>
    <s v="Female"/>
    <s v="50.10.123.66"/>
    <s v="178.73.91.175"/>
    <n v="606"/>
    <n v="606"/>
    <s v="NASDAQ"/>
    <s v="SRCLP"/>
    <s v="Stericycle, Inc."/>
    <x v="10"/>
    <s v="Environmental Services"/>
    <s v="N/A"/>
    <n v="0"/>
    <n v="1030.8699999999999"/>
    <n v="-10.7"/>
    <n v="21513420"/>
    <d v="2024-09-17T00:00:00"/>
    <s v="Missing"/>
  </r>
  <r>
    <s v="cladsongu"/>
    <s v="umn.edu"/>
    <s v="Claudia"/>
    <s v="Ladson"/>
    <s v="Female"/>
    <s v="Female"/>
    <s v="138.53.61.215"/>
    <s v="209.254.203.128"/>
    <n v="607"/>
    <n v="607"/>
    <s v="NASDAQ"/>
    <s v="OFED"/>
    <s v="Oconee Federal Financial Corp."/>
    <x v="3"/>
    <s v="Savings Institutions"/>
    <s v="$161.77M"/>
    <n v="161770000"/>
    <n v="790.52"/>
    <n v="4.3600000000000003"/>
    <n v="98277015"/>
    <d v="2021-08-23T00:00:00"/>
    <s v="Complete"/>
  </r>
  <r>
    <s v="aswindallgv"/>
    <s v="51.la"/>
    <s v="Aurelia"/>
    <s v="Swindall"/>
    <s v="Female"/>
    <s v="Female"/>
    <s v="33.102.92.76"/>
    <s v="84.120.71.29"/>
    <n v="608"/>
    <n v="608"/>
    <s v="NASDAQ"/>
    <s v="WNEB"/>
    <s v="Western New England Bancorp, Inc."/>
    <x v="3"/>
    <s v="Savings Institutions"/>
    <s v="$332.53M"/>
    <n v="332530000"/>
    <n v="555.52"/>
    <n v="1.58"/>
    <n v="199751386"/>
    <d v="2026-03-29T00:00:00"/>
    <s v="Complete"/>
  </r>
  <r>
    <s v="rratterygw"/>
    <s v="pen.io"/>
    <s v="Reuven"/>
    <s v="Rattery"/>
    <s v="Male"/>
    <s v="Male"/>
    <s v="107.20.197.154"/>
    <s v="193.14.15.99"/>
    <n v="609"/>
    <n v="609"/>
    <s v="NYSE"/>
    <s v="PBT"/>
    <s v="Permian Basin Royalty Trust"/>
    <x v="9"/>
    <s v="Oil &amp; Gas Production"/>
    <s v="$426.47M"/>
    <n v="426470000"/>
    <n v="378.35"/>
    <n v="13"/>
    <n v="39176221"/>
    <d v="2022-12-24T00:00:00"/>
    <s v="Complete"/>
  </r>
  <r>
    <s v="jpettigrewgx"/>
    <s v="arizona.edu"/>
    <s v="Julio"/>
    <s v="Pettigrew"/>
    <s v="Male"/>
    <s v="Male"/>
    <s v="60.241.85.134"/>
    <s v="250.135.84.228"/>
    <n v="610"/>
    <n v="610"/>
    <s v="NASDAQ"/>
    <s v="LSXMK"/>
    <s v="Liberty Media Corporation"/>
    <x v="6"/>
    <s v="Broadcasting"/>
    <s v="$13.88B"/>
    <n v="13880000000"/>
    <n v="981.7"/>
    <n v="-15.26"/>
    <n v="58070519"/>
    <d v="2024-01-07T00:00:00"/>
    <s v="Complete"/>
  </r>
  <r>
    <s v="mlehucquetgy"/>
    <s v="va.gov"/>
    <s v="Marietta"/>
    <s v="Le Hucquet"/>
    <s v="Female"/>
    <s v="Female"/>
    <s v="185.68.241.51"/>
    <s v="226.68.91.210"/>
    <n v="611"/>
    <n v="611"/>
    <s v="NASDAQ"/>
    <s v="BNSO"/>
    <s v="Bonso Electronics International, Inc."/>
    <x v="1"/>
    <s v="Industrial Machinery/Components"/>
    <s v="$12.63M"/>
    <n v="12630000"/>
    <n v="1942.49"/>
    <n v="-15.86"/>
    <n v="192114183"/>
    <d v="2025-03-07T00:00:00"/>
    <s v="Complete"/>
  </r>
  <r>
    <s v="ihearseygz"/>
    <s v="yellowbook.com"/>
    <s v="Ives"/>
    <s v="Hearsey"/>
    <s v="Genderqueer"/>
    <s v="Other"/>
    <s v="121.146.19.155"/>
    <s v="40.108.192.118"/>
    <n v="612"/>
    <n v="612"/>
    <s v="NASDAQ"/>
    <s v="OSUR"/>
    <s v="OraSure Technologies, Inc."/>
    <x v="0"/>
    <s v="Medical/Dental Instruments"/>
    <s v="$862.98M"/>
    <n v="862980000"/>
    <n v="1659.14"/>
    <n v="-6.25"/>
    <n v="185402244"/>
    <d v="2021-07-24T00:00:00"/>
    <s v="Complete"/>
  </r>
  <r>
    <s v="emackaileh0"/>
    <s v="pagesperso-orange.fr"/>
    <s v="Esra"/>
    <s v="MacKaile"/>
    <s v="Male"/>
    <s v="Male"/>
    <s v="212.12.202.146"/>
    <s v="58.65.55.164"/>
    <n v="613"/>
    <n v="613"/>
    <s v="NYSE"/>
    <s v="SR"/>
    <s v="Spire Inc."/>
    <x v="8"/>
    <s v="Oil/Gas Transmission"/>
    <s v="$3.49B"/>
    <n v="3490000000"/>
    <n v="1061.3"/>
    <n v="-8.14"/>
    <n v="63843562"/>
    <d v="2021-01-21T00:00:00"/>
    <s v="Complete"/>
  </r>
  <r>
    <s v="kvakhrushevh1"/>
    <s v="webeden.co.uk"/>
    <s v="Killie"/>
    <s v="Vakhrushev"/>
    <s v="Male"/>
    <s v="Male"/>
    <s v="221.31.147.22"/>
    <s v="203.174.49.157"/>
    <n v="614"/>
    <n v="614"/>
    <s v="NYSE"/>
    <s v="VEDL"/>
    <s v="Vedanta  Limited"/>
    <x v="1"/>
    <s v="Metal Fabrications"/>
    <s v="$10.79B"/>
    <n v="10790000000"/>
    <n v="386.32"/>
    <n v="5.97"/>
    <n v="175257884"/>
    <d v="2025-11-15T00:00:00"/>
    <s v="Complete"/>
  </r>
  <r>
    <s v="seakleh2"/>
    <s v="archive.org"/>
    <s v="Shelba"/>
    <s v="Eakle"/>
    <s v="Female"/>
    <s v="Female"/>
    <s v="186.117.113.191"/>
    <s v="40.225.37.154"/>
    <n v="615"/>
    <n v="615"/>
    <s v="NASDAQ"/>
    <s v="FRED"/>
    <s v="Fred's, Inc."/>
    <x v="6"/>
    <s v="Department/Specialty Retail Stores"/>
    <s v="$408.67M"/>
    <n v="408670000"/>
    <n v="1400.25"/>
    <n v="10.7"/>
    <n v="171123761"/>
    <d v="2025-10-24T00:00:00"/>
    <s v="Complete"/>
  </r>
  <r>
    <s v="sclynmansh3"/>
    <s v="google.de"/>
    <s v="Sunny"/>
    <s v="Clynmans"/>
    <s v="Male"/>
    <s v="Male"/>
    <s v="239.16.115.178"/>
    <s v="21.169.65.149"/>
    <n v="616"/>
    <n v="616"/>
    <s v="NYSE"/>
    <s v="EMR"/>
    <s v="Emerson Electric Company"/>
    <x v="9"/>
    <s v="Consumer Electronics/Appliances"/>
    <s v="$39.11B"/>
    <n v="39110000000"/>
    <n v="1000.93"/>
    <n v="11.03"/>
    <n v="17800825"/>
    <d v="2022-06-25T00:00:00"/>
    <s v="Complete"/>
  </r>
  <r>
    <s v="rpollackh4"/>
    <s v="npr.org"/>
    <s v="Rachel"/>
    <s v="Pollack"/>
    <s v="Female"/>
    <s v="Female"/>
    <s v="127.31.159.125"/>
    <s v="18.146.175.43"/>
    <n v="617"/>
    <n v="617"/>
    <s v="NYSE"/>
    <s v="BHLB"/>
    <s v="Berkshire Hills Bancorp, Inc."/>
    <x v="3"/>
    <s v="Banks"/>
    <s v="$1.5B"/>
    <n v="1500000000"/>
    <n v="108.2"/>
    <n v="5.39"/>
    <n v="66202568"/>
    <d v="2021-11-15T00:00:00"/>
    <s v="Complete"/>
  </r>
  <r>
    <s v="ctwisth5"/>
    <s v="reuters.com"/>
    <s v="Cash"/>
    <s v="Twist"/>
    <s v="Agender"/>
    <s v="Other"/>
    <s v="110.223.246.251"/>
    <s v="54.237.179.242"/>
    <n v="618"/>
    <n v="618"/>
    <s v="NASDAQ"/>
    <s v="INVA"/>
    <s v="Innoviva, Inc."/>
    <x v="0"/>
    <s v="Major Pharmaceuticals"/>
    <s v="$1.31B"/>
    <n v="1310000000"/>
    <n v="1175.31"/>
    <n v="-16.87"/>
    <n v="152316759"/>
    <d v="2026-12-15T00:00:00"/>
    <s v="Complete"/>
  </r>
  <r>
    <s v="adreweryh6"/>
    <s v="stanford.edu"/>
    <s v="Ardene"/>
    <s v="Drewery"/>
    <s v="Female"/>
    <s v="Female"/>
    <s v="135.80.2.115"/>
    <s v="184.255.174.96"/>
    <n v="619"/>
    <n v="619"/>
    <s v="NYSE"/>
    <s v="MIY"/>
    <s v="Blackrock MuniYield Michigan Quality Fund, Inc."/>
    <x v="2"/>
    <s v="N/A"/>
    <s v="$415.87M"/>
    <n v="415870000"/>
    <n v="467.48"/>
    <n v="8.9600000000000009"/>
    <n v="168245510"/>
    <d v="2021-03-16T00:00:00"/>
    <s v="Missing"/>
  </r>
  <r>
    <s v="llongboneh7"/>
    <s v="hubpages.com"/>
    <s v="Lindsay"/>
    <s v="Longbone"/>
    <s v="Agender"/>
    <s v="Other"/>
    <s v="242.107.20.42"/>
    <s v="185.168.179.224"/>
    <n v="620"/>
    <n v="620"/>
    <s v="NASDAQ"/>
    <s v="GFNSL"/>
    <s v="General Finance Corporation"/>
    <x v="4"/>
    <s v="Diversified Commercial Services"/>
    <s v="N/A"/>
    <n v="0"/>
    <n v="863.47"/>
    <n v="-3.59"/>
    <n v="187156222"/>
    <d v="2022-12-12T00:00:00"/>
    <s v="Missing"/>
  </r>
  <r>
    <s v="ccoenh8"/>
    <s v="cmu.edu"/>
    <s v="Carleton"/>
    <s v="Coen"/>
    <s v="Male"/>
    <s v="Male"/>
    <s v="171.152.9.101"/>
    <s v="248.40.64.106"/>
    <n v="621"/>
    <n v="621"/>
    <s v="NASDAQ"/>
    <s v="VIDI"/>
    <s v="Vident International Equity Fund"/>
    <x v="2"/>
    <s v="N/A"/>
    <s v="N/A"/>
    <n v="0"/>
    <n v="1600.84"/>
    <n v="9.89"/>
    <n v="179059269"/>
    <d v="2026-03-15T00:00:00"/>
    <s v="Missing"/>
  </r>
  <r>
    <s v="kgingerh9"/>
    <s v="mayoclinic.com"/>
    <s v="Karly"/>
    <s v="Ginger"/>
    <s v="Female"/>
    <s v="Female"/>
    <s v="178.190.30.22"/>
    <s v="112.37.36.11"/>
    <n v="622"/>
    <n v="622"/>
    <s v="NYSE"/>
    <s v="PHM"/>
    <s v="PulteGroup, Inc."/>
    <x v="1"/>
    <s v="Homebuilding"/>
    <s v="$7.58B"/>
    <n v="7580000000"/>
    <n v="1066.8900000000001"/>
    <n v="6.8"/>
    <n v="92915569"/>
    <d v="2024-07-01T00:00:00"/>
    <s v="Complete"/>
  </r>
  <r>
    <s v="ipartrickha"/>
    <s v="pen.io"/>
    <s v="Iggy"/>
    <s v="Partrick"/>
    <s v="Male"/>
    <s v="Male"/>
    <s v="27.41.177.167"/>
    <s v="212.100.52.212"/>
    <n v="623"/>
    <n v="623"/>
    <s v="NYSE"/>
    <s v="BHK"/>
    <s v="Blackrock Core Bond Trust"/>
    <x v="2"/>
    <s v="N/A"/>
    <s v="$741.61M"/>
    <n v="741610000"/>
    <n v="1210.33"/>
    <n v="8.3699999999999992"/>
    <n v="12719776"/>
    <d v="2020-08-01T00:00:00"/>
    <s v="Missing"/>
  </r>
  <r>
    <s v="mwesleyhb"/>
    <s v="furl.net"/>
    <s v="Monah"/>
    <s v="Wesley"/>
    <s v="Agender"/>
    <s v="Other"/>
    <s v="250.5.197.16"/>
    <s v="191.6.234.160"/>
    <n v="624"/>
    <n v="624"/>
    <s v="NYSE"/>
    <s v="ENV"/>
    <s v="Envestnet, Inc"/>
    <x v="7"/>
    <s v="Business Services"/>
    <s v="$1.67B"/>
    <n v="1670000000"/>
    <n v="332.73"/>
    <n v="-2.37"/>
    <n v="189315680"/>
    <d v="2021-09-18T00:00:00"/>
    <s v="Complete"/>
  </r>
  <r>
    <s v="lmccurthc"/>
    <s v="skype.com"/>
    <s v="Ludovico"/>
    <s v="McCurt"/>
    <s v="Male"/>
    <s v="Male"/>
    <s v="131.63.92.70"/>
    <s v="102.247.148.186"/>
    <n v="625"/>
    <n v="625"/>
    <s v="NASDAQ"/>
    <s v="SAFM"/>
    <s v="Sanderson Farms, Inc."/>
    <x v="5"/>
    <s v="Meat/Poultry/Fish"/>
    <s v="$2.88B"/>
    <n v="2880000000"/>
    <n v="852.66"/>
    <n v="17.600000000000001"/>
    <n v="107564543"/>
    <d v="2023-03-20T00:00:00"/>
    <s v="Complete"/>
  </r>
  <r>
    <s v="ahalwoodhd"/>
    <s v="census.gov"/>
    <s v="Alyson"/>
    <s v="Halwood"/>
    <s v="Female"/>
    <s v="Female"/>
    <s v="225.202.185.11"/>
    <s v="68.155.201.71"/>
    <n v="626"/>
    <n v="626"/>
    <s v="NASDAQ"/>
    <s v="PETS"/>
    <s v="PetMed Express, Inc."/>
    <x v="0"/>
    <s v="Medical/Nursing Services"/>
    <s v="$785.51M"/>
    <n v="785510000"/>
    <n v="1370.91"/>
    <n v="0.42"/>
    <n v="177166301"/>
    <d v="2024-06-29T00:00:00"/>
    <s v="Complete"/>
  </r>
  <r>
    <s v="cgowdyhe"/>
    <s v="cyberchimps.com"/>
    <s v="Camel"/>
    <s v="Gowdy"/>
    <s v="Female"/>
    <s v="Female"/>
    <s v="60.161.167.237"/>
    <s v="248.47.112.83"/>
    <n v="627"/>
    <n v="627"/>
    <s v="NASDAQ"/>
    <s v="APLP"/>
    <s v="Archrock Partners, L.P."/>
    <x v="8"/>
    <s v="Natural Gas Distribution"/>
    <s v="$930.51M"/>
    <n v="930510000"/>
    <n v="1022.14"/>
    <n v="14.38"/>
    <n v="75377254"/>
    <d v="2023-08-20T00:00:00"/>
    <s v="Complete"/>
  </r>
  <r>
    <s v="ejannaschhf"/>
    <s v="lulu.com"/>
    <s v="Ewell"/>
    <s v="Jannasch"/>
    <s v="Male"/>
    <s v="Male"/>
    <s v="38.77.109.201"/>
    <s v="29.121.231.191"/>
    <n v="628"/>
    <n v="628"/>
    <s v="NASDAQ"/>
    <s v="ESSA"/>
    <s v="ESSA Bancorp, Inc."/>
    <x v="3"/>
    <s v="Banks"/>
    <s v="$175.65M"/>
    <n v="175650000"/>
    <n v="1083.3"/>
    <n v="-4.16"/>
    <n v="16552327"/>
    <d v="2020-04-26T00:00:00"/>
    <s v="Complete"/>
  </r>
  <r>
    <s v="bburdounhg"/>
    <s v="samsung.com"/>
    <s v="Bobina"/>
    <s v="Burdoun"/>
    <s v="Female"/>
    <s v="Female"/>
    <s v="123.167.125.28"/>
    <s v="8.233.241.216"/>
    <n v="629"/>
    <n v="629"/>
    <s v="NYSE"/>
    <s v="AGRO"/>
    <s v="Adecoagro S.A."/>
    <x v="5"/>
    <s v="Farming/Seeds/Milling"/>
    <s v="$1.21B"/>
    <n v="1210000000"/>
    <n v="1756.26"/>
    <n v="6.52"/>
    <n v="91360688"/>
    <d v="2021-06-09T00:00:00"/>
    <s v="Complete"/>
  </r>
  <r>
    <s v="amunthh"/>
    <s v="cisco.com"/>
    <s v="Alexandrina"/>
    <s v="Munt"/>
    <s v="Female"/>
    <s v="Female"/>
    <s v="131.221.136.34"/>
    <s v="215.226.68.175"/>
    <n v="630"/>
    <n v="630"/>
    <s v="NYSE"/>
    <s v="WTI"/>
    <s v="W&amp;T Offshore, Inc."/>
    <x v="9"/>
    <s v="Oil &amp; Gas Production"/>
    <s v="$284.99M"/>
    <n v="284990000"/>
    <n v="492.23"/>
    <n v="9.98"/>
    <n v="173574904"/>
    <d v="2022-05-23T00:00:00"/>
    <s v="Complete"/>
  </r>
  <r>
    <s v="gladewighi"/>
    <s v="scribd.com"/>
    <s v="Gregorius"/>
    <s v="Ladewig"/>
    <s v="Male"/>
    <s v="Male"/>
    <s v="4.193.204.182"/>
    <s v="66.48.184.245"/>
    <n v="631"/>
    <n v="631"/>
    <s v="NASDAQ"/>
    <s v="PRTK"/>
    <s v="Paratek Pharmaceuticals, Inc. "/>
    <x v="0"/>
    <s v="Major Pharmaceuticals"/>
    <s v="$618.42M"/>
    <n v="618420000"/>
    <n v="1281.8800000000001"/>
    <n v="-2.5"/>
    <n v="189720544"/>
    <d v="2022-06-22T00:00:00"/>
    <s v="Complete"/>
  </r>
  <r>
    <s v="fstennerhj"/>
    <s v="nationalgeographic.com"/>
    <s v="Flem"/>
    <s v="Stenner"/>
    <s v="Male"/>
    <s v="Male"/>
    <s v="26.16.61.32"/>
    <s v="206.224.35.171"/>
    <n v="632"/>
    <n v="632"/>
    <s v="NYSE"/>
    <s v="CUBI^E"/>
    <s v="Customers Bancorp, Inc"/>
    <x v="2"/>
    <s v="N/A"/>
    <s v="N/A"/>
    <n v="0"/>
    <n v="1366.03"/>
    <n v="14.07"/>
    <n v="66462878"/>
    <d v="2021-06-21T00:00:00"/>
    <s v="Missing"/>
  </r>
  <r>
    <s v="eketchellhk"/>
    <s v="nhs.uk"/>
    <s v="Ennis"/>
    <s v="Ketchell"/>
    <s v="Male"/>
    <s v="Male"/>
    <s v="26.75.132.251"/>
    <s v="81.135.102.227"/>
    <n v="633"/>
    <n v="633"/>
    <s v="NYSE"/>
    <s v="MORE          "/>
    <s v="Monogram Residential Trust, Inc."/>
    <x v="6"/>
    <s v="Real Estate Investment Trusts"/>
    <s v="$1.68B"/>
    <n v="1680000000"/>
    <n v="1852.52"/>
    <n v="5.94"/>
    <n v="26695013"/>
    <d v="2025-12-18T00:00:00"/>
    <s v="Complete"/>
  </r>
  <r>
    <s v="fcorsorhl"/>
    <s v="businesswire.com"/>
    <s v="Fallon"/>
    <s v="Corsor"/>
    <s v="Female"/>
    <s v="Female"/>
    <s v="232.20.103.196"/>
    <s v="245.246.125.102"/>
    <n v="634"/>
    <n v="634"/>
    <s v="NYSE"/>
    <s v="EFX"/>
    <s v="Equifax, Inc."/>
    <x v="3"/>
    <s v="Finance: Consumer Services"/>
    <s v="$17.14B"/>
    <n v="17140000000"/>
    <n v="1788.83"/>
    <n v="-9.83"/>
    <n v="131453114"/>
    <d v="2020-04-06T00:00:00"/>
    <s v="Complete"/>
  </r>
  <r>
    <s v="ksturleyhm"/>
    <s v="nationalgeographic.com"/>
    <s v="Karyl"/>
    <s v="Sturley"/>
    <s v="Genderfluid"/>
    <s v="Other"/>
    <s v="15.152.177.98"/>
    <s v="6.190.77.112"/>
    <n v="635"/>
    <n v="635"/>
    <s v="NASDAQ"/>
    <s v="SANM"/>
    <s v="Sanmina Corporation"/>
    <x v="4"/>
    <s v="Electrical Products"/>
    <s v="$2.83B"/>
    <n v="2830000000"/>
    <n v="297.70999999999998"/>
    <n v="-17.850000000000001"/>
    <n v="129705561"/>
    <d v="2024-05-23T00:00:00"/>
    <s v="Complete"/>
  </r>
  <r>
    <s v="bskeemorhn"/>
    <s v="cnet.com"/>
    <s v="Barthel"/>
    <s v="Skeemor"/>
    <s v="Male"/>
    <s v="Male"/>
    <s v="151.227.52.238"/>
    <s v="92.243.126.142"/>
    <n v="636"/>
    <n v="636"/>
    <s v="NASDAQ"/>
    <s v="FANH"/>
    <s v="Fanhua Inc."/>
    <x v="3"/>
    <s v="Specialty Insurers"/>
    <s v="$554.47M"/>
    <n v="554470000"/>
    <n v="304.22000000000003"/>
    <n v="-11.23"/>
    <n v="77942380"/>
    <d v="2024-02-10T00:00:00"/>
    <s v="Complete"/>
  </r>
  <r>
    <s v="kaksellho"/>
    <s v="ifeng.com"/>
    <s v="Kristine"/>
    <s v="Aksell"/>
    <s v="Female"/>
    <s v="Female"/>
    <s v="26.73.17.8"/>
    <s v="92.238.75.120"/>
    <n v="637"/>
    <n v="637"/>
    <s v="NYSE"/>
    <s v="BAK"/>
    <s v="Braskem S.A."/>
    <x v="10"/>
    <s v="Major Chemicals"/>
    <s v="$7.97B"/>
    <n v="7970000000"/>
    <n v="528.46"/>
    <n v="8.49"/>
    <n v="103549101"/>
    <d v="2025-09-23T00:00:00"/>
    <s v="Complete"/>
  </r>
  <r>
    <s v="mbabberhp"/>
    <s v="statcounter.com"/>
    <s v="Madel"/>
    <s v="Babber"/>
    <s v="Female"/>
    <s v="Female"/>
    <s v="238.227.12.14"/>
    <s v="159.46.149.72"/>
    <n v="638"/>
    <n v="638"/>
    <s v="NYSE"/>
    <s v="STT^E"/>
    <s v="State Street Corporation"/>
    <x v="2"/>
    <s v="N/A"/>
    <s v="N/A"/>
    <n v="0"/>
    <n v="1652.79"/>
    <n v="4.4400000000000004"/>
    <n v="56886295"/>
    <d v="2022-12-29T00:00:00"/>
    <s v="Missing"/>
  </r>
  <r>
    <s v="ppetyaninhq"/>
    <s v="t-online.de"/>
    <s v="Pam"/>
    <s v="Petyanin"/>
    <s v="Female"/>
    <s v="Female"/>
    <s v="161.93.88.65"/>
    <s v="108.137.120.203"/>
    <n v="639"/>
    <n v="639"/>
    <s v="NASDAQ"/>
    <s v="KTEC"/>
    <s v="Key Technology, Inc."/>
    <x v="4"/>
    <s v="Industrial Machinery/Components"/>
    <s v="$87.57M"/>
    <n v="87570000"/>
    <n v="1132.78"/>
    <n v="2.92"/>
    <n v="114383978"/>
    <d v="2021-04-23T00:00:00"/>
    <s v="Complete"/>
  </r>
  <r>
    <s v="fmcgairlhr"/>
    <s v="hud.gov"/>
    <s v="Florencia"/>
    <s v="McGairl"/>
    <s v="Female"/>
    <s v="Female"/>
    <s v="31.131.164.207"/>
    <s v="40.159.69.212"/>
    <n v="640"/>
    <n v="640"/>
    <s v="NYSE"/>
    <s v="LTM"/>
    <s v="LATAM Airlines Group S.A."/>
    <x v="12"/>
    <s v="Air Freight/Delivery Services"/>
    <s v="$6.79B"/>
    <n v="6790000000"/>
    <n v="1965.43"/>
    <n v="0.11"/>
    <n v="181736196"/>
    <d v="2022-04-09T00:00:00"/>
    <s v="Complete"/>
  </r>
  <r>
    <s v="jattrillhs"/>
    <s v="addtoany.com"/>
    <s v="Jaquith"/>
    <s v="Attrill"/>
    <s v="Female"/>
    <s v="Female"/>
    <s v="169.36.127.254"/>
    <s v="185.136.176.225"/>
    <n v="641"/>
    <n v="641"/>
    <s v="NYSE"/>
    <s v="JBN"/>
    <s v="Select Asset Inc."/>
    <x v="3"/>
    <s v="Finance: Consumer Services"/>
    <s v="N/A"/>
    <n v="0"/>
    <n v="478.44"/>
    <n v="7.76"/>
    <n v="97651342"/>
    <d v="2025-11-26T00:00:00"/>
    <s v="Missing"/>
  </r>
  <r>
    <s v="hbroxholmeht"/>
    <s v="barnesandnoble.com"/>
    <s v="Heloise"/>
    <s v="Broxholme"/>
    <s v="Female"/>
    <s v="Female"/>
    <s v="250.40.135.5"/>
    <s v="141.106.163.46"/>
    <n v="642"/>
    <n v="642"/>
    <s v="NYSE"/>
    <s v="CXH"/>
    <s v="Colonial Investment Grade Municipal Trust"/>
    <x v="2"/>
    <s v="N/A"/>
    <s v="$116.91M"/>
    <n v="116910000"/>
    <n v="1080.8"/>
    <n v="15.41"/>
    <n v="45347858"/>
    <d v="2021-02-12T00:00:00"/>
    <s v="Missing"/>
  </r>
  <r>
    <s v="tharberthu"/>
    <s v="nifty.com"/>
    <s v="Trudey"/>
    <s v="Harbert"/>
    <s v="Female"/>
    <s v="Female"/>
    <s v="159.25.243.106"/>
    <s v="7.161.33.232"/>
    <n v="643"/>
    <n v="643"/>
    <s v="NASDAQ"/>
    <s v="OLLI"/>
    <s v="Ollie's Bargain Outlet Holdings, Inc."/>
    <x v="6"/>
    <s v="Department/Specialty Retail Stores"/>
    <s v="$2.5B"/>
    <n v="2500000000"/>
    <n v="1271.45"/>
    <n v="-10.15"/>
    <n v="35958762"/>
    <d v="2020-01-16T00:00:00"/>
    <s v="Complete"/>
  </r>
  <r>
    <s v="gkornhv"/>
    <s v="gnu.org"/>
    <s v="Gayle"/>
    <s v="Korn"/>
    <s v="Male"/>
    <s v="Male"/>
    <s v="195.113.142.206"/>
    <s v="196.128.60.235"/>
    <n v="644"/>
    <n v="644"/>
    <s v="NYSE"/>
    <s v="NEE^I"/>
    <s v="NextEra Energy, Inc."/>
    <x v="2"/>
    <s v="N/A"/>
    <s v="N/A"/>
    <n v="0"/>
    <n v="663"/>
    <n v="-8.08"/>
    <n v="137287443"/>
    <d v="2021-12-16T00:00:00"/>
    <s v="Missing"/>
  </r>
  <r>
    <s v="wembertonhw"/>
    <s v="photobucket.com"/>
    <s v="Warren"/>
    <s v="Emberton"/>
    <s v="Male"/>
    <s v="Male"/>
    <s v="118.127.86.99"/>
    <s v="239.121.116.107"/>
    <n v="645"/>
    <n v="645"/>
    <s v="NASDAQ"/>
    <s v="PAHC"/>
    <s v="Phibro Animal Health Corporation"/>
    <x v="0"/>
    <s v="Major Pharmaceuticals"/>
    <s v="$1.43B"/>
    <n v="1430000000"/>
    <n v="1307.98"/>
    <n v="17.55"/>
    <n v="119989709"/>
    <d v="2024-06-18T00:00:00"/>
    <s v="Complete"/>
  </r>
  <r>
    <s v="wreaphx"/>
    <s v="icio.us"/>
    <s v="Waylin"/>
    <s v="Reap"/>
    <s v="Male"/>
    <s v="Male"/>
    <s v="153.121.213.17"/>
    <s v="59.228.51.114"/>
    <n v="646"/>
    <n v="646"/>
    <s v="NASDAQ"/>
    <s v="LULU"/>
    <s v="lululemon athletica inc."/>
    <x v="5"/>
    <s v="Apparel"/>
    <s v="$7.24B"/>
    <n v="7240000000"/>
    <n v="1240.3900000000001"/>
    <n v="-1.29"/>
    <n v="147790161"/>
    <d v="2022-02-15T00:00:00"/>
    <s v="Complete"/>
  </r>
  <r>
    <s v="wbossonhy"/>
    <s v="thetimes.co.uk"/>
    <s v="Weber"/>
    <s v="Bosson"/>
    <s v="Genderfluid"/>
    <s v="Other"/>
    <s v="33.242.80.114"/>
    <s v="21.82.248.71"/>
    <n v="647"/>
    <n v="647"/>
    <s v="NYSE"/>
    <s v="STAG^B"/>
    <s v="Stag Industrial, Inc."/>
    <x v="2"/>
    <s v="N/A"/>
    <s v="N/A"/>
    <n v="0"/>
    <n v="1043.5999999999999"/>
    <n v="-9.15"/>
    <n v="28088671"/>
    <d v="2025-08-05T00:00:00"/>
    <s v="Missing"/>
  </r>
  <r>
    <s v="dcranfieldhz"/>
    <s v="wordpress.org"/>
    <s v="Debee"/>
    <s v="Cranfield"/>
    <s v="Female"/>
    <s v="Female"/>
    <s v="201.151.176.65"/>
    <s v="25.15.51.78"/>
    <n v="648"/>
    <n v="648"/>
    <s v="NYSE"/>
    <s v="ZBK"/>
    <s v="Zions Bancorporation"/>
    <x v="3"/>
    <s v="Major Banks"/>
    <s v="N/A"/>
    <n v="0"/>
    <n v="663.29"/>
    <n v="-8.6199999999999992"/>
    <n v="89996811"/>
    <d v="2021-07-20T00:00:00"/>
    <s v="Missing"/>
  </r>
  <r>
    <s v="dshuttlewoodi0"/>
    <s v="indiatimes.com"/>
    <s v="Donavon"/>
    <s v="Shuttlewood"/>
    <s v="Male"/>
    <s v="Male"/>
    <s v="147.181.98.181"/>
    <s v="94.112.231.89"/>
    <n v="649"/>
    <n v="649"/>
    <s v="NASDAQ"/>
    <s v="MKTX"/>
    <s v="MarketAxess Holdings, Inc."/>
    <x v="3"/>
    <s v="Investment Bankers/Brokers/Service"/>
    <s v="$7.72B"/>
    <n v="7720000000"/>
    <n v="1051.49"/>
    <n v="4.2"/>
    <n v="163261129"/>
    <d v="2025-10-10T00:00:00"/>
    <s v="Complete"/>
  </r>
  <r>
    <s v="cduthiei1"/>
    <s v="privacy.gov.au"/>
    <s v="Chandra"/>
    <s v="Duthie"/>
    <s v="Female"/>
    <s v="Female"/>
    <s v="159.103.122.16"/>
    <s v="94.29.197.191"/>
    <n v="650"/>
    <n v="650"/>
    <s v="NYSE"/>
    <s v="DCM"/>
    <s v="NTT DOCOMO, Inc"/>
    <x v="4"/>
    <s v="Radio And Television Broadcasting And Communications Equipment"/>
    <s v="$96.67B"/>
    <n v="96670000000"/>
    <n v="1516.97"/>
    <n v="19"/>
    <n v="139362323"/>
    <d v="2024-04-18T00:00:00"/>
    <s v="Complete"/>
  </r>
  <r>
    <s v="nstranierii2"/>
    <s v="exblog.jp"/>
    <s v="Niki"/>
    <s v="Stranieri"/>
    <s v="Male"/>
    <s v="Male"/>
    <s v="193.213.237.226"/>
    <s v="21.202.200.107"/>
    <n v="651"/>
    <n v="651"/>
    <s v="NASDAQ"/>
    <s v="CBSHP"/>
    <s v="Commerce Bancshares, Inc."/>
    <x v="3"/>
    <s v="Major Banks"/>
    <s v="$2.4B"/>
    <n v="2400000000"/>
    <n v="656.54"/>
    <n v="10.66"/>
    <n v="112774943"/>
    <d v="2022-05-17T00:00:00"/>
    <s v="Complete"/>
  </r>
  <r>
    <s v="rdorsayi3"/>
    <s v="shinystat.com"/>
    <s v="Robinet"/>
    <s v="D'Orsay"/>
    <s v="Female"/>
    <s v="Female"/>
    <s v="92.221.163.154"/>
    <s v="252.215.133.97"/>
    <n v="652"/>
    <n v="652"/>
    <s v="NASDAQ"/>
    <s v="TRVG"/>
    <s v="trivago N.V."/>
    <x v="2"/>
    <s v="N/A"/>
    <s v="$4.38B"/>
    <n v="4380000000"/>
    <n v="1285.26"/>
    <n v="-3.2"/>
    <n v="163053189"/>
    <d v="2026-10-22T00:00:00"/>
    <s v="Missing"/>
  </r>
  <r>
    <s v="gbatkini4"/>
    <s v="hexun.com"/>
    <s v="Guthrie"/>
    <s v="Batkin"/>
    <s v="Male"/>
    <s v="Male"/>
    <s v="247.173.171.77"/>
    <s v="237.159.233.171"/>
    <n v="653"/>
    <n v="653"/>
    <s v="NYSE"/>
    <s v="ADSW"/>
    <s v="Advanced Disposal Services, Inc."/>
    <x v="8"/>
    <s v="Environmental Services"/>
    <s v="$2.1B"/>
    <n v="2100000000"/>
    <n v="665.54"/>
    <n v="-13.29"/>
    <n v="66576901"/>
    <d v="2026-04-05T00:00:00"/>
    <s v="Complete"/>
  </r>
  <r>
    <s v="vhutsbyi5"/>
    <s v="answers.com"/>
    <s v="Vivien"/>
    <s v="Hutsby"/>
    <s v="Female"/>
    <s v="Female"/>
    <s v="77.90.143.250"/>
    <s v="126.23.17.184"/>
    <n v="654"/>
    <n v="654"/>
    <s v="NYSE"/>
    <s v="NAZ"/>
    <s v="Nuveen Arizona Quality Municipal Income Fund"/>
    <x v="2"/>
    <s v="N/A"/>
    <s v="$167.96M"/>
    <n v="167960000"/>
    <n v="1660.19"/>
    <n v="-2.6"/>
    <n v="125946407"/>
    <d v="2024-07-02T00:00:00"/>
    <s v="Missing"/>
  </r>
  <r>
    <s v="bdecenti6"/>
    <s v="live.com"/>
    <s v="Bo"/>
    <s v="Decent"/>
    <s v="Agender"/>
    <s v="Other"/>
    <s v="234.249.43.85"/>
    <s v="199.25.93.115"/>
    <n v="655"/>
    <n v="655"/>
    <s v="NYSE"/>
    <s v="ACM"/>
    <s v="AECOM"/>
    <x v="6"/>
    <s v="Military/Government/Technical"/>
    <s v="$5.08B"/>
    <n v="5080000000"/>
    <n v="349.82"/>
    <n v="-17.79"/>
    <n v="124204008"/>
    <d v="2022-12-16T00:00:00"/>
    <s v="Complete"/>
  </r>
  <r>
    <s v="mloffilli7"/>
    <s v="economist.com"/>
    <s v="Merrill"/>
    <s v="Loffill"/>
    <s v="Female"/>
    <s v="Female"/>
    <s v="166.206.241.191"/>
    <s v="156.99.107.152"/>
    <n v="656"/>
    <n v="656"/>
    <s v="NASDAQ"/>
    <s v="SSKN"/>
    <s v="Strata Skin Sciences, Inc."/>
    <x v="0"/>
    <s v="Medical/Dental Instruments"/>
    <s v="$6.36M"/>
    <n v="6360000"/>
    <n v="382.47"/>
    <n v="18.66"/>
    <n v="177958701"/>
    <d v="2025-07-15T00:00:00"/>
    <s v="Complete"/>
  </r>
  <r>
    <s v="tguiraui8"/>
    <s v="ox.ac.uk"/>
    <s v="Tresa"/>
    <s v="Guirau"/>
    <s v="Female"/>
    <s v="Female"/>
    <s v="130.116.6.44"/>
    <s v="12.155.68.28"/>
    <n v="657"/>
    <n v="657"/>
    <s v="NYSE"/>
    <s v="CAF"/>
    <s v="Morgan Stanley China A Share Fund Inc."/>
    <x v="2"/>
    <s v="N/A"/>
    <s v="$474.83M"/>
    <n v="474830000"/>
    <n v="394.28"/>
    <n v="-11.18"/>
    <n v="174600201"/>
    <d v="2022-07-17T00:00:00"/>
    <s v="Missing"/>
  </r>
  <r>
    <s v="wathowi9"/>
    <s v="usa.gov"/>
    <s v="Wendell"/>
    <s v="Athow"/>
    <s v="Male"/>
    <s v="Male"/>
    <s v="200.103.95.167"/>
    <s v="194.133.123.228"/>
    <n v="658"/>
    <n v="658"/>
    <s v="NASDAQ"/>
    <s v="PLXP"/>
    <s v="PLx Pharma Inc."/>
    <x v="0"/>
    <s v="Major Pharmaceuticals"/>
    <s v="$1.04M"/>
    <n v="1040000"/>
    <n v="1134.26"/>
    <n v="-10.16"/>
    <n v="83688427"/>
    <d v="2021-06-12T00:00:00"/>
    <s v="Complete"/>
  </r>
  <r>
    <s v="nmilingtonia"/>
    <s v="yolasite.com"/>
    <s v="Nike"/>
    <s v="Milington"/>
    <s v="Female"/>
    <s v="Female"/>
    <s v="61.247.10.95"/>
    <s v="91.62.219.8"/>
    <n v="659"/>
    <n v="659"/>
    <s v="NYSE"/>
    <s v="ACP"/>
    <s v="Avenue Income Credit Strategies Fund"/>
    <x v="2"/>
    <s v="N/A"/>
    <s v="$185.39M"/>
    <n v="185390000"/>
    <n v="442.18"/>
    <n v="18.2"/>
    <n v="53913490"/>
    <d v="2020-03-20T00:00:00"/>
    <s v="Missing"/>
  </r>
  <r>
    <s v="csquibbsib"/>
    <s v="arizona.edu"/>
    <s v="Chastity"/>
    <s v="Squibbs"/>
    <s v="Female"/>
    <s v="Female"/>
    <s v="86.143.197.131"/>
    <s v="164.218.15.66"/>
    <n v="660"/>
    <n v="660"/>
    <s v="NYSE"/>
    <s v="CFR"/>
    <s v="Cullen/Frost Bankers, Inc."/>
    <x v="3"/>
    <s v="Major Banks"/>
    <s v="$6.19B"/>
    <n v="6190000000"/>
    <n v="17.89"/>
    <n v="-5.24"/>
    <n v="99215224"/>
    <d v="2025-06-30T00:00:00"/>
    <s v="Complete"/>
  </r>
  <r>
    <s v="bbirthic"/>
    <s v="intel.com"/>
    <s v="Baryram"/>
    <s v="Birth"/>
    <s v="Male"/>
    <s v="Male"/>
    <s v="2.252.47.104"/>
    <s v="75.181.80.239"/>
    <n v="661"/>
    <n v="661"/>
    <s v="NYSE"/>
    <s v="PLT"/>
    <s v="Plantronics, Inc."/>
    <x v="8"/>
    <s v="Telecommunications Equipment"/>
    <s v="$1.8B"/>
    <n v="1800000000"/>
    <n v="428.31"/>
    <n v="2.46"/>
    <n v="149429554"/>
    <d v="2025-02-06T00:00:00"/>
    <s v="Complete"/>
  </r>
  <r>
    <s v="gferronelid"/>
    <s v="dailymotion.com"/>
    <s v="Gerome"/>
    <s v="Ferronel"/>
    <s v="Male"/>
    <s v="Male"/>
    <s v="45.58.82.111"/>
    <s v="8.140.78.136"/>
    <n v="662"/>
    <n v="662"/>
    <s v="NYSE"/>
    <s v="HIL"/>
    <s v="Hill International, Inc."/>
    <x v="6"/>
    <s v="Military/Government/Technical"/>
    <s v="$251.61M"/>
    <n v="251610000"/>
    <n v="1894.67"/>
    <n v="-16.53"/>
    <n v="123706943"/>
    <d v="2024-04-01T00:00:00"/>
    <s v="Complete"/>
  </r>
  <r>
    <s v="amcmillamie"/>
    <s v="phoca.cz"/>
    <s v="Avictor"/>
    <s v="McMillam"/>
    <s v="Male"/>
    <s v="Male"/>
    <s v="244.232.57.150"/>
    <s v="214.77.22.230"/>
    <n v="663"/>
    <n v="663"/>
    <s v="NYSE"/>
    <s v="THR"/>
    <s v="Thermon Group Holdings, Inc."/>
    <x v="9"/>
    <s v="Industrial Machinery/Components"/>
    <s v="$608.57M"/>
    <n v="608570000"/>
    <n v="1.38"/>
    <n v="-11.45"/>
    <n v="96700145"/>
    <d v="2021-03-13T00:00:00"/>
    <s v="Complete"/>
  </r>
  <r>
    <s v="pfardyif"/>
    <s v="geocities.com"/>
    <s v="Parnell"/>
    <s v="Fardy"/>
    <s v="Male"/>
    <s v="Male"/>
    <s v="21.37.177.254"/>
    <s v="64.114.102.63"/>
    <n v="664"/>
    <n v="664"/>
    <s v="NYSE"/>
    <s v="FI"/>
    <s v="Frank's International N.V."/>
    <x v="9"/>
    <s v="Oilfield Services/Equipment"/>
    <s v="$1.9B"/>
    <n v="1900000000"/>
    <n v="1815.39"/>
    <n v="-17.98"/>
    <n v="127308891"/>
    <d v="2021-12-14T00:00:00"/>
    <s v="Complete"/>
  </r>
  <r>
    <s v="wdoig"/>
    <s v="marketwatch.com"/>
    <s v="Wileen"/>
    <s v="Do"/>
    <s v="Female"/>
    <s v="Female"/>
    <s v="215.202.175.72"/>
    <s v="5.204.137.197"/>
    <n v="665"/>
    <n v="665"/>
    <s v="NASDAQ"/>
    <s v="CSML"/>
    <s v="IQ Chaikin U.S. Small Cap ETF"/>
    <x v="2"/>
    <s v="N/A"/>
    <s v="$74.69M"/>
    <n v="74690000"/>
    <n v="1161.26"/>
    <n v="5.39"/>
    <n v="189367133"/>
    <d v="2025-02-14T00:00:00"/>
    <s v="Missing"/>
  </r>
  <r>
    <s v="trebouletih"/>
    <s v="microsoft.com"/>
    <s v="Tracie"/>
    <s v="Reboulet"/>
    <s v="Male"/>
    <s v="Male"/>
    <s v="246.155.251.216"/>
    <s v="74.230.49.60"/>
    <n v="666"/>
    <n v="666"/>
    <s v="NYSE"/>
    <s v="RDS.A"/>
    <s v="Royal Dutch Shell PLC"/>
    <x v="2"/>
    <s v="N/A"/>
    <s v="N/A"/>
    <n v="0"/>
    <n v="892.38"/>
    <n v="-17.43"/>
    <n v="89206522"/>
    <d v="2025-05-28T00:00:00"/>
    <s v="Missing"/>
  </r>
  <r>
    <s v="tcanonii"/>
    <s v="redcross.org"/>
    <s v="Twila"/>
    <s v="Canon"/>
    <s v="Female"/>
    <s v="Female"/>
    <s v="7.239.0.166"/>
    <s v="36.124.96.251"/>
    <n v="667"/>
    <n v="667"/>
    <s v="NYSE"/>
    <s v="ATHM"/>
    <s v="Autohome Inc."/>
    <x v="4"/>
    <s v="EDP Services"/>
    <s v="$5.07B"/>
    <n v="5070000000"/>
    <n v="22.63"/>
    <n v="-14.38"/>
    <n v="49880203"/>
    <d v="2026-10-05T00:00:00"/>
    <s v="Complete"/>
  </r>
  <r>
    <s v="tparkeij"/>
    <s v="forbes.com"/>
    <s v="Thorny"/>
    <s v="Parke"/>
    <s v="Male"/>
    <s v="Male"/>
    <s v="3.235.140.192"/>
    <s v="175.250.87.121"/>
    <n v="668"/>
    <n v="668"/>
    <s v="NASDAQ"/>
    <s v="CHW"/>
    <s v="Calamos Global Dynamic Income Fund"/>
    <x v="2"/>
    <s v="N/A"/>
    <s v="$499.2M"/>
    <n v="499200000"/>
    <n v="1644.64"/>
    <n v="-14.04"/>
    <n v="48002957"/>
    <d v="2021-05-22T00:00:00"/>
    <s v="Missing"/>
  </r>
  <r>
    <s v="kivamyik"/>
    <s v="yolasite.com"/>
    <s v="Karole"/>
    <s v="Ivamy"/>
    <s v="Female"/>
    <s v="Female"/>
    <s v="12.185.254.15"/>
    <s v="63.85.215.28"/>
    <n v="669"/>
    <n v="669"/>
    <s v="NYSE"/>
    <s v="MAN"/>
    <s v="ManpowerGroup"/>
    <x v="4"/>
    <s v="Professional Services"/>
    <s v="$7.22B"/>
    <n v="7220000000"/>
    <n v="237.59"/>
    <n v="-14.45"/>
    <n v="144967503"/>
    <d v="2022-05-13T00:00:00"/>
    <s v="Complete"/>
  </r>
  <r>
    <s v="dchuckil"/>
    <s v="amazon.co.jp"/>
    <s v="Darline"/>
    <s v="Chuck"/>
    <s v="Female"/>
    <s v="Female"/>
    <s v="148.16.90.178"/>
    <s v="228.72.191.88"/>
    <n v="670"/>
    <n v="670"/>
    <s v="NASDAQ"/>
    <s v="SNC"/>
    <s v="State National Companies, Inc."/>
    <x v="3"/>
    <s v="Property-Casualty Insurers"/>
    <s v="$736.77M"/>
    <n v="736770000"/>
    <n v="1793.87"/>
    <n v="10.41"/>
    <n v="28248361"/>
    <d v="2022-12-02T00:00:00"/>
    <s v="Complete"/>
  </r>
  <r>
    <s v="jwemesim"/>
    <s v="merriam-webster.com"/>
    <s v="Juliann"/>
    <s v="Wemes"/>
    <s v="Agender"/>
    <s v="Other"/>
    <s v="14.242.206.19"/>
    <s v="131.169.246.224"/>
    <n v="671"/>
    <n v="671"/>
    <s v="NASDAQ"/>
    <s v="ACIU"/>
    <s v="AC Immune SA"/>
    <x v="0"/>
    <s v="Major Pharmaceuticals"/>
    <s v="$484.41M"/>
    <n v="484410000"/>
    <n v="123.03"/>
    <n v="-13.88"/>
    <n v="18125385"/>
    <d v="2024-05-15T00:00:00"/>
    <s v="Complete"/>
  </r>
  <r>
    <s v="heddiesin"/>
    <s v="businessweek.com"/>
    <s v="Ham"/>
    <s v="Eddies"/>
    <s v="Male"/>
    <s v="Male"/>
    <s v="34.217.224.233"/>
    <s v="81.98.3.88"/>
    <n v="672"/>
    <n v="672"/>
    <s v="NYSE"/>
    <s v="FRC^D"/>
    <s v="FIRST REPUBLIC BANK"/>
    <x v="2"/>
    <s v="N/A"/>
    <s v="N/A"/>
    <n v="0"/>
    <n v="1817.26"/>
    <n v="-19.39"/>
    <n v="16466746"/>
    <d v="2020-08-28T00:00:00"/>
    <s v="Missing"/>
  </r>
  <r>
    <s v="aorrocksio"/>
    <s v="drupal.org"/>
    <s v="Amerigo"/>
    <s v="Orrocks"/>
    <s v="Male"/>
    <s v="Male"/>
    <s v="179.47.113.202"/>
    <s v="172.87.218.228"/>
    <n v="673"/>
    <n v="673"/>
    <s v="NASDAQ"/>
    <s v="OCRX"/>
    <s v="Ocera Therapeutics, Inc."/>
    <x v="0"/>
    <s v="Major Pharmaceuticals"/>
    <s v="$25.45M"/>
    <n v="25450000"/>
    <n v="2.0299999999999998"/>
    <n v="8.1999999999999993"/>
    <n v="12069237"/>
    <d v="2023-05-08T00:00:00"/>
    <s v="Complete"/>
  </r>
  <r>
    <s v="gfergysonip"/>
    <s v="theguardian.com"/>
    <s v="Gualterio"/>
    <s v="Fergyson"/>
    <s v="Male"/>
    <s v="Male"/>
    <s v="101.24.74.34"/>
    <s v="203.67.245.91"/>
    <n v="674"/>
    <n v="674"/>
    <s v="NASDAQ"/>
    <s v="VIRC"/>
    <s v="Virco Manufacturing Corporation"/>
    <x v="11"/>
    <s v="Industrial Specialties"/>
    <s v="$70.59M"/>
    <n v="70590000"/>
    <n v="1968.91"/>
    <n v="-16.920000000000002"/>
    <n v="111767598"/>
    <d v="2025-10-06T00:00:00"/>
    <s v="Complete"/>
  </r>
  <r>
    <s v="mogreadyiq"/>
    <s v="behance.net"/>
    <s v="Malanie"/>
    <s v="O'Gready"/>
    <s v="Female"/>
    <s v="Female"/>
    <s v="52.233.103.230"/>
    <s v="190.29.103.75"/>
    <n v="675"/>
    <n v="675"/>
    <s v="NYSE"/>
    <s v="SQNS"/>
    <s v="Sequans Communications S.A."/>
    <x v="4"/>
    <s v="Semiconductors"/>
    <s v="$299.74M"/>
    <n v="299740000"/>
    <n v="801.98"/>
    <n v="-14.85"/>
    <n v="52741738"/>
    <d v="2023-11-21T00:00:00"/>
    <s v="Complete"/>
  </r>
  <r>
    <s v="rsellarir"/>
    <s v="tamu.edu"/>
    <s v="Rahel"/>
    <s v="Sellar"/>
    <s v="Female"/>
    <s v="Female"/>
    <s v="220.51.241.140"/>
    <s v="234.171.101.137"/>
    <n v="676"/>
    <n v="676"/>
    <s v="NASDAQ"/>
    <s v="SQBG"/>
    <s v="Sequential Brands Group, Inc."/>
    <x v="5"/>
    <s v="Apparel"/>
    <s v="$237.5M"/>
    <n v="237500000"/>
    <n v="1541.53"/>
    <n v="1.96"/>
    <n v="127190269"/>
    <d v="2023-06-12T00:00:00"/>
    <s v="Complete"/>
  </r>
  <r>
    <s v="ighiroldiis"/>
    <s v="over-blog.com"/>
    <s v="Ignacius"/>
    <s v="Ghiroldi"/>
    <s v="Male"/>
    <s v="Male"/>
    <s v="129.151.101.84"/>
    <s v="126.65.82.45"/>
    <n v="677"/>
    <n v="677"/>
    <s v="NYSE"/>
    <s v="PMM"/>
    <s v="Putnam Managed Municipal Income Trust"/>
    <x v="2"/>
    <s v="N/A"/>
    <s v="$406.45M"/>
    <n v="406450000"/>
    <n v="1892.52"/>
    <n v="-9.0500000000000007"/>
    <n v="20372965"/>
    <d v="2023-06-11T00:00:00"/>
    <s v="Missing"/>
  </r>
  <r>
    <s v="efidgettit"/>
    <s v="aboutads.info"/>
    <s v="Elias"/>
    <s v="Fidgett"/>
    <s v="Male"/>
    <s v="Male"/>
    <s v="250.70.112.143"/>
    <s v="209.207.253.121"/>
    <n v="678"/>
    <n v="678"/>
    <s v="NASDAQ"/>
    <s v="CAMP"/>
    <s v="CalAmp Corp."/>
    <x v="4"/>
    <s v="Radio And Television Broadcasting And Communications Equipment"/>
    <s v="$685.07M"/>
    <n v="685070000"/>
    <n v="1098.3"/>
    <n v="-11.51"/>
    <n v="139872771"/>
    <d v="2025-03-07T00:00:00"/>
    <s v="Complete"/>
  </r>
  <r>
    <s v="gendecottiu"/>
    <s v="purevolume.com"/>
    <s v="Giffard"/>
    <s v="Endecott"/>
    <s v="Male"/>
    <s v="Male"/>
    <s v="131.241.147.254"/>
    <s v="182.113.67.231"/>
    <n v="679"/>
    <n v="679"/>
    <s v="NASDAQ"/>
    <s v="FNSR"/>
    <s v="Finisar Corporation"/>
    <x v="4"/>
    <s v="Semiconductors"/>
    <s v="$3.1B"/>
    <n v="3100000000"/>
    <n v="1577.39"/>
    <n v="-14.98"/>
    <n v="171511228"/>
    <d v="2025-12-15T00:00:00"/>
    <s v="Complete"/>
  </r>
  <r>
    <s v="dbonnettiv"/>
    <s v="smugmug.com"/>
    <s v="Dianemarie"/>
    <s v="Bonnett"/>
    <s v="Female"/>
    <s v="Female"/>
    <s v="144.93.171.144"/>
    <s v="196.46.253.232"/>
    <n v="680"/>
    <n v="680"/>
    <s v="NYSE"/>
    <s v="LNT"/>
    <s v="Alliant Energy Corporation"/>
    <x v="8"/>
    <s v="Power Generation"/>
    <s v="$9.61B"/>
    <n v="9610000000"/>
    <n v="982.23"/>
    <n v="-19.23"/>
    <n v="151598762"/>
    <d v="2025-04-12T00:00:00"/>
    <s v="Complete"/>
  </r>
  <r>
    <s v="ulewtyiw"/>
    <s v="1688.com"/>
    <s v="Ulrikaumeko"/>
    <s v="Lewty"/>
    <s v="Female"/>
    <s v="Female"/>
    <s v="17.176.169.160"/>
    <s v="4.12.241.14"/>
    <n v="681"/>
    <n v="681"/>
    <s v="NASDAQ"/>
    <s v="DEST"/>
    <s v="Destination Maternity Corporation"/>
    <x v="6"/>
    <s v="Clothing/Shoe/Accessory Stores"/>
    <s v="$64.48M"/>
    <n v="64480000.000000007"/>
    <n v="1417.29"/>
    <n v="5.53"/>
    <n v="82540267"/>
    <d v="2021-01-08T00:00:00"/>
    <s v="Complete"/>
  </r>
  <r>
    <s v="rgeneverix"/>
    <s v="hp.com"/>
    <s v="Rosalie"/>
    <s v="Genever"/>
    <s v="Female"/>
    <s v="Female"/>
    <s v="231.56.176.140"/>
    <s v="232.119.117.171"/>
    <n v="682"/>
    <n v="682"/>
    <s v="NASDAQ"/>
    <s v="IEUS"/>
    <s v="iShares MSCI Europe Small-Cap ETF"/>
    <x v="2"/>
    <s v="N/A"/>
    <s v="$126.72M"/>
    <n v="126720000"/>
    <n v="809.71"/>
    <n v="-8.8699999999999992"/>
    <n v="179052736"/>
    <d v="2022-08-24T00:00:00"/>
    <s v="Missing"/>
  </r>
  <r>
    <s v="pwaneiy"/>
    <s v="etsy.com"/>
    <s v="Patty"/>
    <s v="Wane"/>
    <s v="Female"/>
    <s v="Female"/>
    <s v="215.129.98.134"/>
    <s v="230.142.80.154"/>
    <n v="683"/>
    <n v="683"/>
    <s v="NASDAQ"/>
    <s v="CHUBA"/>
    <s v="CommerceHub, Inc."/>
    <x v="4"/>
    <s v="Computer Software: Prepackaged Software"/>
    <s v="$725.75M"/>
    <n v="725750000"/>
    <n v="824.71"/>
    <n v="-3.19"/>
    <n v="195917557"/>
    <d v="2024-08-05T00:00:00"/>
    <s v="Complete"/>
  </r>
  <r>
    <s v="tlongmuiriz"/>
    <s v="rambler.ru"/>
    <s v="Tybalt"/>
    <s v="Longmuir"/>
    <s v="Agender"/>
    <s v="Other"/>
    <s v="164.187.13.250"/>
    <s v="210.178.184.155"/>
    <n v="684"/>
    <n v="684"/>
    <s v="NYSE"/>
    <s v="CIM^B"/>
    <s v="Chimera Investment Corporation"/>
    <x v="2"/>
    <s v="N/A"/>
    <s v="N/A"/>
    <n v="0"/>
    <n v="844.64"/>
    <n v="-8.1999999999999993"/>
    <n v="148510810"/>
    <d v="2023-12-05T00:00:00"/>
    <s v="Missing"/>
  </r>
  <r>
    <s v="cmcgeouchj0"/>
    <s v="seattletimes.com"/>
    <s v="Conni"/>
    <s v="McGeouch"/>
    <s v="Female"/>
    <s v="Female"/>
    <s v="215.139.220.28"/>
    <s v="148.76.78.162"/>
    <n v="685"/>
    <n v="685"/>
    <s v="NYSE"/>
    <s v="EVG"/>
    <s v="Eaton Vance Short Diversified Income Fund"/>
    <x v="2"/>
    <s v="N/A"/>
    <s v="$252.83M"/>
    <n v="252830000"/>
    <n v="1281.99"/>
    <n v="4.68"/>
    <n v="181488968"/>
    <d v="2024-02-06T00:00:00"/>
    <s v="Missing"/>
  </r>
  <r>
    <s v="aditchfieldj1"/>
    <s v="bloomberg.com"/>
    <s v="Amii"/>
    <s v="Ditchfield"/>
    <s v="Female"/>
    <s v="Female"/>
    <s v="79.76.128.219"/>
    <s v="158.248.20.34"/>
    <n v="686"/>
    <n v="686"/>
    <s v="NYSE"/>
    <s v="CLI"/>
    <s v="Mack-Cali Realty Corporation"/>
    <x v="6"/>
    <s v="Real Estate Investment Trusts"/>
    <s v="$2.54B"/>
    <n v="2540000000"/>
    <n v="1277.8800000000001"/>
    <n v="-4.78"/>
    <n v="139256681"/>
    <d v="2024-08-28T00:00:00"/>
    <s v="Complete"/>
  </r>
  <r>
    <s v="jpahlj2"/>
    <s v="etsy.com"/>
    <s v="Jessie"/>
    <s v="Pahl"/>
    <s v="Female"/>
    <s v="Female"/>
    <s v="32.213.194.132"/>
    <s v="84.35.239.212"/>
    <n v="687"/>
    <n v="687"/>
    <s v="NASDAQ"/>
    <s v="MITK"/>
    <s v="Mitek Systems, Inc."/>
    <x v="4"/>
    <s v="Computer peripheral equipment"/>
    <s v="$280.33M"/>
    <n v="280330000"/>
    <n v="421.19"/>
    <n v="-11.26"/>
    <n v="5136197"/>
    <d v="2022-05-26T00:00:00"/>
    <s v="Complete"/>
  </r>
  <r>
    <s v="rfeatenbyj3"/>
    <s v="utexas.edu"/>
    <s v="Ramsay"/>
    <s v="Featenby"/>
    <s v="Male"/>
    <s v="Male"/>
    <s v="152.5.176.94"/>
    <s v="193.90.199.217"/>
    <n v="688"/>
    <n v="688"/>
    <s v="NASDAQ"/>
    <s v="NYMTO"/>
    <s v="New York Mortgage Trust, Inc."/>
    <x v="6"/>
    <s v="Real Estate Investment Trusts"/>
    <s v="N/A"/>
    <n v="0"/>
    <n v="662.56"/>
    <n v="10.96"/>
    <n v="69214959"/>
    <d v="2025-08-02T00:00:00"/>
    <s v="Missing"/>
  </r>
  <r>
    <s v="vbrentj4"/>
    <s v="bing.com"/>
    <s v="Vinni"/>
    <s v="Brent"/>
    <s v="Bigender"/>
    <s v="Other"/>
    <s v="144.153.85.21"/>
    <s v="90.36.12.187"/>
    <n v="689"/>
    <n v="689"/>
    <s v="NYSE"/>
    <s v="STI.WS.B"/>
    <s v="SunTrust Banks, Inc."/>
    <x v="2"/>
    <s v="N/A"/>
    <s v="N/A"/>
    <n v="0"/>
    <n v="1747.03"/>
    <n v="-15.39"/>
    <n v="17869487"/>
    <d v="2026-04-14T00:00:00"/>
    <s v="Missing"/>
  </r>
  <r>
    <s v="mmustoj5"/>
    <s v="dedecms.com"/>
    <s v="Mignon"/>
    <s v="Musto"/>
    <s v="Female"/>
    <s v="Female"/>
    <s v="118.138.143.243"/>
    <s v="19.143.150.163"/>
    <n v="690"/>
    <n v="690"/>
    <s v="NYSE"/>
    <s v="RXN^A"/>
    <s v="Rexnord Corporation"/>
    <x v="2"/>
    <s v="N/A"/>
    <s v="N/A"/>
    <n v="0"/>
    <n v="905.05"/>
    <n v="-11.61"/>
    <n v="81399534"/>
    <d v="2020-03-28T00:00:00"/>
    <s v="Missing"/>
  </r>
  <r>
    <s v="fjeromsonj6"/>
    <s v="samsung.com"/>
    <s v="Farlay"/>
    <s v="Jeromson"/>
    <s v="Male"/>
    <s v="Male"/>
    <s v="6.129.68.53"/>
    <s v="185.245.169.214"/>
    <n v="691"/>
    <n v="691"/>
    <s v="NYSE"/>
    <s v="CHK^D"/>
    <s v="Chesapeake Energy Corporation"/>
    <x v="2"/>
    <s v="N/A"/>
    <s v="N/A"/>
    <n v="0"/>
    <n v="1000.82"/>
    <n v="-13.54"/>
    <n v="81537237"/>
    <d v="2025-07-19T00:00:00"/>
    <s v="Missing"/>
  </r>
  <r>
    <s v="cmaylingj7"/>
    <s v="vistaprint.com"/>
    <s v="Christine"/>
    <s v="Mayling"/>
    <s v="Female"/>
    <s v="Female"/>
    <s v="62.136.212.111"/>
    <s v="196.210.213.116"/>
    <n v="692"/>
    <n v="692"/>
    <s v="NASDAQ"/>
    <s v="FIZZ"/>
    <s v="National Beverage Corp."/>
    <x v="5"/>
    <s v="Beverages (Production/Distribution)"/>
    <s v="$4.16B"/>
    <n v="4160000000"/>
    <n v="1666.04"/>
    <n v="-11.54"/>
    <n v="80619274"/>
    <d v="2026-12-11T00:00:00"/>
    <s v="Complete"/>
  </r>
  <r>
    <s v="vodeej8"/>
    <s v="census.gov"/>
    <s v="Vernor"/>
    <s v="O'Dee"/>
    <s v="Male"/>
    <s v="Male"/>
    <s v="58.55.55.28"/>
    <s v="145.213.249.36"/>
    <n v="693"/>
    <n v="693"/>
    <s v="NYSE"/>
    <s v="AM"/>
    <s v="Antero Midstream Partners LP"/>
    <x v="8"/>
    <s v="Natural Gas Distribution"/>
    <s v="$6.02B"/>
    <n v="6020000000"/>
    <n v="441.56"/>
    <n v="-19.63"/>
    <n v="92644834"/>
    <d v="2024-07-11T00:00:00"/>
    <s v="Complete"/>
  </r>
  <r>
    <s v="rmcinultyj9"/>
    <s v="msn.com"/>
    <s v="Rosabel"/>
    <s v="McInulty"/>
    <s v="Female"/>
    <s v="Female"/>
    <s v="37.42.150.160"/>
    <s v="57.29.25.90"/>
    <n v="694"/>
    <n v="694"/>
    <s v="NYSE"/>
    <s v="KBH"/>
    <s v="KB Home"/>
    <x v="1"/>
    <s v="Homebuilding"/>
    <s v="$1.84B"/>
    <n v="1840000000"/>
    <n v="196.22"/>
    <n v="-18.05"/>
    <n v="195937062"/>
    <d v="2020-10-19T00:00:00"/>
    <s v="Complete"/>
  </r>
  <r>
    <s v="fbowerbankja"/>
    <s v="rambler.ru"/>
    <s v="Franchot"/>
    <s v="Bowerbank"/>
    <s v="Male"/>
    <s v="Male"/>
    <s v="111.126.11.57"/>
    <s v="119.93.42.121"/>
    <n v="695"/>
    <n v="695"/>
    <s v="NYSE"/>
    <s v="RYAM^A"/>
    <s v="Rayonier Advanced Materials Inc."/>
    <x v="2"/>
    <s v="N/A"/>
    <s v="N/A"/>
    <n v="0"/>
    <n v="816.76"/>
    <n v="-4.3499999999999996"/>
    <n v="60087983"/>
    <d v="2026-02-19T00:00:00"/>
    <s v="Missing"/>
  </r>
  <r>
    <s v="bairsjb"/>
    <s v="arstechnica.com"/>
    <s v="Benedicto"/>
    <s v="Airs"/>
    <s v="Bigender"/>
    <s v="Other"/>
    <s v="197.52.195.143"/>
    <s v="124.187.98.91"/>
    <n v="696"/>
    <n v="696"/>
    <s v="NASDAQ"/>
    <s v="HUNTW"/>
    <s v="Hunter Maritime Acquisition Corp."/>
    <x v="12"/>
    <s v="Oil Refining/Marketing"/>
    <s v="N/A"/>
    <n v="0"/>
    <n v="1663.75"/>
    <n v="9.76"/>
    <n v="33671140"/>
    <d v="2022-03-21T00:00:00"/>
    <s v="Missing"/>
  </r>
  <r>
    <s v="tpagetjc"/>
    <s v="marketwatch.com"/>
    <s v="Talbert"/>
    <s v="Paget"/>
    <s v="Male"/>
    <s v="Male"/>
    <s v="51.15.114.123"/>
    <s v="12.199.191.253"/>
    <n v="697"/>
    <n v="697"/>
    <s v="NYSE"/>
    <s v="VZ"/>
    <s v="Verizon Communications Inc."/>
    <x v="8"/>
    <s v="Telecommunications Equipment"/>
    <s v="$190.22B"/>
    <n v="190220000000"/>
    <n v="23.61"/>
    <n v="-19.18"/>
    <n v="135172221"/>
    <d v="2026-12-16T00:00:00"/>
    <s v="Complete"/>
  </r>
  <r>
    <s v="fturbaynejd"/>
    <s v="archive.org"/>
    <s v="Felipe"/>
    <s v="Turbayne"/>
    <s v="Male"/>
    <s v="Male"/>
    <s v="143.225.234.191"/>
    <s v="27.131.169.50"/>
    <n v="698"/>
    <n v="698"/>
    <s v="NASDAQ"/>
    <s v="XPER"/>
    <s v="Xperi Corporation"/>
    <x v="4"/>
    <s v="Semiconductors"/>
    <s v="$1.49B"/>
    <n v="1490000000"/>
    <n v="1278.67"/>
    <n v="-5.07"/>
    <n v="51663866"/>
    <d v="2020-06-29T00:00:00"/>
    <s v="Complete"/>
  </r>
  <r>
    <s v="wshentonje"/>
    <s v="blogtalkradio.com"/>
    <s v="Winthrop"/>
    <s v="Shenton"/>
    <s v="Male"/>
    <s v="Male"/>
    <s v="195.61.158.42"/>
    <s v="231.85.5.93"/>
    <n v="699"/>
    <n v="699"/>
    <s v="NYSE"/>
    <s v="DLX"/>
    <s v="Deluxe Corporation"/>
    <x v="11"/>
    <s v="Publishing"/>
    <s v="$3.46B"/>
    <n v="3460000000"/>
    <n v="931.8"/>
    <n v="-19.16"/>
    <n v="71940359"/>
    <d v="2022-05-14T00:00:00"/>
    <s v="Complete"/>
  </r>
  <r>
    <s v="vdecentjf"/>
    <s v="earthlink.net"/>
    <s v="Vanni"/>
    <s v="Decent"/>
    <s v="Female"/>
    <s v="Female"/>
    <s v="111.214.149.226"/>
    <s v="150.237.40.87"/>
    <n v="700"/>
    <n v="700"/>
    <s v="NYSE"/>
    <s v="CHH"/>
    <s v="Choice Hotels International, Inc."/>
    <x v="6"/>
    <s v="Hotels/Resorts"/>
    <s v="$3.75B"/>
    <n v="3750000000"/>
    <n v="1157.08"/>
    <n v="-0.17"/>
    <n v="87369071"/>
    <d v="2023-09-13T00:00:00"/>
    <s v="Complete"/>
  </r>
  <r>
    <s v="othakejg"/>
    <s v="nationalgeographic.com"/>
    <s v="Olimpia"/>
    <s v="Thake"/>
    <s v="Genderfluid"/>
    <s v="Other"/>
    <s v="27.97.216.82"/>
    <s v="238.101.221.0"/>
    <n v="701"/>
    <n v="701"/>
    <s v="NYSE"/>
    <s v="AI"/>
    <s v="Arlington Asset Investment Corp"/>
    <x v="3"/>
    <s v="Finance/Investors Services"/>
    <s v="$352.64M"/>
    <n v="352640000"/>
    <n v="483.92"/>
    <n v="16.170000000000002"/>
    <n v="175485118"/>
    <d v="2023-02-26T00:00:00"/>
    <s v="Complete"/>
  </r>
  <r>
    <s v="dpatkinjh"/>
    <s v="engadget.com"/>
    <s v="Dag"/>
    <s v="Patkin"/>
    <s v="Male"/>
    <s v="Male"/>
    <s v="207.15.204.152"/>
    <s v="18.34.14.57"/>
    <n v="702"/>
    <n v="702"/>
    <s v="NASDAQ"/>
    <s v="AKRX"/>
    <s v="Akorn, Inc."/>
    <x v="0"/>
    <s v="Major Pharmaceuticals"/>
    <s v="$4.17B"/>
    <n v="4170000000"/>
    <n v="1877.6"/>
    <n v="7.5"/>
    <n v="148252651"/>
    <d v="2022-03-06T00:00:00"/>
    <s v="Complete"/>
  </r>
  <r>
    <s v="rlantji"/>
    <s v="toplist.cz"/>
    <s v="Rosalinde"/>
    <s v="Lant"/>
    <s v="Female"/>
    <s v="Female"/>
    <s v="125.185.101.157"/>
    <s v="137.144.59.14"/>
    <n v="703"/>
    <n v="703"/>
    <s v="NYSE"/>
    <s v="NSR"/>
    <s v="Neustar, Inc."/>
    <x v="6"/>
    <s v="Telecommunications Equipment"/>
    <s v="$1.87B"/>
    <n v="1870000000"/>
    <n v="217.95"/>
    <n v="-18.89"/>
    <n v="148989550"/>
    <d v="2023-09-11T00:00:00"/>
    <s v="Complete"/>
  </r>
  <r>
    <s v="bcomberbeachjj"/>
    <s v="digg.com"/>
    <s v="Bren"/>
    <s v="Comberbeach"/>
    <s v="Male"/>
    <s v="Male"/>
    <s v="206.214.80.17"/>
    <s v="27.54.8.180"/>
    <n v="704"/>
    <n v="704"/>
    <s v="NYSE"/>
    <s v="CIO^A"/>
    <s v="City Office REIT, Inc."/>
    <x v="2"/>
    <s v="N/A"/>
    <s v="N/A"/>
    <n v="0"/>
    <n v="394.84"/>
    <n v="13.88"/>
    <n v="84495632"/>
    <d v="2023-01-16T00:00:00"/>
    <s v="Missing"/>
  </r>
  <r>
    <s v="mcoddringtonjk"/>
    <s v="amazonaws.com"/>
    <s v="Malissa"/>
    <s v="Coddrington"/>
    <s v="Female"/>
    <s v="Female"/>
    <s v="24.73.45.60"/>
    <s v="189.46.117.138"/>
    <n v="705"/>
    <n v="705"/>
    <s v="NYSE"/>
    <s v="VEC"/>
    <s v="Vectrus, Inc."/>
    <x v="6"/>
    <s v="Diversified Commercial Services"/>
    <s v="$340.82M"/>
    <n v="340820000"/>
    <n v="1237.92"/>
    <n v="-7.79"/>
    <n v="151184265"/>
    <d v="2025-11-21T00:00:00"/>
    <s v="Complete"/>
  </r>
  <r>
    <s v="smandeljl"/>
    <s v="pen.io"/>
    <s v="Stephanus"/>
    <s v="Mandel"/>
    <s v="Male"/>
    <s v="Male"/>
    <s v="255.121.62.120"/>
    <s v="114.90.204.112"/>
    <n v="706"/>
    <n v="706"/>
    <s v="NYSE"/>
    <s v="SFR"/>
    <s v="Colony Starwood Homes"/>
    <x v="6"/>
    <s v="Real Estate Investment Trusts"/>
    <s v="$4.37B"/>
    <n v="4370000000"/>
    <n v="1468.12"/>
    <n v="-15.32"/>
    <n v="120612582"/>
    <d v="2022-03-21T00:00:00"/>
    <s v="Complete"/>
  </r>
  <r>
    <s v="eperottijm"/>
    <s v="ow.ly"/>
    <s v="Ewell"/>
    <s v="Perotti"/>
    <s v="Male"/>
    <s v="Male"/>
    <s v="128.148.16.190"/>
    <s v="23.33.153.225"/>
    <n v="707"/>
    <n v="707"/>
    <s v="NASDAQ"/>
    <s v="DHXM"/>
    <s v="DHX Media Ltd."/>
    <x v="2"/>
    <s v="N/A"/>
    <s v="$122.51M"/>
    <n v="122510000"/>
    <n v="1466.61"/>
    <n v="-14.59"/>
    <n v="42267894"/>
    <d v="2024-01-15T00:00:00"/>
    <s v="Missing"/>
  </r>
  <r>
    <s v="cmcmurtyjn"/>
    <s v="mayoclinic.com"/>
    <s v="Charlena"/>
    <s v="McMurty"/>
    <s v="Female"/>
    <s v="Female"/>
    <s v="48.5.19.143"/>
    <s v="125.9.70.35"/>
    <n v="708"/>
    <n v="708"/>
    <s v="NASDAQ"/>
    <s v="GBCI"/>
    <s v="Glacier Bancorp, Inc."/>
    <x v="3"/>
    <s v="Major Banks"/>
    <s v="$2.8B"/>
    <n v="2800000000"/>
    <n v="247.35"/>
    <n v="3.34"/>
    <n v="80258598"/>
    <d v="2026-02-06T00:00:00"/>
    <s v="Complete"/>
  </r>
  <r>
    <s v="islaterjo"/>
    <s v="hud.gov"/>
    <s v="Isak"/>
    <s v="Slater"/>
    <s v="Male"/>
    <s v="Male"/>
    <s v="244.197.173.48"/>
    <s v="178.124.103.75"/>
    <n v="709"/>
    <n v="709"/>
    <s v="NYSE"/>
    <s v="GPC"/>
    <s v="Genuine Parts Company"/>
    <x v="1"/>
    <s v="Automotive Aftermarket"/>
    <s v="$14.09B"/>
    <n v="14090000000"/>
    <n v="1285.1400000000001"/>
    <n v="-1.84"/>
    <n v="125142117"/>
    <d v="2022-04-27T00:00:00"/>
    <s v="Complete"/>
  </r>
  <r>
    <s v="dhaguejp"/>
    <s v="blogtalkradio.com"/>
    <s v="Darn"/>
    <s v="Hague"/>
    <s v="Male"/>
    <s v="Male"/>
    <s v="186.112.43.66"/>
    <s v="22.154.28.254"/>
    <n v="710"/>
    <n v="710"/>
    <s v="NASDAQ"/>
    <s v="NAUH"/>
    <s v="National American University Holdings, Inc."/>
    <x v="6"/>
    <s v="Other Consumer Services"/>
    <s v="$63.95M"/>
    <n v="63950000"/>
    <n v="932.9"/>
    <n v="-16.47"/>
    <n v="145596926"/>
    <d v="2026-10-01T00:00:00"/>
    <s v="Complete"/>
  </r>
  <r>
    <s v="bwiggjq"/>
    <s v="forbes.com"/>
    <s v="Bron"/>
    <s v="Wigg"/>
    <s v="Male"/>
    <s v="Male"/>
    <s v="24.246.200.217"/>
    <s v="184.179.219.193"/>
    <n v="711"/>
    <n v="711"/>
    <s v="NYSE"/>
    <s v="GTY"/>
    <s v="Getty Realty Corporation"/>
    <x v="3"/>
    <s v="Real Estate"/>
    <s v="$896.38M"/>
    <n v="896380000"/>
    <n v="1009.2"/>
    <n v="4.1399999999999997"/>
    <n v="139637693"/>
    <d v="2022-08-08T00:00:00"/>
    <s v="Complete"/>
  </r>
  <r>
    <s v="htomsajr"/>
    <s v="cam.ac.uk"/>
    <s v="Hamil"/>
    <s v="Tomsa"/>
    <s v="Male"/>
    <s v="Male"/>
    <s v="4.64.123.16"/>
    <s v="166.133.198.57"/>
    <n v="712"/>
    <n v="712"/>
    <s v="NASDAQ"/>
    <s v="TST"/>
    <s v="TheStreet, Inc."/>
    <x v="6"/>
    <s v="Newspapers/Magazines"/>
    <s v="$30.31M"/>
    <n v="30310000"/>
    <n v="581.98"/>
    <n v="17.62"/>
    <n v="64942562"/>
    <d v="2021-05-01T00:00:00"/>
    <s v="Complete"/>
  </r>
  <r>
    <s v="kgostalljs"/>
    <s v="epa.gov"/>
    <s v="Karlie"/>
    <s v="Gostall"/>
    <s v="Female"/>
    <s v="Female"/>
    <s v="239.47.228.163"/>
    <s v="134.232.17.92"/>
    <n v="713"/>
    <n v="713"/>
    <s v="NYSE"/>
    <s v="ALL^C"/>
    <s v="Allstate Corporation (The)"/>
    <x v="2"/>
    <s v="N/A"/>
    <s v="N/A"/>
    <n v="0"/>
    <n v="1189.57"/>
    <n v="0.03"/>
    <n v="56261567"/>
    <d v="2024-05-19T00:00:00"/>
    <s v="Missing"/>
  </r>
  <r>
    <s v="fselwinjt"/>
    <s v="noaa.gov"/>
    <s v="Fayina"/>
    <s v="Selwin"/>
    <s v="Female"/>
    <s v="Female"/>
    <s v="189.199.30.227"/>
    <s v="60.88.87.159"/>
    <n v="714"/>
    <n v="714"/>
    <s v="NASDAQ"/>
    <s v="RMCF"/>
    <s v="Rocky Mountain Chocolate Factory, Inc."/>
    <x v="5"/>
    <s v="Specialty Foods"/>
    <s v="$68.38M"/>
    <n v="68380000"/>
    <n v="1855.67"/>
    <n v="8.9"/>
    <n v="149047114"/>
    <d v="2025-02-06T00:00:00"/>
    <s v="Complete"/>
  </r>
  <r>
    <s v="fduforeju"/>
    <s v="wikispaces.com"/>
    <s v="Farlee"/>
    <s v="Dufore"/>
    <s v="Male"/>
    <s v="Male"/>
    <s v="229.48.198.38"/>
    <s v="245.163.15.20"/>
    <n v="715"/>
    <n v="715"/>
    <s v="NYSE"/>
    <s v="FCPT"/>
    <s v="Four Corners Property Trust, Inc."/>
    <x v="6"/>
    <s v="Real Estate Investment Trusts"/>
    <s v="$1.53B"/>
    <n v="1530000000"/>
    <n v="147.33000000000001"/>
    <n v="-4.97"/>
    <n v="142813131"/>
    <d v="2024-12-06T00:00:00"/>
    <s v="Complete"/>
  </r>
  <r>
    <s v="skinsmanjv"/>
    <s v="zdnet.com"/>
    <s v="Shel"/>
    <s v="Kinsman"/>
    <s v="Female"/>
    <s v="Female"/>
    <s v="97.25.247.77"/>
    <s v="232.137.30.147"/>
    <n v="716"/>
    <n v="716"/>
    <s v="NYSE"/>
    <s v="TEVA"/>
    <s v="Teva Pharmaceutical Industries Limited"/>
    <x v="0"/>
    <s v="Major Pharmaceuticals"/>
    <s v="$31.41B"/>
    <n v="31410000000"/>
    <n v="359.02"/>
    <n v="15.26"/>
    <n v="185827710"/>
    <d v="2021-11-22T00:00:00"/>
    <s v="Complete"/>
  </r>
  <r>
    <s v="tfransemaijw"/>
    <s v="ox.ac.uk"/>
    <s v="Tad"/>
    <s v="Fransemai"/>
    <s v="Male"/>
    <s v="Male"/>
    <s v="112.18.3.214"/>
    <s v="89.96.75.57"/>
    <n v="717"/>
    <n v="717"/>
    <s v="NYSE"/>
    <s v="TREX"/>
    <s v="Trex Company, Inc."/>
    <x v="10"/>
    <s v="Forest Products"/>
    <s v="$1.99B"/>
    <n v="1990000000"/>
    <n v="1383.91"/>
    <n v="-1.99"/>
    <n v="49224057"/>
    <d v="2024-11-19T00:00:00"/>
    <s v="Complete"/>
  </r>
  <r>
    <s v="ywynchjx"/>
    <s v="sciencedaily.com"/>
    <s v="Yale"/>
    <s v="Wynch"/>
    <s v="Male"/>
    <s v="Male"/>
    <s v="1.38.115.231"/>
    <s v="154.79.47.171"/>
    <n v="718"/>
    <n v="718"/>
    <s v="NASDAQ"/>
    <s v="CRAY"/>
    <s v="Cray Inc"/>
    <x v="4"/>
    <s v="Computer Manufacturing"/>
    <s v="$737.25M"/>
    <n v="737250000"/>
    <n v="577.94000000000005"/>
    <n v="11.44"/>
    <n v="87514351"/>
    <d v="2024-09-27T00:00:00"/>
    <s v="Complete"/>
  </r>
  <r>
    <s v="bpoggjy"/>
    <s v="yellowbook.com"/>
    <s v="Bunni"/>
    <s v="Pogg"/>
    <s v="Female"/>
    <s v="Female"/>
    <s v="177.232.102.242"/>
    <s v="33.194.142.157"/>
    <n v="719"/>
    <n v="719"/>
    <s v="NYSE"/>
    <s v="SHLX"/>
    <s v="Shell Midstream Partners, L.P."/>
    <x v="9"/>
    <s v="Natural Gas Distribution"/>
    <s v="$5.1B"/>
    <n v="5100000000"/>
    <n v="113.83"/>
    <n v="16.920000000000002"/>
    <n v="129506080"/>
    <d v="2024-04-11T00:00:00"/>
    <s v="Complete"/>
  </r>
  <r>
    <s v="tsamettjz"/>
    <s v="kickstarter.com"/>
    <s v="Trudey"/>
    <s v="Samett"/>
    <s v="Female"/>
    <s v="Female"/>
    <s v="155.246.81.87"/>
    <s v="198.107.118.125"/>
    <n v="720"/>
    <n v="720"/>
    <s v="NYSE"/>
    <s v="AF"/>
    <s v="Astoria Financial Corporation"/>
    <x v="3"/>
    <s v="Savings Institutions"/>
    <s v="$2.06B"/>
    <n v="2060000000"/>
    <n v="1781.22"/>
    <n v="0.31"/>
    <n v="51528520"/>
    <d v="2024-07-13T00:00:00"/>
    <s v="Complete"/>
  </r>
  <r>
    <s v="kcamelink0"/>
    <s v="slideshare.net"/>
    <s v="Kenn"/>
    <s v="Camelin"/>
    <s v="Male"/>
    <s v="Male"/>
    <s v="132.136.201.50"/>
    <s v="96.25.213.142"/>
    <n v="721"/>
    <n v="721"/>
    <s v="NASDAQ"/>
    <s v="TGA"/>
    <s v="Transglobe Energy Corp"/>
    <x v="9"/>
    <s v="Oil &amp; Gas Production"/>
    <s v="$92.42M"/>
    <n v="92420000"/>
    <n v="1009.09"/>
    <n v="8.66"/>
    <n v="101955660"/>
    <d v="2023-10-29T00:00:00"/>
    <s v="Complete"/>
  </r>
  <r>
    <s v="crosenzwigk1"/>
    <s v="stanford.edu"/>
    <s v="Clywd"/>
    <s v="Rosenzwig"/>
    <s v="Male"/>
    <s v="Male"/>
    <s v="169.136.245.101"/>
    <s v="120.39.231.138"/>
    <n v="722"/>
    <n v="722"/>
    <s v="NYSE"/>
    <s v="WRB^D"/>
    <s v="W.R. Berkley Corporation"/>
    <x v="2"/>
    <s v="N/A"/>
    <s v="N/A"/>
    <n v="0"/>
    <n v="1820.6"/>
    <n v="10.7"/>
    <n v="119191930"/>
    <d v="2022-11-27T00:00:00"/>
    <s v="Missing"/>
  </r>
  <r>
    <s v="noherlihyk2"/>
    <s v="bloglovin.com"/>
    <s v="Nanine"/>
    <s v="Oherlihy"/>
    <s v="Female"/>
    <s v="Female"/>
    <s v="27.156.52.31"/>
    <s v="118.210.27.199"/>
    <n v="723"/>
    <n v="723"/>
    <s v="NYSE"/>
    <s v="CIR"/>
    <s v="CIRCOR International, Inc."/>
    <x v="1"/>
    <s v="Metal Fabrications"/>
    <s v="$1.08B"/>
    <n v="1080000000"/>
    <n v="446.17"/>
    <n v="15.74"/>
    <n v="7677231"/>
    <d v="2024-03-14T00:00:00"/>
    <s v="Complete"/>
  </r>
  <r>
    <s v="jdonalsonk3"/>
    <s v="imgur.com"/>
    <s v="Jacobo"/>
    <s v="Donalson"/>
    <s v="Male"/>
    <s v="Male"/>
    <s v="134.129.255.243"/>
    <s v="169.161.202.205"/>
    <n v="724"/>
    <n v="724"/>
    <s v="NYSE"/>
    <s v="TGNA"/>
    <s v="TEGNA Inc."/>
    <x v="6"/>
    <s v="Broadcasting"/>
    <s v="$3.26B"/>
    <n v="3260000000"/>
    <n v="1686.93"/>
    <n v="7.79"/>
    <n v="4071570"/>
    <d v="2020-04-20T00:00:00"/>
    <s v="Complete"/>
  </r>
  <r>
    <s v="abeedk4"/>
    <s v="desdev.cn"/>
    <s v="Ariella"/>
    <s v="Beed"/>
    <s v="Female"/>
    <s v="Female"/>
    <s v="186.150.169.98"/>
    <s v="33.196.4.118"/>
    <n v="725"/>
    <n v="725"/>
    <s v="NASDAQ"/>
    <s v="DEPO"/>
    <s v="Depomed, Inc."/>
    <x v="0"/>
    <s v="Major Pharmaceuticals"/>
    <s v="$592.24M"/>
    <n v="592240000"/>
    <n v="416.92"/>
    <n v="3.55"/>
    <n v="104051982"/>
    <d v="2022-09-15T00:00:00"/>
    <s v="Complete"/>
  </r>
  <r>
    <s v="edurtnelk5"/>
    <s v="nytimes.com"/>
    <s v="Ebenezer"/>
    <s v="Durtnel"/>
    <s v="Male"/>
    <s v="Male"/>
    <s v="109.161.140.9"/>
    <s v="100.255.135.57"/>
    <n v="726"/>
    <n v="726"/>
    <s v="NASDAQ"/>
    <s v="KLAC"/>
    <s v="KLA-Tencor Corporation"/>
    <x v="1"/>
    <s v="Electronic Components"/>
    <s v="$15.32B"/>
    <n v="15320000000"/>
    <n v="1557.44"/>
    <n v="-11.96"/>
    <n v="21034680"/>
    <d v="2022-09-08T00:00:00"/>
    <s v="Complete"/>
  </r>
  <r>
    <s v="bspentonk6"/>
    <s v="acquirethisname.com"/>
    <s v="Bertrando"/>
    <s v="Spenton"/>
    <s v="Male"/>
    <s v="Male"/>
    <s v="89.175.157.188"/>
    <s v="246.189.138.238"/>
    <n v="727"/>
    <n v="727"/>
    <s v="NYSE"/>
    <s v="FMO"/>
    <s v="Fiduciary/Claymore MLP Opportunity Fund"/>
    <x v="2"/>
    <s v="N/A"/>
    <s v="$446.85M"/>
    <n v="446850000"/>
    <n v="1540.14"/>
    <n v="13.9"/>
    <n v="158182158"/>
    <d v="2022-04-09T00:00:00"/>
    <s v="Missing"/>
  </r>
  <r>
    <s v="jhasserk7"/>
    <s v="marketwatch.com"/>
    <s v="John"/>
    <s v="Hasser"/>
    <s v="Bigender"/>
    <s v="Other"/>
    <s v="248.150.118.112"/>
    <s v="186.7.197.2"/>
    <n v="728"/>
    <n v="728"/>
    <s v="NYSE"/>
    <s v="BKFS"/>
    <s v="Black Knight Financial Services, Inc."/>
    <x v="4"/>
    <s v="Computer Software: Prepackaged Software"/>
    <s v="$6.01B"/>
    <n v="6010000000"/>
    <n v="1466.08"/>
    <n v="-13.71"/>
    <n v="149137959"/>
    <d v="2025-06-14T00:00:00"/>
    <s v="Complete"/>
  </r>
  <r>
    <s v="escamadenk8"/>
    <s v="wikispaces.com"/>
    <s v="Emmerich"/>
    <s v="Scamaden"/>
    <s v="Male"/>
    <s v="Male"/>
    <s v="119.149.205.31"/>
    <s v="61.173.80.147"/>
    <n v="729"/>
    <n v="729"/>
    <s v="NASDAQ"/>
    <s v="TLF"/>
    <s v="Tandy Leather Factory, Inc."/>
    <x v="5"/>
    <s v="Apparel"/>
    <s v="$76.52M"/>
    <n v="76520000"/>
    <n v="1309.94"/>
    <n v="-16.059999999999999"/>
    <n v="170570061"/>
    <d v="2026-12-22T00:00:00"/>
    <s v="Complete"/>
  </r>
  <r>
    <s v="rmcglaughnk9"/>
    <s v="vistaprint.com"/>
    <s v="Ruth"/>
    <s v="McGlaughn"/>
    <s v="Female"/>
    <s v="Female"/>
    <s v="127.228.33.178"/>
    <s v="187.18.151.15"/>
    <n v="730"/>
    <n v="730"/>
    <s v="NYSE"/>
    <s v="BMY"/>
    <s v="Bristol-Myers Squibb Company"/>
    <x v="0"/>
    <s v="Major Pharmaceuticals"/>
    <s v="$89.72B"/>
    <n v="89720000000"/>
    <n v="1148.6300000000001"/>
    <n v="17.28"/>
    <n v="13351820"/>
    <d v="2022-04-02T00:00:00"/>
    <s v="Complete"/>
  </r>
  <r>
    <s v="gbalentyneka"/>
    <s v="wisc.edu"/>
    <s v="Griffy"/>
    <s v="Balentyne"/>
    <s v="Male"/>
    <s v="Male"/>
    <s v="241.155.19.148"/>
    <s v="201.169.109.102"/>
    <n v="731"/>
    <n v="731"/>
    <s v="NYSE"/>
    <s v="EXK"/>
    <s v="Endeavour Silver Corporation"/>
    <x v="10"/>
    <s v="Precious Metals"/>
    <s v="$370.33M"/>
    <n v="370330000"/>
    <n v="1243.74"/>
    <n v="-17.63"/>
    <n v="34270661"/>
    <d v="2025-01-31T00:00:00"/>
    <s v="Complete"/>
  </r>
  <r>
    <s v="mlearmountkb"/>
    <s v="nps.gov"/>
    <s v="Meara"/>
    <s v="Learmount"/>
    <s v="Female"/>
    <s v="Female"/>
    <s v="176.104.2.0"/>
    <s v="197.208.205.3"/>
    <n v="732"/>
    <n v="732"/>
    <s v="NASDAQ"/>
    <s v="AEMD"/>
    <s v="Aethlon Medical, Inc."/>
    <x v="1"/>
    <s v="Biotechnology: Laboratory Analytical Instruments"/>
    <s v="$18.56M"/>
    <n v="18560000"/>
    <n v="1325.69"/>
    <n v="1.1100000000000001"/>
    <n v="130192253"/>
    <d v="2023-04-14T00:00:00"/>
    <s v="Complete"/>
  </r>
  <r>
    <s v="wkemberykc"/>
    <s v="salon.com"/>
    <s v="Wallas"/>
    <s v="Kembery"/>
    <s v="Male"/>
    <s v="Male"/>
    <s v="9.240.108.151"/>
    <s v="82.143.49.131"/>
    <n v="733"/>
    <n v="733"/>
    <s v="NASDAQ"/>
    <s v="FISI"/>
    <s v="Financial Institutions, Inc."/>
    <x v="3"/>
    <s v="Major Banks"/>
    <s v="$443.54M"/>
    <n v="443540000"/>
    <n v="167.11"/>
    <n v="-10.7"/>
    <n v="80053215"/>
    <d v="2025-07-11T00:00:00"/>
    <s v="Complete"/>
  </r>
  <r>
    <s v="llanchesterkd"/>
    <s v="lycos.com"/>
    <s v="Licha"/>
    <s v="Lanchester"/>
    <s v="Female"/>
    <s v="Female"/>
    <s v="184.146.3.219"/>
    <s v="52.166.101.86"/>
    <n v="734"/>
    <n v="734"/>
    <s v="NASDAQ"/>
    <s v="SANM"/>
    <s v="Sanmina Corporation"/>
    <x v="4"/>
    <s v="Electrical Products"/>
    <s v="$2.83B"/>
    <n v="2830000000"/>
    <n v="1333.49"/>
    <n v="-2.0099999999999998"/>
    <n v="106888194"/>
    <d v="2026-12-28T00:00:00"/>
    <s v="Complete"/>
  </r>
  <r>
    <s v="vdarrigoneke"/>
    <s v="wordpress.org"/>
    <s v="Valentine"/>
    <s v="Darrigone"/>
    <s v="Male"/>
    <s v="Male"/>
    <s v="25.168.140.79"/>
    <s v="102.100.191.211"/>
    <n v="735"/>
    <n v="735"/>
    <s v="NYSE"/>
    <s v="MTW"/>
    <s v="Manitowoc Company, Inc. (The)"/>
    <x v="1"/>
    <s v="ConstructioN/Ag Equipment/Trucks"/>
    <s v="$836.2M"/>
    <n v="836200000"/>
    <n v="545.99"/>
    <n v="-11.98"/>
    <n v="79632520"/>
    <d v="2023-11-01T00:00:00"/>
    <s v="Complete"/>
  </r>
  <r>
    <s v="bszymonikf"/>
    <s v="privacy.gov.au"/>
    <s v="Bendick"/>
    <s v="Szymoni"/>
    <s v="Male"/>
    <s v="Male"/>
    <s v="223.255.158.233"/>
    <s v="107.38.42.24"/>
    <n v="736"/>
    <n v="736"/>
    <s v="NYSE"/>
    <s v="KNX"/>
    <s v="Knight Transportation, Inc."/>
    <x v="12"/>
    <s v="Trucking Freight/Courier Services"/>
    <s v="$2.86B"/>
    <n v="2860000000"/>
    <n v="580.49"/>
    <n v="3.6"/>
    <n v="116178665"/>
    <d v="2020-04-02T00:00:00"/>
    <s v="Complete"/>
  </r>
  <r>
    <s v="omitchinsonkg"/>
    <s v="google.nl"/>
    <s v="Omar"/>
    <s v="Mitchinson"/>
    <s v="Male"/>
    <s v="Male"/>
    <s v="209.3.206.123"/>
    <s v="87.117.148.97"/>
    <n v="737"/>
    <n v="737"/>
    <s v="NASDAQ"/>
    <s v="PRFT"/>
    <s v="Perficient, Inc."/>
    <x v="4"/>
    <s v="EDP Services"/>
    <s v="$612.6M"/>
    <n v="612600000"/>
    <n v="1826.86"/>
    <n v="6.37"/>
    <n v="33958972"/>
    <d v="2022-05-30T00:00:00"/>
    <s v="Complete"/>
  </r>
  <r>
    <s v="rimasonkh"/>
    <s v="google.ru"/>
    <s v="Reynard"/>
    <s v="Imason"/>
    <s v="Male"/>
    <s v="Male"/>
    <s v="17.26.254.245"/>
    <s v="116.127.250.48"/>
    <n v="738"/>
    <n v="738"/>
    <s v="NASDAQ"/>
    <s v="QGEN"/>
    <s v="Qiagen N.V."/>
    <x v="0"/>
    <s v="Biotechnology: Biological Products (No Diagnostic Substances)"/>
    <s v="$7.72B"/>
    <n v="7720000000"/>
    <n v="294.64999999999998"/>
    <n v="-14.39"/>
    <n v="183567327"/>
    <d v="2024-09-18T00:00:00"/>
    <s v="Complete"/>
  </r>
  <r>
    <s v="vbeynknki"/>
    <s v="si.edu"/>
    <s v="Vergil"/>
    <s v="Beynkn"/>
    <s v="Male"/>
    <s v="Male"/>
    <s v="9.128.109.180"/>
    <s v="144.242.157.55"/>
    <n v="739"/>
    <n v="739"/>
    <s v="NYSE"/>
    <s v="WALA"/>
    <s v="Western Alliance Bancorporation"/>
    <x v="3"/>
    <s v="Major Banks"/>
    <s v="N/A"/>
    <n v="0"/>
    <n v="1254.96"/>
    <n v="3.04"/>
    <n v="179925443"/>
    <d v="2022-04-29T00:00:00"/>
    <s v="Missing"/>
  </r>
  <r>
    <s v="rlogeskj"/>
    <s v="icio.us"/>
    <s v="Rock"/>
    <s v="Loges"/>
    <s v="Male"/>
    <s v="Male"/>
    <s v="141.103.189.18"/>
    <s v="219.63.175.98"/>
    <n v="740"/>
    <n v="740"/>
    <s v="NYSE"/>
    <s v="GEH"/>
    <s v="General Electric Capital Corporation"/>
    <x v="9"/>
    <s v="Consumer Electronics/Appliances"/>
    <s v="N/A"/>
    <n v="0"/>
    <n v="81.739999999999995"/>
    <n v="15.9"/>
    <n v="185639856"/>
    <d v="2024-04-04T00:00:00"/>
    <s v="Missing"/>
  </r>
  <r>
    <s v="mpietrowiczkk"/>
    <s v="globo.com"/>
    <s v="Marrilee"/>
    <s v="Pietrowicz"/>
    <s v="Female"/>
    <s v="Female"/>
    <s v="154.96.116.208"/>
    <s v="159.52.243.116"/>
    <n v="741"/>
    <n v="741"/>
    <s v="NASDAQ"/>
    <s v="KAACW"/>
    <s v="Kayne Anderson Acquisition Corp."/>
    <x v="3"/>
    <s v="Business Services"/>
    <s v="N/A"/>
    <n v="0"/>
    <n v="573.28"/>
    <n v="-11.55"/>
    <n v="19289600"/>
    <d v="2020-08-31T00:00:00"/>
    <s v="Missing"/>
  </r>
  <r>
    <s v="kchattenkl"/>
    <s v="infoseek.co.jp"/>
    <s v="Kale"/>
    <s v="Chatten"/>
    <s v="Male"/>
    <s v="Male"/>
    <s v="2.230.59.87"/>
    <s v="160.182.136.87"/>
    <n v="742"/>
    <n v="742"/>
    <s v="NYSE"/>
    <s v="LII"/>
    <s v="Lennox International, Inc."/>
    <x v="1"/>
    <s v="Industrial Machinery/Components"/>
    <s v="$8.05B"/>
    <n v="8050000000.000001"/>
    <n v="529.67999999999995"/>
    <n v="17.11"/>
    <n v="137277852"/>
    <d v="2023-05-11T00:00:00"/>
    <s v="Complete"/>
  </r>
  <r>
    <s v="dpurselowkm"/>
    <s v="cmu.edu"/>
    <s v="Domeniga"/>
    <s v="Purselow"/>
    <s v="Female"/>
    <s v="Female"/>
    <s v="202.124.216.79"/>
    <s v="240.202.223.24"/>
    <n v="743"/>
    <n v="743"/>
    <s v="NASDAQ"/>
    <s v="RAVN"/>
    <s v="Raven Industries, Inc."/>
    <x v="1"/>
    <s v="Specialty Chemicals"/>
    <s v="$1.26B"/>
    <n v="1260000000"/>
    <n v="113.98"/>
    <n v="-17.86"/>
    <n v="104179380"/>
    <d v="2020-09-23T00:00:00"/>
    <s v="Complete"/>
  </r>
  <r>
    <s v="sneatekn"/>
    <s v="delicious.com"/>
    <s v="Si"/>
    <s v="Neate"/>
    <s v="Male"/>
    <s v="Male"/>
    <s v="53.244.209.185"/>
    <s v="18.152.222.234"/>
    <n v="744"/>
    <n v="744"/>
    <s v="NYSE"/>
    <s v="MNP"/>
    <s v="Western Asset Municipal Partners Fund, Inc."/>
    <x v="2"/>
    <s v="N/A"/>
    <s v="$153.37M"/>
    <n v="153370000"/>
    <n v="257.58999999999997"/>
    <n v="3.17"/>
    <n v="87320977"/>
    <d v="2023-04-12T00:00:00"/>
    <s v="Missing"/>
  </r>
  <r>
    <s v="hwilshireko"/>
    <s v="virginia.edu"/>
    <s v="Hube"/>
    <s v="Wilshire"/>
    <s v="Male"/>
    <s v="Male"/>
    <s v="201.83.164.137"/>
    <s v="164.81.178.101"/>
    <n v="745"/>
    <n v="745"/>
    <s v="NYSE"/>
    <s v="FLC"/>
    <s v="Flaherty &amp; Crumrine Total Return Fund Inc"/>
    <x v="2"/>
    <s v="N/A"/>
    <s v="$220.5M"/>
    <n v="220500000"/>
    <n v="1008.6"/>
    <n v="-17.829999999999998"/>
    <n v="13138316"/>
    <d v="2024-07-25T00:00:00"/>
    <s v="Missing"/>
  </r>
  <r>
    <s v="ehellyarkp"/>
    <s v="comcast.net"/>
    <s v="Eudora"/>
    <s v="Hellyar"/>
    <s v="Female"/>
    <s v="Female"/>
    <s v="158.174.188.133"/>
    <s v="192.172.172.242"/>
    <n v="746"/>
    <n v="746"/>
    <s v="NASDAQ"/>
    <s v="PFM"/>
    <s v="PowerShares Dividend Achievers Portfolio"/>
    <x v="2"/>
    <s v="N/A"/>
    <s v="$317.19M"/>
    <n v="317190000"/>
    <n v="490.1"/>
    <n v="19.170000000000002"/>
    <n v="120644191"/>
    <d v="2022-07-04T00:00:00"/>
    <s v="Missing"/>
  </r>
  <r>
    <s v="dloftskq"/>
    <s v="vkontakte.ru"/>
    <s v="Dalis"/>
    <s v="Lofts"/>
    <s v="Male"/>
    <s v="Male"/>
    <s v="179.140.209.148"/>
    <s v="14.220.38.32"/>
    <n v="747"/>
    <n v="747"/>
    <s v="NASDAQ"/>
    <s v="BDE"/>
    <s v="Black Diamond, Inc."/>
    <x v="5"/>
    <s v="Recreational Products/Toys"/>
    <s v="$195.09M"/>
    <n v="195090000"/>
    <n v="757.14"/>
    <n v="14.18"/>
    <n v="157738332"/>
    <d v="2025-07-10T00:00:00"/>
    <s v="Complete"/>
  </r>
  <r>
    <s v="asallisskr"/>
    <s v="vinaora.com"/>
    <s v="Ame"/>
    <s v="Salliss"/>
    <s v="Female"/>
    <s v="Female"/>
    <s v="222.215.216.6"/>
    <s v="80.183.209.82"/>
    <n v="748"/>
    <n v="748"/>
    <s v="NYSE"/>
    <s v="EAT"/>
    <s v="Brinker International, Inc."/>
    <x v="6"/>
    <s v="Restaurants"/>
    <s v="$1.85B"/>
    <n v="1850000000"/>
    <n v="1952.03"/>
    <n v="4.3899999999999997"/>
    <n v="32413928"/>
    <d v="2026-05-25T00:00:00"/>
    <s v="Complete"/>
  </r>
  <r>
    <s v="cgradyks"/>
    <s v="walmart.com"/>
    <s v="Chrystel"/>
    <s v="Grady"/>
    <s v="Female"/>
    <s v="Female"/>
    <s v="220.209.112.36"/>
    <s v="164.96.0.139"/>
    <n v="749"/>
    <n v="749"/>
    <s v="NYSE"/>
    <s v="SFR"/>
    <s v="Colony Starwood Homes"/>
    <x v="6"/>
    <s v="Real Estate Investment Trusts"/>
    <s v="$4.37B"/>
    <n v="4370000000"/>
    <n v="1414.53"/>
    <n v="-5.92"/>
    <n v="76246959"/>
    <d v="2024-12-19T00:00:00"/>
    <s v="Complete"/>
  </r>
  <r>
    <s v="sbanasiakkt"/>
    <s v="amazon.com"/>
    <s v="Shellie"/>
    <s v="Banasiak"/>
    <s v="Female"/>
    <s v="Female"/>
    <s v="161.99.132.149"/>
    <s v="192.86.51.46"/>
    <n v="750"/>
    <n v="750"/>
    <s v="NYSE"/>
    <s v="PHD"/>
    <s v="Pioneer Floating Rate Trust"/>
    <x v="2"/>
    <s v="N/A"/>
    <s v="$293.39M"/>
    <n v="293390000"/>
    <n v="1025.18"/>
    <n v="-13.34"/>
    <n v="35275036"/>
    <d v="2023-06-17T00:00:00"/>
    <s v="Missing"/>
  </r>
  <r>
    <s v="vhedgesku"/>
    <s v="feedburner.com"/>
    <s v="Vyky"/>
    <s v="Hedges"/>
    <s v="Female"/>
    <s v="Female"/>
    <s v="232.138.127.72"/>
    <s v="180.172.88.126"/>
    <n v="751"/>
    <n v="751"/>
    <s v="NASDAQ"/>
    <s v="AQXP"/>
    <s v="Aquinox Pharmaceuticals, Inc."/>
    <x v="0"/>
    <s v="Major Pharmaceuticals"/>
    <s v="$313.17M"/>
    <n v="313170000"/>
    <n v="1415.53"/>
    <n v="-16.489999999999998"/>
    <n v="135611995"/>
    <d v="2021-11-25T00:00:00"/>
    <s v="Complete"/>
  </r>
  <r>
    <s v="gberkkv"/>
    <s v="tuttocitta.it"/>
    <s v="Gabrila"/>
    <s v="Berk"/>
    <s v="Female"/>
    <s v="Female"/>
    <s v="134.237.41.204"/>
    <s v="204.37.108.94"/>
    <n v="752"/>
    <n v="752"/>
    <s v="NYSE"/>
    <s v="TOWR"/>
    <s v="Tower International, Inc."/>
    <x v="1"/>
    <s v="Auto Parts:O.E.M."/>
    <s v="$446.68M"/>
    <n v="446680000"/>
    <n v="1258.04"/>
    <n v="18.93"/>
    <n v="32802886"/>
    <d v="2022-05-04T00:00:00"/>
    <s v="Complete"/>
  </r>
  <r>
    <s v="ncargokw"/>
    <s v="bandcamp.com"/>
    <s v="Nap"/>
    <s v="Cargo"/>
    <s v="Male"/>
    <s v="Male"/>
    <s v="168.14.91.1"/>
    <s v="6.8.52.187"/>
    <n v="753"/>
    <n v="753"/>
    <s v="NYSE"/>
    <s v="YPF"/>
    <s v="YPF Sociedad Anonima"/>
    <x v="9"/>
    <s v="Integrated oil Companies"/>
    <s v="$8.51B"/>
    <n v="8510000000"/>
    <n v="1031.9000000000001"/>
    <n v="14.51"/>
    <n v="144409272"/>
    <d v="2023-10-11T00:00:00"/>
    <s v="Complete"/>
  </r>
  <r>
    <s v="mchampkx"/>
    <s v="smugmug.com"/>
    <s v="Marius"/>
    <s v="Champ"/>
    <s v="Male"/>
    <s v="Male"/>
    <s v="171.31.48.89"/>
    <s v="41.132.117.177"/>
    <n v="754"/>
    <n v="754"/>
    <s v="NASDAQ"/>
    <s v="SPLK"/>
    <s v="Splunk Inc."/>
    <x v="4"/>
    <s v="Computer Software: Prepackaged Software"/>
    <s v="$7.96B"/>
    <n v="7960000000"/>
    <n v="180.53"/>
    <n v="3.64"/>
    <n v="110425826"/>
    <d v="2022-11-22T00:00:00"/>
    <s v="Complete"/>
  </r>
  <r>
    <s v="lakettky"/>
    <s v="google.com"/>
    <s v="Lusa"/>
    <s v="Akett"/>
    <s v="Female"/>
    <s v="Female"/>
    <s v="76.115.11.31"/>
    <s v="25.182.79.194"/>
    <n v="755"/>
    <n v="755"/>
    <s v="NASDAQ"/>
    <s v="ORLY"/>
    <s v="O'Reilly Automotive, Inc."/>
    <x v="6"/>
    <s v="Other Specialty Stores"/>
    <s v="$21.06B"/>
    <n v="21060000000"/>
    <n v="980.03"/>
    <n v="-6.87"/>
    <n v="180581764"/>
    <d v="2020-01-06T00:00:00"/>
    <s v="Complete"/>
  </r>
  <r>
    <s v="kivykz"/>
    <s v="mail.ru"/>
    <s v="Kaspar"/>
    <s v="Ivy"/>
    <s v="Polygender"/>
    <s v="Other"/>
    <s v="72.234.200.12"/>
    <s v="4.120.3.247"/>
    <n v="756"/>
    <n v="756"/>
    <s v="NYSE"/>
    <s v="SHI"/>
    <s v="SINOPEC Shangai Petrochemical Company, Ltd."/>
    <x v="10"/>
    <s v="Major Chemicals"/>
    <s v="$5.65B"/>
    <n v="5650000000"/>
    <n v="1923.39"/>
    <n v="-14.81"/>
    <n v="168733209"/>
    <d v="2021-09-25T00:00:00"/>
    <s v="Complete"/>
  </r>
  <r>
    <s v="lglandonl0"/>
    <s v="msn.com"/>
    <s v="Lynnett"/>
    <s v="Glandon"/>
    <s v="Non-binary"/>
    <s v="Other"/>
    <s v="62.61.174.14"/>
    <s v="93.49.218.130"/>
    <n v="757"/>
    <n v="757"/>
    <s v="NYSE"/>
    <s v="GPE^A"/>
    <s v="Georgia Power Company"/>
    <x v="8"/>
    <s v="Electric Utilities: Central"/>
    <s v="N/A"/>
    <n v="0"/>
    <n v="1452.73"/>
    <n v="-17.059999999999999"/>
    <n v="65448523"/>
    <d v="2020-02-24T00:00:00"/>
    <s v="Missing"/>
  </r>
  <r>
    <s v="bwintersgilll1"/>
    <s v="zdnet.com"/>
    <s v="Benny"/>
    <s v="Wintersgill"/>
    <s v="Male"/>
    <s v="Male"/>
    <s v="110.61.210.131"/>
    <s v="229.75.189.230"/>
    <n v="758"/>
    <n v="758"/>
    <s v="NASDAQ"/>
    <s v="CATM"/>
    <s v="Cardtronics plc"/>
    <x v="7"/>
    <s v="Business Services"/>
    <s v="$1.52B"/>
    <n v="1520000000"/>
    <n v="1578.31"/>
    <n v="-8.34"/>
    <n v="74518139"/>
    <d v="2026-08-03T00:00:00"/>
    <s v="Complete"/>
  </r>
  <r>
    <s v="rberthl2"/>
    <s v="phpbb.com"/>
    <s v="Ruben"/>
    <s v="Berth"/>
    <s v="Male"/>
    <s v="Male"/>
    <s v="139.59.76.59"/>
    <s v="106.116.204.5"/>
    <n v="759"/>
    <n v="759"/>
    <s v="NASDAQ"/>
    <s v="TIL"/>
    <s v="Till Capital Ltd."/>
    <x v="3"/>
    <s v="Property-Casualty Insurers"/>
    <s v="$13.15M"/>
    <n v="13150000"/>
    <n v="473.7"/>
    <n v="-16.989999999999998"/>
    <n v="91429596"/>
    <d v="2022-08-25T00:00:00"/>
    <s v="Complete"/>
  </r>
  <r>
    <s v="esifletl3"/>
    <s v="blogspot.com"/>
    <s v="Erhard"/>
    <s v="Siflet"/>
    <s v="Male"/>
    <s v="Male"/>
    <s v="204.111.226.82"/>
    <s v="241.158.15.89"/>
    <n v="760"/>
    <n v="760"/>
    <s v="NYSE"/>
    <s v="E"/>
    <s v="ENI S.p.A."/>
    <x v="9"/>
    <s v="Oil &amp; Gas Production"/>
    <s v="$56.64B"/>
    <n v="56640000000"/>
    <n v="1770.92"/>
    <n v="1.59"/>
    <n v="151671688"/>
    <d v="2022-06-09T00:00:00"/>
    <s v="Complete"/>
  </r>
  <r>
    <s v="cchesserl4"/>
    <s v="google.com.au"/>
    <s v="Cathy"/>
    <s v="Chesser"/>
    <s v="Female"/>
    <s v="Female"/>
    <s v="175.149.155.80"/>
    <s v="37.172.107.209"/>
    <n v="761"/>
    <n v="761"/>
    <s v="NYSE"/>
    <s v="PHD"/>
    <s v="Pioneer Floating Rate Trust"/>
    <x v="2"/>
    <s v="N/A"/>
    <s v="$293.39M"/>
    <n v="293390000"/>
    <n v="1028.5899999999999"/>
    <n v="-3.14"/>
    <n v="168412084"/>
    <d v="2021-04-23T00:00:00"/>
    <s v="Missing"/>
  </r>
  <r>
    <s v="cvickerl5"/>
    <s v="google.fr"/>
    <s v="Collete"/>
    <s v="Vicker"/>
    <s v="Female"/>
    <s v="Female"/>
    <s v="150.74.189.133"/>
    <s v="197.209.92.141"/>
    <n v="762"/>
    <n v="762"/>
    <s v="NASDAQ"/>
    <s v="ATRO"/>
    <s v="Astronics Corporation"/>
    <x v="1"/>
    <s v="Military/Government/Technical"/>
    <s v="$883.27M"/>
    <n v="883270000"/>
    <n v="1399.81"/>
    <n v="16.489999999999998"/>
    <n v="71712075"/>
    <d v="2022-03-11T00:00:00"/>
    <s v="Complete"/>
  </r>
  <r>
    <s v="ctejadal6"/>
    <s v="unblog.fr"/>
    <s v="Celestia"/>
    <s v="Tejada"/>
    <s v="Female"/>
    <s v="Female"/>
    <s v="239.150.50.75"/>
    <s v="153.140.124.230"/>
    <n v="763"/>
    <n v="763"/>
    <s v="NYSE"/>
    <s v="ESE"/>
    <s v="ESCO Technologies Inc."/>
    <x v="11"/>
    <s v="Telecommunications Equipment"/>
    <s v="$1.54B"/>
    <n v="1540000000"/>
    <n v="220.2"/>
    <n v="-18.64"/>
    <n v="122050715"/>
    <d v="2025-05-04T00:00:00"/>
    <s v="Complete"/>
  </r>
  <r>
    <s v="rgilliardl7"/>
    <s v="bloomberg.com"/>
    <s v="Renee"/>
    <s v="Gilliard"/>
    <s v="Female"/>
    <s v="Female"/>
    <s v="79.46.39.205"/>
    <s v="237.90.64.128"/>
    <n v="764"/>
    <n v="764"/>
    <s v="NYSE"/>
    <s v="JBT"/>
    <s v="John Bean Technologies Corporation"/>
    <x v="4"/>
    <s v="Industrial Machinery/Components"/>
    <s v="$2.89B"/>
    <n v="2890000000"/>
    <n v="1438.05"/>
    <n v="4.24"/>
    <n v="52770837"/>
    <d v="2022-04-12T00:00:00"/>
    <s v="Complete"/>
  </r>
  <r>
    <s v="akindlesidel8"/>
    <s v="wsj.com"/>
    <s v="Aldridge"/>
    <s v="Kindleside"/>
    <s v="Bigender"/>
    <s v="Other"/>
    <s v="154.170.145.207"/>
    <s v="36.90.122.23"/>
    <n v="765"/>
    <n v="765"/>
    <s v="NASDAQ"/>
    <s v="AQMS"/>
    <s v="Aqua Metals, Inc."/>
    <x v="10"/>
    <s v="Metal Fabrications"/>
    <s v="$251.77M"/>
    <n v="251770000"/>
    <n v="570.65"/>
    <n v="19.64"/>
    <n v="185465121"/>
    <d v="2024-01-22T00:00:00"/>
    <s v="Complete"/>
  </r>
  <r>
    <s v="casherl9"/>
    <s v="java.com"/>
    <s v="Chen"/>
    <s v="Asher"/>
    <s v="Male"/>
    <s v="Male"/>
    <s v="216.248.102.91"/>
    <s v="9.83.169.228"/>
    <n v="766"/>
    <n v="766"/>
    <s v="NYSE"/>
    <s v="LDR"/>
    <s v="Landauer, Inc."/>
    <x v="1"/>
    <s v="Industrial Machinery/Components"/>
    <s v="$513.32M"/>
    <n v="513320000.00000006"/>
    <n v="212.77"/>
    <n v="-3.58"/>
    <n v="128538376"/>
    <d v="2020-11-11T00:00:00"/>
    <s v="Complete"/>
  </r>
  <r>
    <s v="rbenedttila"/>
    <s v="ifeng.com"/>
    <s v="Reg"/>
    <s v="Benedtti"/>
    <s v="Male"/>
    <s v="Male"/>
    <s v="209.125.93.49"/>
    <s v="134.105.11.227"/>
    <n v="767"/>
    <n v="767"/>
    <s v="NYSE"/>
    <s v="PPL"/>
    <s v="PPL Corporation"/>
    <x v="8"/>
    <s v="Electric Utilities: Central"/>
    <s v="$26.98B"/>
    <n v="26980000000"/>
    <n v="964.96"/>
    <n v="-16.62"/>
    <n v="46553778"/>
    <d v="2020-11-23T00:00:00"/>
    <s v="Complete"/>
  </r>
  <r>
    <s v="gtremoliereslb"/>
    <s v="army.mil"/>
    <s v="Germaine"/>
    <s v="Tremolieres"/>
    <s v="Non-binary"/>
    <s v="Other"/>
    <s v="138.209.44.233"/>
    <s v="141.163.171.43"/>
    <n v="768"/>
    <n v="768"/>
    <s v="NYSE"/>
    <s v="CRC"/>
    <s v="California Resources Corporation"/>
    <x v="9"/>
    <s v="Oil &amp; Gas Production"/>
    <s v="$441.26M"/>
    <n v="441260000"/>
    <n v="1200.68"/>
    <n v="-1.68"/>
    <n v="31626281"/>
    <d v="2026-08-17T00:00:00"/>
    <s v="Complete"/>
  </r>
  <r>
    <s v="jbutlandlc"/>
    <s v="slate.com"/>
    <s v="Julieta"/>
    <s v="Butland"/>
    <s v="Female"/>
    <s v="Female"/>
    <s v="53.200.178.39"/>
    <s v="16.168.209.222"/>
    <n v="769"/>
    <n v="769"/>
    <s v="NYSE"/>
    <s v="QSR"/>
    <s v="Restaurant Brands International Inc."/>
    <x v="6"/>
    <s v="Restaurants"/>
    <s v="$14.34B"/>
    <n v="14340000000"/>
    <n v="1377.52"/>
    <n v="-7.9"/>
    <n v="169317660"/>
    <d v="2024-03-08T00:00:00"/>
    <s v="Complete"/>
  </r>
  <r>
    <s v="gdulintyld"/>
    <s v="admin.ch"/>
    <s v="Grange"/>
    <s v="Dulinty"/>
    <s v="Male"/>
    <s v="Male"/>
    <s v="74.246.116.178"/>
    <s v="204.14.52.38"/>
    <n v="770"/>
    <n v="770"/>
    <s v="NYSE"/>
    <s v="ALLY"/>
    <s v="Ally Financial Inc."/>
    <x v="3"/>
    <s v="Finance: Consumer Services"/>
    <s v="$9.35B"/>
    <n v="9350000000"/>
    <n v="1318.27"/>
    <n v="-3.32"/>
    <n v="71812908"/>
    <d v="2024-09-28T00:00:00"/>
    <s v="Complete"/>
  </r>
  <r>
    <s v="jblackiele"/>
    <s v="flavors.me"/>
    <s v="Julian"/>
    <s v="Blackie"/>
    <s v="Male"/>
    <s v="Male"/>
    <s v="13.198.75.240"/>
    <s v="191.214.57.110"/>
    <n v="771"/>
    <n v="771"/>
    <s v="NASDAQ"/>
    <s v="WIX"/>
    <s v="Wix.com Ltd."/>
    <x v="4"/>
    <s v="Computer Software: Programming, Data Processing"/>
    <s v="$3.11B"/>
    <n v="3110000000"/>
    <n v="328.07"/>
    <n v="17.5"/>
    <n v="91009116"/>
    <d v="2020-10-21T00:00:00"/>
    <s v="Complete"/>
  </r>
  <r>
    <s v="cprettyjohnlf"/>
    <s v="naver.com"/>
    <s v="Cayla"/>
    <s v="Prettyjohn"/>
    <s v="Female"/>
    <s v="Female"/>
    <s v="255.235.211.226"/>
    <s v="221.162.27.164"/>
    <n v="772"/>
    <n v="772"/>
    <s v="NASDAQ"/>
    <s v="KALV"/>
    <s v="KalVista Pharmaceuticals, Inc."/>
    <x v="0"/>
    <s v="Major Pharmaceuticals"/>
    <s v="$73.43M"/>
    <n v="73430000"/>
    <n v="448.02"/>
    <n v="-16.149999999999999"/>
    <n v="127706798"/>
    <d v="2020-06-01T00:00:00"/>
    <s v="Complete"/>
  </r>
  <r>
    <s v="pbrownsteinlg"/>
    <s v="netvibes.com"/>
    <s v="Patten"/>
    <s v="Brownstein"/>
    <s v="Polygender"/>
    <s v="Other"/>
    <s v="156.219.80.63"/>
    <s v="47.123.158.113"/>
    <n v="773"/>
    <n v="773"/>
    <s v="NASDAQ"/>
    <s v="IVFGC"/>
    <s v="Ivy NextShares"/>
    <x v="2"/>
    <s v="N/A"/>
    <s v="N/A"/>
    <n v="0"/>
    <n v="903.76"/>
    <n v="0.68"/>
    <n v="193201482"/>
    <d v="2024-05-12T00:00:00"/>
    <s v="Missing"/>
  </r>
  <r>
    <s v="ksplevingslh"/>
    <s v="ucsd.edu"/>
    <s v="Kara"/>
    <s v="Splevings"/>
    <s v="Female"/>
    <s v="Female"/>
    <s v="102.142.187.150"/>
    <s v="73.234.240.0"/>
    <n v="774"/>
    <n v="774"/>
    <s v="NYSE"/>
    <s v="HIE"/>
    <s v="Miller/Howard High Income Equity Fund"/>
    <x v="2"/>
    <s v="N/A"/>
    <s v="$180.61M"/>
    <n v="180610000"/>
    <n v="1656.9"/>
    <n v="0.22"/>
    <n v="126780131"/>
    <d v="2024-01-19T00:00:00"/>
    <s v="Missing"/>
  </r>
  <r>
    <s v="dcasleyli"/>
    <s v="ocn.ne.jp"/>
    <s v="Demetra"/>
    <s v="Casley"/>
    <s v="Polygender"/>
    <s v="Other"/>
    <s v="206.244.57.55"/>
    <s v="233.26.79.102"/>
    <n v="775"/>
    <n v="775"/>
    <s v="NYSE"/>
    <s v="PFH"/>
    <s v="CABCO Series 2004-101 Trust"/>
    <x v="3"/>
    <s v="Finance: Consumer Services"/>
    <s v="N/A"/>
    <n v="0"/>
    <n v="783.31"/>
    <n v="-18.96"/>
    <n v="181083188"/>
    <d v="2026-07-18T00:00:00"/>
    <s v="Missing"/>
  </r>
  <r>
    <s v="tmacinerneylj"/>
    <s v="slideshare.net"/>
    <s v="Terry"/>
    <s v="MacInerney"/>
    <s v="Male"/>
    <s v="Male"/>
    <s v="122.183.90.32"/>
    <s v="115.78.70.169"/>
    <n v="776"/>
    <n v="776"/>
    <s v="NYSE"/>
    <s v="CAF"/>
    <s v="Morgan Stanley China A Share Fund Inc."/>
    <x v="2"/>
    <s v="N/A"/>
    <s v="$474.83M"/>
    <n v="474830000"/>
    <n v="265.20999999999998"/>
    <n v="-7.43"/>
    <n v="69272775"/>
    <d v="2022-07-03T00:00:00"/>
    <s v="Missing"/>
  </r>
  <r>
    <s v="kdommlk"/>
    <s v="people.com.cn"/>
    <s v="Keir"/>
    <s v="Domm"/>
    <s v="Bigender"/>
    <s v="Other"/>
    <s v="204.113.120.88"/>
    <s v="145.144.151.237"/>
    <n v="777"/>
    <n v="777"/>
    <s v="NASDAQ"/>
    <s v="IKNX"/>
    <s v="Ikonics Corporation"/>
    <x v="7"/>
    <s v="Industrial Machinery/Components"/>
    <s v="$16.39M"/>
    <n v="16390000"/>
    <n v="1230.3599999999999"/>
    <n v="6.47"/>
    <n v="137558711"/>
    <d v="2023-04-25T00:00:00"/>
    <s v="Complete"/>
  </r>
  <r>
    <s v="mhamelynll"/>
    <s v="ox.ac.uk"/>
    <s v="Martie"/>
    <s v="Hamelyn"/>
    <s v="Male"/>
    <s v="Male"/>
    <s v="106.103.125.51"/>
    <s v="172.248.53.148"/>
    <n v="778"/>
    <n v="778"/>
    <s v="NYSE"/>
    <s v="RMP"/>
    <s v="Rice Midstream Partners LP"/>
    <x v="8"/>
    <s v="Natural Gas Distribution"/>
    <s v="$2.49B"/>
    <n v="2490000000"/>
    <n v="1085.99"/>
    <n v="-19.3"/>
    <n v="128305303"/>
    <d v="2025-05-19T00:00:00"/>
    <s v="Complete"/>
  </r>
  <r>
    <s v="wkochlinlm"/>
    <s v="posterous.com"/>
    <s v="Winifield"/>
    <s v="Kochlin"/>
    <s v="Male"/>
    <s v="Male"/>
    <s v="90.252.191.233"/>
    <s v="128.134.49.161"/>
    <n v="779"/>
    <n v="779"/>
    <s v="NASDAQ"/>
    <s v="HBAN"/>
    <s v="Huntington Bancshares Incorporated"/>
    <x v="3"/>
    <s v="Major Banks"/>
    <s v="$14.37B"/>
    <n v="14370000000"/>
    <n v="753.77"/>
    <n v="17.11"/>
    <n v="127250873"/>
    <d v="2023-11-01T00:00:00"/>
    <s v="Complete"/>
  </r>
  <r>
    <s v="kiredaleln"/>
    <s v="tinyurl.com"/>
    <s v="Koral"/>
    <s v="Iredale"/>
    <s v="Female"/>
    <s v="Female"/>
    <s v="203.131.102.148"/>
    <s v="190.29.255.244"/>
    <n v="780"/>
    <n v="780"/>
    <s v="NYSE"/>
    <s v="LEN.B"/>
    <s v="Lennar Corporation"/>
    <x v="10"/>
    <s v="Homebuilding"/>
    <s v="N/A"/>
    <n v="0"/>
    <n v="352.75"/>
    <n v="18.079999999999998"/>
    <n v="192443961"/>
    <d v="2022-02-11T00:00:00"/>
    <s v="Missing"/>
  </r>
  <r>
    <s v="bleavoldlo"/>
    <s v="ebay.co.uk"/>
    <s v="Benji"/>
    <s v="Leavold"/>
    <s v="Male"/>
    <s v="Male"/>
    <s v="26.51.111.69"/>
    <s v="239.197.57.83"/>
    <n v="781"/>
    <n v="781"/>
    <s v="NYSE"/>
    <s v="AWI"/>
    <s v="Armstrong World Industries Inc"/>
    <x v="5"/>
    <s v="Plastic Products"/>
    <s v="$2.35B"/>
    <n v="2350000000"/>
    <n v="1293.3499999999999"/>
    <n v="-3.66"/>
    <n v="118409783"/>
    <d v="2020-03-27T00:00:00"/>
    <s v="Complete"/>
  </r>
  <r>
    <s v="rlagadulp"/>
    <s v="phpbb.com"/>
    <s v="Rachele"/>
    <s v="Lagadu"/>
    <s v="Female"/>
    <s v="Female"/>
    <s v="63.225.207.101"/>
    <s v="83.132.35.12"/>
    <n v="782"/>
    <n v="782"/>
    <s v="NASDAQ"/>
    <s v="FANH"/>
    <s v="Fanhua Inc."/>
    <x v="3"/>
    <s v="Specialty Insurers"/>
    <s v="$554.47M"/>
    <n v="554470000"/>
    <n v="221.27"/>
    <n v="-13.31"/>
    <n v="116663972"/>
    <d v="2025-03-22T00:00:00"/>
    <s v="Complete"/>
  </r>
  <r>
    <s v="spythonlq"/>
    <s v="friendfeed.com"/>
    <s v="Scott"/>
    <s v="Python"/>
    <s v="Male"/>
    <s v="Male"/>
    <s v="130.42.142.22"/>
    <s v="122.46.67.172"/>
    <n v="783"/>
    <n v="783"/>
    <s v="NYSE"/>
    <s v="HGV"/>
    <s v="Hilton Grand Vacations Inc."/>
    <x v="6"/>
    <s v="Hotels/Resorts"/>
    <s v="$3.62B"/>
    <n v="3620000000"/>
    <n v="1074.24"/>
    <n v="15.44"/>
    <n v="149088095"/>
    <d v="2025-07-25T00:00:00"/>
    <s v="Complete"/>
  </r>
  <r>
    <s v="byouseflr"/>
    <s v="yelp.com"/>
    <s v="Brandtr"/>
    <s v="Yousef"/>
    <s v="Male"/>
    <s v="Male"/>
    <s v="72.237.100.125"/>
    <s v="38.78.90.150"/>
    <n v="784"/>
    <n v="784"/>
    <s v="NASDAQ"/>
    <s v="NEO"/>
    <s v="NeoGenomics, Inc."/>
    <x v="0"/>
    <s v="Precision Instruments"/>
    <s v="$650.54M"/>
    <n v="650540000"/>
    <n v="1307.52"/>
    <n v="7.29"/>
    <n v="110050616"/>
    <d v="2020-07-31T00:00:00"/>
    <s v="Complete"/>
  </r>
  <r>
    <s v="bchancels"/>
    <s v="homestead.com"/>
    <s v="Benedick"/>
    <s v="Chance"/>
    <s v="Genderfluid"/>
    <s v="Other"/>
    <s v="140.216.189.130"/>
    <s v="157.25.91.76"/>
    <n v="785"/>
    <n v="785"/>
    <s v="NASDAQ"/>
    <s v="ARGX"/>
    <s v="argenx SE"/>
    <x v="0"/>
    <s v="Biotechnology: Biological Products (No Diagnostic Substances)"/>
    <s v="$420.47M"/>
    <n v="420470000"/>
    <n v="497.19"/>
    <n v="3.08"/>
    <n v="159270158"/>
    <d v="2021-10-06T00:00:00"/>
    <s v="Complete"/>
  </r>
  <r>
    <s v="smarlt"/>
    <s v="ftc.gov"/>
    <s v="Saunderson"/>
    <s v="Mar"/>
    <s v="Male"/>
    <s v="Male"/>
    <s v="77.164.215.174"/>
    <s v="220.144.152.102"/>
    <n v="786"/>
    <n v="786"/>
    <s v="NYSE"/>
    <s v="HY"/>
    <s v="Hyster-Yale Materials Handling, Inc."/>
    <x v="1"/>
    <s v="ConstructioN/Ag Equipment/Trucks"/>
    <s v="$1.23B"/>
    <n v="1230000000"/>
    <n v="1822.38"/>
    <n v="16.48"/>
    <n v="61370690"/>
    <d v="2021-06-19T00:00:00"/>
    <s v="Complete"/>
  </r>
  <r>
    <s v="rwillislu"/>
    <s v="freewebs.com"/>
    <s v="Rudolph"/>
    <s v="Willis"/>
    <s v="Male"/>
    <s v="Male"/>
    <s v="166.158.111.103"/>
    <s v="93.144.176.10"/>
    <n v="787"/>
    <n v="787"/>
    <s v="NYSE"/>
    <s v="AWF"/>
    <s v="Alliance World Dollar Government Fund II"/>
    <x v="2"/>
    <s v="N/A"/>
    <s v="$1.11B"/>
    <n v="1110000000"/>
    <n v="603.64"/>
    <n v="-4.57"/>
    <n v="61221156"/>
    <d v="2026-04-29T00:00:00"/>
    <s v="Missing"/>
  </r>
  <r>
    <s v="dcissenlv"/>
    <s v="github.io"/>
    <s v="Delphinia"/>
    <s v="Cissen"/>
    <s v="Female"/>
    <s v="Female"/>
    <s v="132.119.91.132"/>
    <s v="85.36.109.208"/>
    <n v="788"/>
    <n v="788"/>
    <s v="NASDAQ"/>
    <s v="WSTL"/>
    <s v="Westell Technologies, Inc."/>
    <x v="8"/>
    <s v="Telecommunications Equipment"/>
    <s v="$10.72M"/>
    <n v="10720000"/>
    <n v="1435.63"/>
    <n v="-14.41"/>
    <n v="95021260"/>
    <d v="2026-04-21T00:00:00"/>
    <s v="Complete"/>
  </r>
  <r>
    <s v="pkemetzlw"/>
    <s v="taobao.com"/>
    <s v="Pia"/>
    <s v="Kemetz"/>
    <s v="Female"/>
    <s v="Female"/>
    <s v="74.108.150.234"/>
    <s v="59.217.38.255"/>
    <n v="789"/>
    <n v="789"/>
    <s v="NYSE"/>
    <s v="HTH"/>
    <s v="Hilltop Holdings Inc."/>
    <x v="3"/>
    <s v="Major Banks"/>
    <s v="$2.6B"/>
    <n v="2600000000"/>
    <n v="1010.58"/>
    <n v="1.22"/>
    <n v="5916206"/>
    <d v="2024-03-09T00:00:00"/>
    <s v="Complete"/>
  </r>
  <r>
    <s v="brandalstonlx"/>
    <s v="microsoft.com"/>
    <s v="Blondy"/>
    <s v="Randalston"/>
    <s v="Female"/>
    <s v="Female"/>
    <s v="58.183.199.12"/>
    <s v="202.151.73.238"/>
    <n v="790"/>
    <n v="790"/>
    <s v="NASDAQ"/>
    <s v="GNCA"/>
    <s v="Genocea Biosciences, Inc."/>
    <x v="0"/>
    <s v="Biotechnology: Biological Products (No Diagnostic Substances)"/>
    <s v="$155.64M"/>
    <n v="155640000"/>
    <n v="726.7"/>
    <n v="-10.98"/>
    <n v="49327291"/>
    <d v="2020-05-20T00:00:00"/>
    <s v="Complete"/>
  </r>
  <r>
    <s v="vbernlily"/>
    <s v="godaddy.com"/>
    <s v="Valida"/>
    <s v="Bernli"/>
    <s v="Female"/>
    <s v="Female"/>
    <s v="222.243.229.195"/>
    <s v="88.187.124.74"/>
    <n v="791"/>
    <n v="791"/>
    <s v="NYSE"/>
    <s v="BST"/>
    <s v="BlackRock Science and Technology Trust"/>
    <x v="2"/>
    <s v="N/A"/>
    <s v="$503.27M"/>
    <n v="503270000"/>
    <n v="1153.57"/>
    <n v="-13.01"/>
    <n v="132098055"/>
    <d v="2022-08-10T00:00:00"/>
    <s v="Missing"/>
  </r>
  <r>
    <s v="msibleylz"/>
    <s v="skype.com"/>
    <s v="Marc"/>
    <s v="Sibley"/>
    <s v="Male"/>
    <s v="Male"/>
    <s v="25.79.223.38"/>
    <s v="89.232.154.10"/>
    <n v="792"/>
    <n v="792"/>
    <s v="NYSE"/>
    <s v="TTC"/>
    <s v="Toro Company (The)"/>
    <x v="1"/>
    <s v="Tools/Hardware"/>
    <s v="$7.81B"/>
    <n v="7810000000"/>
    <n v="452.49"/>
    <n v="-13.08"/>
    <n v="186777362"/>
    <d v="2026-03-04T00:00:00"/>
    <s v="Complete"/>
  </r>
  <r>
    <s v="apapierzm0"/>
    <s v="purevolume.com"/>
    <s v="Ad"/>
    <s v="Papierz"/>
    <s v="Male"/>
    <s v="Male"/>
    <s v="80.168.213.128"/>
    <s v="42.188.39.125"/>
    <n v="793"/>
    <n v="793"/>
    <s v="NASDAQ"/>
    <s v="CTXS"/>
    <s v="Citrix Systems, Inc."/>
    <x v="4"/>
    <s v="Computer Software: Prepackaged Software"/>
    <s v="$12.08B"/>
    <n v="12080000000"/>
    <n v="742.09"/>
    <n v="-8.59"/>
    <n v="192067608"/>
    <d v="2025-11-13T00:00:00"/>
    <s v="Complete"/>
  </r>
  <r>
    <s v="daronstamm1"/>
    <s v="storify.com"/>
    <s v="Dore"/>
    <s v="Aronstam"/>
    <s v="Female"/>
    <s v="Female"/>
    <s v="74.201.119.170"/>
    <s v="234.85.225.106"/>
    <n v="794"/>
    <n v="794"/>
    <s v="NYSE"/>
    <s v="AVT"/>
    <s v="Avnet, Inc."/>
    <x v="5"/>
    <s v="Electronic Components"/>
    <s v="$4.82B"/>
    <n v="4820000000"/>
    <n v="1930.85"/>
    <n v="9.61"/>
    <n v="144980722"/>
    <d v="2020-03-08T00:00:00"/>
    <s v="Complete"/>
  </r>
  <r>
    <s v="asurcombem2"/>
    <s v="answers.com"/>
    <s v="Ailina"/>
    <s v="Surcombe"/>
    <s v="Genderqueer"/>
    <s v="Other"/>
    <s v="163.87.12.64"/>
    <s v="79.194.134.176"/>
    <n v="795"/>
    <n v="795"/>
    <s v="NASDAQ"/>
    <s v="LMIA"/>
    <s v="LMI Aerospace, Inc."/>
    <x v="1"/>
    <s v="Military/Government/Technical"/>
    <s v="$191.03M"/>
    <n v="191030000"/>
    <n v="628.95000000000005"/>
    <n v="-3.59"/>
    <n v="105000067"/>
    <d v="2020-09-06T00:00:00"/>
    <s v="Complete"/>
  </r>
  <r>
    <s v="rpringleym3"/>
    <s v="nationalgeographic.com"/>
    <s v="Rosemaria"/>
    <s v="Pringley"/>
    <s v="Female"/>
    <s v="Female"/>
    <s v="30.66.227.251"/>
    <s v="193.83.128.6"/>
    <n v="796"/>
    <n v="796"/>
    <s v="NASDAQ"/>
    <s v="FBZ"/>
    <s v="First Trust Brazil AlphaDEX Fund"/>
    <x v="2"/>
    <s v="N/A"/>
    <s v="$25.39M"/>
    <n v="25390000"/>
    <n v="1841.03"/>
    <n v="-15.17"/>
    <n v="29840246"/>
    <d v="2020-02-26T00:00:00"/>
    <s v="Missing"/>
  </r>
  <r>
    <s v="shakeworthm4"/>
    <s v="fda.gov"/>
    <s v="Skye"/>
    <s v="Hakeworth"/>
    <s v="Male"/>
    <s v="Male"/>
    <s v="77.191.209.182"/>
    <s v="160.189.119.11"/>
    <n v="797"/>
    <n v="797"/>
    <s v="NYSE"/>
    <s v="FCE.A"/>
    <s v="Forest City Realty Trust, Inc."/>
    <x v="2"/>
    <s v="N/A"/>
    <s v="N/A"/>
    <n v="0"/>
    <n v="1318.08"/>
    <n v="1.92"/>
    <n v="137272262"/>
    <d v="2024-01-08T00:00:00"/>
    <s v="Missing"/>
  </r>
  <r>
    <s v="mtomlettm5"/>
    <s v="1und1.de"/>
    <s v="Marchall"/>
    <s v="Tomlett"/>
    <s v="Male"/>
    <s v="Male"/>
    <s v="133.114.63.229"/>
    <s v="26.185.180.64"/>
    <n v="798"/>
    <n v="798"/>
    <s v="NYSE"/>
    <s v="LYV"/>
    <s v="Live Nation Entertainment, Inc."/>
    <x v="6"/>
    <s v="Services-Misc. Amusement &amp; Recreation"/>
    <s v="$7.49B"/>
    <n v="7490000000"/>
    <n v="1520.89"/>
    <n v="-19.22"/>
    <n v="189273624"/>
    <d v="2020-04-08T00:00:00"/>
    <s v="Complete"/>
  </r>
  <r>
    <s v="afackneym6"/>
    <s v="dedecms.com"/>
    <s v="Abraham"/>
    <s v="Fackney"/>
    <s v="Non-binary"/>
    <s v="Other"/>
    <s v="28.163.234.9"/>
    <s v="74.75.44.46"/>
    <n v="799"/>
    <n v="799"/>
    <s v="NASDAQ"/>
    <s v="FTW"/>
    <s v="First Trust Taiwan AlphaDEX Fund"/>
    <x v="2"/>
    <s v="N/A"/>
    <s v="$3.5M"/>
    <n v="3500000"/>
    <n v="144.63999999999999"/>
    <n v="-5.82"/>
    <n v="96654690"/>
    <d v="2025-12-19T00:00:00"/>
    <s v="Missing"/>
  </r>
  <r>
    <s v="rsarsonsm7"/>
    <s v="chicagotribune.com"/>
    <s v="Rickie"/>
    <s v="Sarsons"/>
    <s v="Female"/>
    <s v="Female"/>
    <s v="139.14.17.60"/>
    <s v="85.241.20.105"/>
    <n v="800"/>
    <n v="800"/>
    <s v="NYSE"/>
    <s v="TRU"/>
    <s v="TransUnion"/>
    <x v="3"/>
    <s v="Finance: Consumer Services"/>
    <s v="$7.93B"/>
    <n v="7930000000"/>
    <n v="865.54"/>
    <n v="5.7"/>
    <n v="179799430"/>
    <d v="2025-05-14T00:00:00"/>
    <s v="Complete"/>
  </r>
  <r>
    <s v="mhowseleem8"/>
    <s v="epa.gov"/>
    <s v="Mirna"/>
    <s v="Howselee"/>
    <s v="Female"/>
    <s v="Female"/>
    <s v="58.250.6.88"/>
    <s v="198.222.225.78"/>
    <n v="801"/>
    <n v="801"/>
    <s v="NASDAQ"/>
    <s v="IDXX"/>
    <s v="IDEXX Laboratories, Inc."/>
    <x v="0"/>
    <s v="Biotechnology: In Vitro &amp; In Vivo Diagnostic Substances"/>
    <s v="$14.16B"/>
    <n v="14160000000"/>
    <n v="594.46"/>
    <n v="-10.19"/>
    <n v="162778870"/>
    <d v="2020-11-17T00:00:00"/>
    <s v="Complete"/>
  </r>
  <r>
    <s v="cleipoldm9"/>
    <s v="wired.com"/>
    <s v="Cicely"/>
    <s v="Leipold"/>
    <s v="Female"/>
    <s v="Female"/>
    <s v="251.153.93.203"/>
    <s v="219.90.188.132"/>
    <n v="802"/>
    <n v="802"/>
    <s v="NYSE"/>
    <s v="ABR^A"/>
    <s v="Arbor Realty Trust"/>
    <x v="2"/>
    <s v="N/A"/>
    <s v="N/A"/>
    <n v="0"/>
    <n v="1484.57"/>
    <n v="-2.42"/>
    <n v="19573183"/>
    <d v="2022-10-13T00:00:00"/>
    <s v="Missing"/>
  </r>
  <r>
    <s v="mknivettma"/>
    <s v="google.de"/>
    <s v="Maren"/>
    <s v="Knivett"/>
    <s v="Female"/>
    <s v="Female"/>
    <s v="110.141.136.17"/>
    <s v="73.108.160.48"/>
    <n v="803"/>
    <n v="803"/>
    <s v="NASDAQ"/>
    <s v="NDLS"/>
    <s v="Noodles &amp; Company"/>
    <x v="6"/>
    <s v="Restaurants"/>
    <s v="$154.07M"/>
    <n v="154070000"/>
    <n v="1971.44"/>
    <n v="-8.84"/>
    <n v="109048564"/>
    <d v="2024-04-18T00:00:00"/>
    <s v="Complete"/>
  </r>
  <r>
    <s v="cswashmb"/>
    <s v="ning.com"/>
    <s v="Chuck"/>
    <s v="Swash"/>
    <s v="Male"/>
    <s v="Male"/>
    <s v="97.85.174.7"/>
    <s v="112.59.254.11"/>
    <n v="804"/>
    <n v="804"/>
    <s v="NASDAQ"/>
    <s v="COWN"/>
    <s v="Cowen Inc."/>
    <x v="3"/>
    <s v="Investment Bankers/Brokers/Service"/>
    <s v="$475.98M"/>
    <n v="475980000"/>
    <n v="970.98"/>
    <n v="17.239999999999998"/>
    <n v="82703777"/>
    <d v="2026-02-20T00:00:00"/>
    <s v="Complete"/>
  </r>
  <r>
    <s v="mmcgahymc"/>
    <s v="reddit.com"/>
    <s v="Madelon"/>
    <s v="McGahy"/>
    <s v="Female"/>
    <s v="Female"/>
    <s v="45.26.135.131"/>
    <s v="136.91.227.219"/>
    <n v="805"/>
    <n v="805"/>
    <s v="NASDAQ"/>
    <s v="PSTI"/>
    <s v="Pluristem Therapeutics, Inc."/>
    <x v="0"/>
    <s v="Biotechnology: Biological Products (No Diagnostic Substances)"/>
    <s v="$121.38M"/>
    <n v="121380000"/>
    <n v="863.67"/>
    <n v="-1.4"/>
    <n v="99272902"/>
    <d v="2023-12-07T00:00:00"/>
    <s v="Complete"/>
  </r>
  <r>
    <s v="ekiellormd"/>
    <s v="uol.com.br"/>
    <s v="Ede"/>
    <s v="Kiellor"/>
    <s v="Female"/>
    <s v="Female"/>
    <s v="208.245.178.36"/>
    <s v="164.67.195.204"/>
    <n v="806"/>
    <n v="806"/>
    <s v="NASDAQ"/>
    <s v="TSLA"/>
    <s v="Tesla, Inc. "/>
    <x v="1"/>
    <s v="Auto Manufacturing"/>
    <s v="$61.01B"/>
    <n v="61010000000"/>
    <n v="1306.83"/>
    <n v="-4.37"/>
    <n v="104289787"/>
    <d v="2020-08-07T00:00:00"/>
    <s v="Complete"/>
  </r>
  <r>
    <s v="edillintonme"/>
    <s v="ameblo.jp"/>
    <s v="Erick"/>
    <s v="Dillinton"/>
    <s v="Male"/>
    <s v="Male"/>
    <s v="163.128.50.233"/>
    <s v="116.127.203.184"/>
    <n v="807"/>
    <n v="807"/>
    <s v="NYSE"/>
    <s v="TTP"/>
    <s v="Tortoise Pipeline &amp; Energy Fund, Inc."/>
    <x v="2"/>
    <s v="N/A"/>
    <s v="$186.31M"/>
    <n v="186310000"/>
    <n v="799.63"/>
    <n v="4.99"/>
    <n v="107079098"/>
    <d v="2022-07-03T00:00:00"/>
    <s v="Missing"/>
  </r>
  <r>
    <s v="oboyackmf"/>
    <s v="topsy.com"/>
    <s v="Osborn"/>
    <s v="Boyack"/>
    <s v="Male"/>
    <s v="Male"/>
    <s v="194.126.157.13"/>
    <s v="184.58.2.239"/>
    <n v="808"/>
    <n v="808"/>
    <s v="NYSE"/>
    <s v="KAP"/>
    <s v="KCAP Financial, Inc."/>
    <x v="2"/>
    <s v="N/A"/>
    <s v="N/A"/>
    <n v="0"/>
    <n v="217.39"/>
    <n v="13.12"/>
    <n v="58163787"/>
    <d v="2022-10-17T00:00:00"/>
    <s v="Missing"/>
  </r>
  <r>
    <s v="rpaddickmg"/>
    <s v="google.it"/>
    <s v="Reynold"/>
    <s v="Paddick"/>
    <s v="Male"/>
    <s v="Male"/>
    <s v="132.25.72.155"/>
    <s v="126.42.231.15"/>
    <n v="809"/>
    <n v="809"/>
    <s v="NASDAQ"/>
    <s v="RKDA"/>
    <s v="Arcadia Biosciences, Inc."/>
    <x v="10"/>
    <s v="Agricultural Chemicals"/>
    <s v="$26.03M"/>
    <n v="26030000"/>
    <n v="211.97"/>
    <n v="16.05"/>
    <n v="69233070"/>
    <d v="2024-01-14T00:00:00"/>
    <s v="Complete"/>
  </r>
  <r>
    <s v="nsleightmh"/>
    <s v="yellowbook.com"/>
    <s v="Nedda"/>
    <s v="Sleight"/>
    <s v="Female"/>
    <s v="Female"/>
    <s v="12.12.201.125"/>
    <s v="68.134.175.204"/>
    <n v="810"/>
    <n v="810"/>
    <s v="NYSE"/>
    <s v="STAG^B"/>
    <s v="Stag Industrial, Inc."/>
    <x v="2"/>
    <s v="N/A"/>
    <s v="N/A"/>
    <n v="0"/>
    <n v="1868.78"/>
    <n v="-19.690000000000001"/>
    <n v="160319136"/>
    <d v="2020-10-02T00:00:00"/>
    <s v="Missing"/>
  </r>
  <r>
    <s v="ecallerymi"/>
    <s v="imgur.com"/>
    <s v="Ettie"/>
    <s v="Callery"/>
    <s v="Female"/>
    <s v="Female"/>
    <s v="207.244.20.58"/>
    <s v="27.91.112.152"/>
    <n v="811"/>
    <n v="811"/>
    <s v="NYSE"/>
    <s v="STAG^C"/>
    <s v="Stag Industrial, Inc."/>
    <x v="2"/>
    <s v="N/A"/>
    <s v="N/A"/>
    <n v="0"/>
    <n v="122.25"/>
    <n v="10.86"/>
    <n v="78456800"/>
    <d v="2023-07-30T00:00:00"/>
    <s v="Missing"/>
  </r>
  <r>
    <s v="jcortesemj"/>
    <s v="cornell.edu"/>
    <s v="Jemima"/>
    <s v="Cortese"/>
    <s v="Female"/>
    <s v="Female"/>
    <s v="87.18.165.172"/>
    <s v="75.77.219.169"/>
    <n v="812"/>
    <n v="812"/>
    <s v="NASDAQ"/>
    <s v="RBCAA"/>
    <s v="Republic Bancorp, Inc."/>
    <x v="3"/>
    <s v="Major Banks"/>
    <s v="$747.14M"/>
    <n v="747140000"/>
    <n v="1088.17"/>
    <n v="-15.44"/>
    <n v="184202118"/>
    <d v="2022-04-22T00:00:00"/>
    <s v="Complete"/>
  </r>
  <r>
    <s v="clambdenmk"/>
    <s v="sakura.ne.jp"/>
    <s v="Camila"/>
    <s v="Lambden"/>
    <s v="Female"/>
    <s v="Female"/>
    <s v="28.202.175.91"/>
    <s v="220.174.39.113"/>
    <n v="813"/>
    <n v="813"/>
    <s v="NYSE"/>
    <s v="HT^C"/>
    <s v="Hersha Hospitality Trust"/>
    <x v="2"/>
    <s v="N/A"/>
    <s v="N/A"/>
    <n v="0"/>
    <n v="116.57"/>
    <n v="-13.84"/>
    <n v="8058698"/>
    <d v="2026-11-21T00:00:00"/>
    <s v="Missing"/>
  </r>
  <r>
    <s v="ablackwoodml"/>
    <s v="technorati.com"/>
    <s v="Andre"/>
    <s v="Blackwood"/>
    <s v="Polygender"/>
    <s v="Other"/>
    <s v="116.105.217.228"/>
    <s v="94.103.15.163"/>
    <n v="814"/>
    <n v="814"/>
    <s v="NYSE"/>
    <s v="AVX"/>
    <s v="AVX Corporation"/>
    <x v="1"/>
    <s v="Electrical Products"/>
    <s v="$2.71B"/>
    <n v="2710000000"/>
    <n v="1606.01"/>
    <n v="19.36"/>
    <n v="115653952"/>
    <d v="2026-03-14T00:00:00"/>
    <s v="Complete"/>
  </r>
  <r>
    <s v="rstockenmm"/>
    <s v="hostgator.com"/>
    <s v="Regen"/>
    <s v="Stocken"/>
    <s v="Male"/>
    <s v="Male"/>
    <s v="163.181.29.112"/>
    <s v="238.157.121.192"/>
    <n v="815"/>
    <n v="815"/>
    <s v="NASDAQ"/>
    <s v="OASM"/>
    <s v="Oasmia Pharmaceutical AB"/>
    <x v="0"/>
    <s v="Major Pharmaceuticals"/>
    <s v="$38.24M"/>
    <n v="38240000"/>
    <n v="1653.65"/>
    <n v="-19.38"/>
    <n v="145093615"/>
    <d v="2022-01-02T00:00:00"/>
    <s v="Complete"/>
  </r>
  <r>
    <s v="mcannavanmn"/>
    <s v="amazon.de"/>
    <s v="Marris"/>
    <s v="Cannavan"/>
    <s v="Female"/>
    <s v="Female"/>
    <s v="73.82.57.208"/>
    <s v="179.35.171.170"/>
    <n v="816"/>
    <n v="816"/>
    <s v="NASDAQ"/>
    <s v="FLIR"/>
    <s v="FLIR Systems, Inc."/>
    <x v="1"/>
    <s v="Industrial Machinery/Components"/>
    <s v="$4.84B"/>
    <n v="4840000000"/>
    <n v="1041.72"/>
    <n v="-1.61"/>
    <n v="101225766"/>
    <d v="2024-04-19T00:00:00"/>
    <s v="Complete"/>
  </r>
  <r>
    <s v="mwilbermo"/>
    <s v="a8.net"/>
    <s v="Maxy"/>
    <s v="Wilber"/>
    <s v="Male"/>
    <s v="Male"/>
    <s v="201.133.112.155"/>
    <s v="65.242.95.212"/>
    <n v="817"/>
    <n v="817"/>
    <s v="NASDAQ"/>
    <s v="QCLN"/>
    <s v="First Trust NASDAQ Clean Edge Green Energy Index Fund"/>
    <x v="2"/>
    <s v="N/A"/>
    <s v="$61.17M"/>
    <n v="61170000"/>
    <n v="38.47"/>
    <n v="-8.39"/>
    <n v="33953327"/>
    <d v="2024-10-10T00:00:00"/>
    <s v="Missing"/>
  </r>
  <r>
    <s v="graittmp"/>
    <s v="sitemeter.com"/>
    <s v="Gussy"/>
    <s v="Raitt"/>
    <s v="Polygender"/>
    <s v="Other"/>
    <s v="129.113.107.2"/>
    <s v="73.157.121.144"/>
    <n v="818"/>
    <n v="818"/>
    <s v="NASDAQ"/>
    <s v="VRML"/>
    <s v="Vermillion, Inc."/>
    <x v="0"/>
    <s v="Biotechnology: In Vitro &amp; In Vivo Diagnostic Substances"/>
    <s v="$95.91M"/>
    <n v="95910000"/>
    <n v="1086.32"/>
    <n v="-12.6"/>
    <n v="196173132"/>
    <d v="2021-12-29T00:00:00"/>
    <s v="Complete"/>
  </r>
  <r>
    <s v="dbosheremq"/>
    <s v="webs.com"/>
    <s v="Dean"/>
    <s v="Boshere"/>
    <s v="Male"/>
    <s v="Male"/>
    <s v="201.213.145.3"/>
    <s v="104.108.24.237"/>
    <n v="819"/>
    <n v="819"/>
    <s v="NYSE"/>
    <s v="TOWR"/>
    <s v="Tower International, Inc."/>
    <x v="1"/>
    <s v="Auto Parts:O.E.M."/>
    <s v="$446.68M"/>
    <n v="446680000"/>
    <n v="1742.26"/>
    <n v="-16.53"/>
    <n v="141761616"/>
    <d v="2023-08-29T00:00:00"/>
    <s v="Complete"/>
  </r>
  <r>
    <s v="wairdsmr"/>
    <s v="marketwatch.com"/>
    <s v="Winny"/>
    <s v="Airds"/>
    <s v="Male"/>
    <s v="Male"/>
    <s v="34.177.28.219"/>
    <s v="98.201.84.97"/>
    <n v="820"/>
    <n v="820"/>
    <s v="NASDAQ"/>
    <s v="CEVA"/>
    <s v="CEVA, Inc."/>
    <x v="4"/>
    <s v="Semiconductors"/>
    <s v="$979.59M"/>
    <n v="979590000"/>
    <n v="1038.69"/>
    <n v="-19.63"/>
    <n v="69164409"/>
    <d v="2024-05-03T00:00:00"/>
    <s v="Complete"/>
  </r>
  <r>
    <s v="pelionms"/>
    <s v="bravesites.com"/>
    <s v="Phaedra"/>
    <s v="Elion"/>
    <s v="Female"/>
    <s v="Female"/>
    <s v="189.229.34.108"/>
    <s v="239.171.114.31"/>
    <n v="821"/>
    <n v="821"/>
    <s v="NYSE"/>
    <s v="KIM"/>
    <s v="Kimco Realty Corporation"/>
    <x v="6"/>
    <s v="Real Estate Investment Trusts"/>
    <s v="$7.87B"/>
    <n v="7870000000"/>
    <n v="1833.95"/>
    <n v="1.66"/>
    <n v="152474132"/>
    <d v="2024-03-16T00:00:00"/>
    <s v="Complete"/>
  </r>
  <r>
    <s v="byewmanmt"/>
    <s v="theguardian.com"/>
    <s v="Bronnie"/>
    <s v="Yewman"/>
    <s v="Male"/>
    <s v="Male"/>
    <s v="7.96.215.78"/>
    <s v="149.14.159.194"/>
    <n v="822"/>
    <n v="822"/>
    <s v="NASDAQ"/>
    <s v="FTXL"/>
    <s v="First Trust Nasdaq Semiconductor ETF"/>
    <x v="2"/>
    <s v="N/A"/>
    <s v="$21.58M"/>
    <n v="21580000"/>
    <n v="295.05"/>
    <n v="-13.71"/>
    <n v="129680111"/>
    <d v="2020-02-15T00:00:00"/>
    <s v="Missing"/>
  </r>
  <r>
    <s v="bbrimblecombmu"/>
    <s v="nationalgeographic.com"/>
    <s v="Burt"/>
    <s v="Brimblecomb"/>
    <s v="Male"/>
    <s v="Male"/>
    <s v="202.245.142.53"/>
    <s v="29.143.9.101"/>
    <n v="823"/>
    <n v="823"/>
    <s v="NASDAQ"/>
    <s v="CIVB"/>
    <s v="Civista Bancshares, Inc. "/>
    <x v="3"/>
    <s v="Major Banks"/>
    <s v="$204.1M"/>
    <n v="204100000"/>
    <n v="1350.51"/>
    <n v="0.52"/>
    <n v="72202401"/>
    <d v="2024-10-10T00:00:00"/>
    <s v="Complete"/>
  </r>
  <r>
    <s v="aantoschmv"/>
    <s v="123-reg.co.uk"/>
    <s v="Ardeen"/>
    <s v="Antosch"/>
    <s v="Female"/>
    <s v="Female"/>
    <s v="134.19.55.83"/>
    <s v="191.104.169.209"/>
    <n v="824"/>
    <n v="824"/>
    <s v="NYSE"/>
    <s v="GM"/>
    <s v="General Motors Company"/>
    <x v="1"/>
    <s v="Auto Manufacturing"/>
    <s v="$51.8B"/>
    <n v="51800000000"/>
    <n v="1017.45"/>
    <n v="-16.739999999999998"/>
    <n v="195335370"/>
    <d v="2020-12-11T00:00:00"/>
    <s v="Complete"/>
  </r>
  <r>
    <s v="lcottumw"/>
    <s v="zdnet.com"/>
    <s v="Lindi"/>
    <s v="Cottu"/>
    <s v="Female"/>
    <s v="Female"/>
    <s v="84.187.7.127"/>
    <s v="220.64.64.47"/>
    <n v="825"/>
    <n v="825"/>
    <s v="NASDAQ"/>
    <s v="AUDC"/>
    <s v="AudioCodes Ltd."/>
    <x v="8"/>
    <s v="Telecommunications Equipment"/>
    <s v="$203.22M"/>
    <n v="203220000"/>
    <n v="1352.66"/>
    <n v="-1.81"/>
    <n v="138377358"/>
    <d v="2026-09-22T00:00:00"/>
    <s v="Complete"/>
  </r>
  <r>
    <s v="tthompkinsmx"/>
    <s v="paypal.com"/>
    <s v="Tull"/>
    <s v="Thompkins"/>
    <s v="Agender"/>
    <s v="Other"/>
    <s v="191.11.211.234"/>
    <s v="206.74.114.222"/>
    <n v="826"/>
    <n v="826"/>
    <s v="NASDAQ"/>
    <s v="FDUS"/>
    <s v="Fidus Investment Corporation"/>
    <x v="2"/>
    <s v="N/A"/>
    <s v="$383.58M"/>
    <n v="383580000"/>
    <n v="128.63999999999999"/>
    <n v="-6.15"/>
    <n v="195706053"/>
    <d v="2025-11-05T00:00:00"/>
    <s v="Missing"/>
  </r>
  <r>
    <s v="sboykettmy"/>
    <s v="cam.ac.uk"/>
    <s v="Sherri"/>
    <s v="Boykett"/>
    <s v="Agender"/>
    <s v="Other"/>
    <s v="116.34.69.90"/>
    <s v="118.251.180.153"/>
    <n v="827"/>
    <n v="827"/>
    <s v="NASDAQ"/>
    <s v="BNTCW"/>
    <s v="Benitec Biopharma Limited"/>
    <x v="0"/>
    <s v="Major Pharmaceuticals"/>
    <s v="N/A"/>
    <n v="0"/>
    <n v="347.43"/>
    <n v="-1.0900000000000001"/>
    <n v="68181179"/>
    <d v="2025-02-17T00:00:00"/>
    <s v="Missing"/>
  </r>
  <r>
    <s v="jriccimz"/>
    <s v="nifty.com"/>
    <s v="Jacqueline"/>
    <s v="Ricci"/>
    <s v="Female"/>
    <s v="Female"/>
    <s v="55.162.243.51"/>
    <s v="213.195.112.95"/>
    <n v="828"/>
    <n v="828"/>
    <s v="NASDAQ"/>
    <s v="XLNX"/>
    <s v="Xilinx, Inc."/>
    <x v="4"/>
    <s v="Semiconductors"/>
    <s v="$16.06B"/>
    <n v="16059999999.999998"/>
    <n v="91.54"/>
    <n v="-10.029999999999999"/>
    <n v="6474807"/>
    <d v="2026-01-08T00:00:00"/>
    <s v="Complete"/>
  </r>
  <r>
    <s v="maddicottn0"/>
    <s v="nytimes.com"/>
    <s v="Marcellina"/>
    <s v="Addicott"/>
    <s v="Bigender"/>
    <s v="Other"/>
    <s v="52.111.161.150"/>
    <s v="188.245.123.206"/>
    <n v="829"/>
    <n v="829"/>
    <s v="NYSE"/>
    <s v="CHA"/>
    <s v="China Telecom Corp Ltd"/>
    <x v="8"/>
    <s v="Telecommunications Equipment"/>
    <s v="$39.48B"/>
    <n v="39480000000"/>
    <n v="798.77"/>
    <n v="-9.4"/>
    <n v="192746371"/>
    <d v="2026-05-08T00:00:00"/>
    <s v="Complete"/>
  </r>
  <r>
    <s v="csonnenscheinn1"/>
    <s v="archive.org"/>
    <s v="Corly"/>
    <s v="Sonnenschein"/>
    <s v="Female"/>
    <s v="Female"/>
    <s v="223.101.60.194"/>
    <s v="124.180.231.74"/>
    <n v="830"/>
    <n v="830"/>
    <s v="NASDAQ"/>
    <s v="GSOL"/>
    <s v="Global Sources Ltd."/>
    <x v="6"/>
    <s v="Advertising"/>
    <s v="$488.08M"/>
    <n v="488080000"/>
    <n v="1262.03"/>
    <n v="8.44"/>
    <n v="128980645"/>
    <d v="2021-03-17T00:00:00"/>
    <s v="Complete"/>
  </r>
  <r>
    <s v="ncharvillen2"/>
    <s v="arstechnica.com"/>
    <s v="Norbie"/>
    <s v="Charville"/>
    <s v="Polygender"/>
    <s v="Other"/>
    <s v="9.54.97.117"/>
    <s v="46.147.204.54"/>
    <n v="831"/>
    <n v="831"/>
    <s v="NYSE"/>
    <s v="VLY"/>
    <s v="Valley National Bancorp"/>
    <x v="3"/>
    <s v="Major Banks"/>
    <s v="$3.11B"/>
    <n v="3110000000"/>
    <n v="1451.88"/>
    <n v="-0.35"/>
    <n v="64449089"/>
    <d v="2020-06-28T00:00:00"/>
    <s v="Complete"/>
  </r>
  <r>
    <s v="mbonhann3"/>
    <s v="blog.com"/>
    <s v="Missie"/>
    <s v="Bonhan"/>
    <s v="Female"/>
    <s v="Female"/>
    <s v="45.88.160.157"/>
    <s v="77.147.97.151"/>
    <n v="832"/>
    <n v="832"/>
    <s v="NYSE"/>
    <s v="ETW"/>
    <s v="Eaton Vance Corporation"/>
    <x v="2"/>
    <s v="N/A"/>
    <s v="$1.22B"/>
    <n v="1220000000"/>
    <n v="1663.87"/>
    <n v="-13.61"/>
    <n v="166642107"/>
    <d v="2024-12-24T00:00:00"/>
    <s v="Missing"/>
  </r>
  <r>
    <s v="fhoyn4"/>
    <s v="archive.org"/>
    <s v="Francklin"/>
    <s v="Hoy"/>
    <s v="Polygender"/>
    <s v="Other"/>
    <s v="208.42.167.51"/>
    <s v="108.81.141.0"/>
    <n v="833"/>
    <n v="833"/>
    <s v="NYSE"/>
    <s v="SGF"/>
    <s v="Aberdeen Singapore Fund, Inc."/>
    <x v="2"/>
    <s v="N/A"/>
    <s v="$84.33M"/>
    <n v="84330000"/>
    <n v="1177.97"/>
    <n v="2.3199999999999998"/>
    <n v="72730141"/>
    <d v="2023-08-13T00:00:00"/>
    <s v="Missing"/>
  </r>
  <r>
    <s v="akidneyn5"/>
    <s v="time.com"/>
    <s v="Augy"/>
    <s v="Kidney"/>
    <s v="Male"/>
    <s v="Male"/>
    <s v="162.117.96.145"/>
    <s v="34.41.78.255"/>
    <n v="834"/>
    <n v="834"/>
    <s v="NASDAQ"/>
    <s v="CORE"/>
    <s v="Core-Mark Holding Company, Inc."/>
    <x v="5"/>
    <s v="Food Distributors"/>
    <s v="$1.59B"/>
    <n v="1590000000"/>
    <n v="509.79"/>
    <n v="18.440000000000001"/>
    <n v="17418492"/>
    <d v="2024-01-06T00:00:00"/>
    <s v="Complete"/>
  </r>
  <r>
    <s v="dbremingn6"/>
    <s v="cargocollective.com"/>
    <s v="Dasha"/>
    <s v="Breming"/>
    <s v="Female"/>
    <s v="Female"/>
    <s v="209.204.135.249"/>
    <s v="93.38.228.80"/>
    <n v="835"/>
    <n v="835"/>
    <s v="NYSE"/>
    <s v="WLK"/>
    <s v="Westlake Chemical Corporation"/>
    <x v="10"/>
    <s v="Major Chemicals"/>
    <s v="$8.21B"/>
    <n v="8210000000.000001"/>
    <n v="794.76"/>
    <n v="17.170000000000002"/>
    <n v="31024257"/>
    <d v="2020-03-14T00:00:00"/>
    <s v="Complete"/>
  </r>
  <r>
    <s v="mbunstonn7"/>
    <s v="tiny.cc"/>
    <s v="Meaghan"/>
    <s v="Bunston"/>
    <s v="Female"/>
    <s v="Female"/>
    <s v="154.186.232.11"/>
    <s v="99.118.142.238"/>
    <n v="836"/>
    <n v="836"/>
    <s v="NASDAQ"/>
    <s v="MAUI"/>
    <s v="AdvisorShares Market Adaptive Unconstrained Income ETF"/>
    <x v="2"/>
    <s v="N/A"/>
    <s v="$1.23M"/>
    <n v="1230000"/>
    <n v="1732.83"/>
    <n v="18.329999999999998"/>
    <n v="192101900"/>
    <d v="2021-03-21T00:00:00"/>
    <s v="Missing"/>
  </r>
  <r>
    <s v="lphettisn8"/>
    <s v="canalblog.com"/>
    <s v="Lars"/>
    <s v="Phettis"/>
    <s v="Male"/>
    <s v="Male"/>
    <s v="147.112.108.162"/>
    <s v="173.52.108.94"/>
    <n v="837"/>
    <n v="837"/>
    <s v="NYSE"/>
    <s v="CSTM"/>
    <s v="Constellium N.V."/>
    <x v="10"/>
    <s v="Metal Fabrications"/>
    <s v="$702.12M"/>
    <n v="702120000"/>
    <n v="1723.54"/>
    <n v="-14.72"/>
    <n v="826473"/>
    <d v="2020-02-16T00:00:00"/>
    <s v="Complete"/>
  </r>
  <r>
    <s v="abiglyn9"/>
    <s v="flickr.com"/>
    <s v="Augustine"/>
    <s v="Bigly"/>
    <s v="Male"/>
    <s v="Male"/>
    <s v="74.20.39.147"/>
    <s v="111.144.170.230"/>
    <n v="838"/>
    <n v="838"/>
    <s v="NYSE"/>
    <s v="NRT"/>
    <s v="North European Oil Royality Trust"/>
    <x v="9"/>
    <s v="Oil &amp; Gas Production"/>
    <s v="$61.21M"/>
    <n v="61210000"/>
    <n v="815.79"/>
    <n v="-5.19"/>
    <n v="161381844"/>
    <d v="2026-05-15T00:00:00"/>
    <s v="Complete"/>
  </r>
  <r>
    <s v="fgrishakinna"/>
    <s v="bloglovin.com"/>
    <s v="Franny"/>
    <s v="Grishakin"/>
    <s v="Male"/>
    <s v="Male"/>
    <s v="95.144.153.16"/>
    <s v="21.255.134.157"/>
    <n v="839"/>
    <n v="839"/>
    <s v="NASDAQ"/>
    <s v="CPSH"/>
    <s v="CPS Technologies Corp."/>
    <x v="1"/>
    <s v="Building Materials"/>
    <s v="$15.84M"/>
    <n v="15840000"/>
    <n v="1792.09"/>
    <n v="11.5"/>
    <n v="28804976"/>
    <d v="2021-01-01T00:00:00"/>
    <s v="Complete"/>
  </r>
  <r>
    <s v="ddominettinb"/>
    <s v="exblog.jp"/>
    <s v="Denny"/>
    <s v="Dominetti"/>
    <s v="Male"/>
    <s v="Male"/>
    <s v="117.201.173.8"/>
    <s v="158.204.14.68"/>
    <n v="840"/>
    <n v="840"/>
    <s v="NYSE"/>
    <s v="WAIR"/>
    <s v="Wesco Aircraft Holdings, Inc."/>
    <x v="1"/>
    <s v="Wholesale Distributors"/>
    <s v="$1B"/>
    <n v="1000000000"/>
    <n v="217.07"/>
    <n v="16.55"/>
    <n v="134358732"/>
    <d v="2020-07-28T00:00:00"/>
    <s v="Complete"/>
  </r>
  <r>
    <s v="rtribenc"/>
    <s v="nbcnews.com"/>
    <s v="Rawley"/>
    <s v="Tribe"/>
    <s v="Male"/>
    <s v="Male"/>
    <s v="37.26.36.237"/>
    <s v="145.50.87.192"/>
    <n v="841"/>
    <n v="841"/>
    <s v="NASDAQ"/>
    <s v="FSAM"/>
    <s v="Fifth Street Asset Management Inc."/>
    <x v="3"/>
    <s v="Investment Managers"/>
    <s v="$172.02M"/>
    <n v="172020000"/>
    <n v="870.49"/>
    <n v="11.1"/>
    <n v="198344344"/>
    <d v="2023-10-16T00:00:00"/>
    <s v="Complete"/>
  </r>
  <r>
    <s v="kantoszewskind"/>
    <s v="mlb.com"/>
    <s v="Kristian"/>
    <s v="Antoszewski"/>
    <s v="Male"/>
    <s v="Male"/>
    <s v="118.36.167.126"/>
    <s v="162.104.164.247"/>
    <n v="842"/>
    <n v="842"/>
    <s v="NASDAQ"/>
    <s v="CLNE"/>
    <s v="Clean Energy Fuels Corp."/>
    <x v="8"/>
    <s v="Natural Gas Distribution"/>
    <s v="$380.76M"/>
    <n v="380760000"/>
    <n v="1138.17"/>
    <n v="-19.39"/>
    <n v="179353963"/>
    <d v="2026-08-31T00:00:00"/>
    <s v="Complete"/>
  </r>
  <r>
    <s v="pfaugheyne"/>
    <s v="scribd.com"/>
    <s v="Philbert"/>
    <s v="Faughey"/>
    <s v="Male"/>
    <s v="Male"/>
    <s v="196.23.229.59"/>
    <s v="170.97.97.41"/>
    <n v="843"/>
    <n v="843"/>
    <s v="NYSE"/>
    <s v="ZBK"/>
    <s v="Zions Bancorporation"/>
    <x v="3"/>
    <s v="Major Banks"/>
    <s v="N/A"/>
    <n v="0"/>
    <n v="915.81"/>
    <n v="14.51"/>
    <n v="49388220"/>
    <d v="2022-09-28T00:00:00"/>
    <s v="Missing"/>
  </r>
  <r>
    <s v="mkretchmernf"/>
    <s v="g.co"/>
    <s v="Mord"/>
    <s v="Kretchmer"/>
    <s v="Male"/>
    <s v="Male"/>
    <s v="79.1.114.130"/>
    <s v="98.46.71.129"/>
    <n v="844"/>
    <n v="844"/>
    <s v="NYSE"/>
    <s v="BF.A"/>
    <s v="Brown Forman Corporation"/>
    <x v="2"/>
    <s v="N/A"/>
    <s v="N/A"/>
    <n v="0"/>
    <n v="1903.83"/>
    <n v="-5.75"/>
    <n v="27504328"/>
    <d v="2024-12-08T00:00:00"/>
    <s v="Missing"/>
  </r>
  <r>
    <s v="alegisterng"/>
    <s v="vistaprint.com"/>
    <s v="Agnese"/>
    <s v="Legister"/>
    <s v="Female"/>
    <s v="Female"/>
    <s v="91.2.134.200"/>
    <s v="160.106.30.23"/>
    <n v="845"/>
    <n v="845"/>
    <s v="NASDAQ"/>
    <s v="PPSI"/>
    <s v="Pioneer Power Solutions, Inc."/>
    <x v="11"/>
    <s v="Electrical Products"/>
    <s v="$56.68M"/>
    <n v="56680000"/>
    <n v="183.61"/>
    <n v="-12.94"/>
    <n v="11371365"/>
    <d v="2026-05-26T00:00:00"/>
    <s v="Complete"/>
  </r>
  <r>
    <s v="sroomnh"/>
    <s v="answers.com"/>
    <s v="Shanna"/>
    <s v="Room"/>
    <s v="Female"/>
    <s v="Female"/>
    <s v="97.210.252.236"/>
    <s v="91.74.137.67"/>
    <n v="846"/>
    <n v="846"/>
    <s v="NASDAQ"/>
    <s v="NH"/>
    <s v="NantHealth, Inc."/>
    <x v="4"/>
    <s v="EDP Services"/>
    <s v="$434.35M"/>
    <n v="434350000"/>
    <n v="674.23"/>
    <n v="-18.239999999999998"/>
    <n v="40624881"/>
    <d v="2025-08-04T00:00:00"/>
    <s v="Complete"/>
  </r>
  <r>
    <s v="dfiginni"/>
    <s v="surveymonkey.com"/>
    <s v="Darbie"/>
    <s v="Figin"/>
    <s v="Female"/>
    <s v="Female"/>
    <s v="101.255.106.244"/>
    <s v="11.201.17.171"/>
    <n v="847"/>
    <n v="847"/>
    <s v="NYSE"/>
    <s v="TRCO"/>
    <s v="Tribune Media Company"/>
    <x v="6"/>
    <s v="Broadcasting"/>
    <s v="$3.57B"/>
    <n v="3570000000"/>
    <n v="1472.36"/>
    <n v="12.14"/>
    <n v="73795516"/>
    <d v="2023-08-11T00:00:00"/>
    <s v="Complete"/>
  </r>
  <r>
    <s v="kduckersnj"/>
    <s v="sfgate.com"/>
    <s v="Karlens"/>
    <s v="Duckers"/>
    <s v="Male"/>
    <s v="Male"/>
    <s v="145.31.9.24"/>
    <s v="173.240.211.24"/>
    <n v="848"/>
    <n v="848"/>
    <s v="NASDAQ"/>
    <s v="DRAM"/>
    <s v="Dataram Corporation"/>
    <x v="4"/>
    <s v="Electronic Components"/>
    <s v="$23.54M"/>
    <n v="23540000"/>
    <n v="1363.97"/>
    <n v="5.19"/>
    <n v="49150672"/>
    <d v="2021-04-24T00:00:00"/>
    <s v="Complete"/>
  </r>
  <r>
    <s v="eotridgenk"/>
    <s v="simplemachines.org"/>
    <s v="Evey"/>
    <s v="Otridge"/>
    <s v="Female"/>
    <s v="Female"/>
    <s v="167.138.7.112"/>
    <s v="169.13.65.151"/>
    <n v="849"/>
    <n v="849"/>
    <s v="NASDAQ"/>
    <s v="LOPE"/>
    <s v="Grand Canyon Education, Inc."/>
    <x v="6"/>
    <s v="Other Consumer Services"/>
    <s v="$3.9B"/>
    <n v="3900000000"/>
    <n v="875.59"/>
    <n v="-5.12"/>
    <n v="163927118"/>
    <d v="2024-01-27T00:00:00"/>
    <s v="Complete"/>
  </r>
  <r>
    <s v="irumensnl"/>
    <s v="columbia.edu"/>
    <s v="Iosep"/>
    <s v="Rumens"/>
    <s v="Male"/>
    <s v="Male"/>
    <s v="248.60.71.74"/>
    <s v="47.143.230.75"/>
    <n v="850"/>
    <n v="850"/>
    <s v="NYSE"/>
    <s v="GTT"/>
    <s v="GTT Communications, Inc."/>
    <x v="8"/>
    <s v="Telecommunications Equipment"/>
    <s v="$1.35B"/>
    <n v="1350000000"/>
    <n v="1230.55"/>
    <n v="-17.079999999999998"/>
    <n v="44945486"/>
    <d v="2025-01-29T00:00:00"/>
    <s v="Complete"/>
  </r>
  <r>
    <s v="lfiridolfinm"/>
    <s v="google.pl"/>
    <s v="Leslie"/>
    <s v="Firidolfi"/>
    <s v="Female"/>
    <s v="Female"/>
    <s v="183.100.156.26"/>
    <s v="75.237.181.53"/>
    <n v="851"/>
    <n v="851"/>
    <s v="NYSE"/>
    <s v="AJRD"/>
    <s v="Aerojet Rocketdyne Holdings, Inc. "/>
    <x v="1"/>
    <s v="Military/Government/Technical"/>
    <s v="$1.55B"/>
    <n v="1550000000"/>
    <n v="363.38"/>
    <n v="-14.88"/>
    <n v="33577830"/>
    <d v="2024-10-14T00:00:00"/>
    <s v="Complete"/>
  </r>
  <r>
    <s v="hbuxsynn"/>
    <s v="histats.com"/>
    <s v="Hilliard"/>
    <s v="Buxsy"/>
    <s v="Male"/>
    <s v="Male"/>
    <s v="213.203.80.200"/>
    <s v="12.149.93.83"/>
    <n v="852"/>
    <n v="852"/>
    <s v="NASDAQ"/>
    <s v="DGRW"/>
    <s v="WisdomTree U.S. Quality Dividend Growth Fund"/>
    <x v="2"/>
    <s v="N/A"/>
    <s v="$1.45B"/>
    <n v="1450000000"/>
    <n v="374.12"/>
    <n v="8.8699999999999992"/>
    <n v="106416632"/>
    <d v="2021-12-26T00:00:00"/>
    <s v="Missing"/>
  </r>
  <r>
    <s v="lfanthomeno"/>
    <s v="t.co"/>
    <s v="Lyon"/>
    <s v="Fanthome"/>
    <s v="Male"/>
    <s v="Male"/>
    <s v="101.230.163.5"/>
    <s v="73.248.134.165"/>
    <n v="853"/>
    <n v="853"/>
    <s v="NASDAQ"/>
    <s v="PLSE"/>
    <s v="Pulse Biosciences, Inc"/>
    <x v="0"/>
    <s v="Medical/Dental Instruments"/>
    <s v="$494.01M"/>
    <n v="494010000"/>
    <n v="373.3"/>
    <n v="12.64"/>
    <n v="94857848"/>
    <d v="2021-05-11T00:00:00"/>
    <s v="Complete"/>
  </r>
  <r>
    <s v="smellernp"/>
    <s v="1und1.de"/>
    <s v="Sinclare"/>
    <s v="Meller"/>
    <s v="Male"/>
    <s v="Male"/>
    <s v="95.48.39.137"/>
    <s v="74.83.243.130"/>
    <n v="854"/>
    <n v="854"/>
    <s v="NYSE"/>
    <s v="EGN"/>
    <s v="Energen Corporation"/>
    <x v="9"/>
    <s v="Oil &amp; Gas Production"/>
    <s v="$5.04B"/>
    <n v="5040000000"/>
    <n v="1565.39"/>
    <n v="17.28"/>
    <n v="135682758"/>
    <d v="2023-07-20T00:00:00"/>
    <s v="Complete"/>
  </r>
  <r>
    <s v="jzecchinq"/>
    <s v="go.com"/>
    <s v="Johan"/>
    <s v="Zecchi"/>
    <s v="Male"/>
    <s v="Male"/>
    <s v="120.84.176.136"/>
    <s v="109.60.76.104"/>
    <n v="855"/>
    <n v="855"/>
    <s v="NASDAQ"/>
    <s v="LNDC"/>
    <s v="Landec Corporation"/>
    <x v="10"/>
    <s v="Major Chemicals"/>
    <s v="$390.46M"/>
    <n v="390460000"/>
    <n v="1554.04"/>
    <n v="-15.92"/>
    <n v="152045147"/>
    <d v="2022-09-21T00:00:00"/>
    <s v="Complete"/>
  </r>
  <r>
    <s v="lsherebrookenr"/>
    <s v="psu.edu"/>
    <s v="Lockwood"/>
    <s v="Sherebrooke"/>
    <s v="Male"/>
    <s v="Male"/>
    <s v="68.188.49.25"/>
    <s v="170.198.133.88"/>
    <n v="856"/>
    <n v="856"/>
    <s v="NYSE"/>
    <s v="AGM^A"/>
    <s v="Federal Agricultural Mortgage Corporation"/>
    <x v="2"/>
    <s v="N/A"/>
    <s v="N/A"/>
    <n v="0"/>
    <n v="704.81"/>
    <n v="9.14"/>
    <n v="141924326"/>
    <d v="2022-01-26T00:00:00"/>
    <s v="Missing"/>
  </r>
  <r>
    <s v="aembrans"/>
    <s v="slashdot.org"/>
    <s v="Alasteir"/>
    <s v="Embra"/>
    <s v="Bigender"/>
    <s v="Other"/>
    <s v="69.92.114.43"/>
    <s v="12.161.115.213"/>
    <n v="857"/>
    <n v="857"/>
    <s v="NASDAQ"/>
    <s v="AIQ"/>
    <s v="Alliance HealthCare Services, Inc."/>
    <x v="0"/>
    <s v="Medical Specialities"/>
    <s v="$143.51M"/>
    <n v="143510000"/>
    <n v="280.06"/>
    <n v="-6.8"/>
    <n v="20586395"/>
    <d v="2021-02-13T00:00:00"/>
    <s v="Complete"/>
  </r>
  <r>
    <s v="jkipplingnt"/>
    <s v="github.com"/>
    <s v="Jarad"/>
    <s v="Kippling"/>
    <s v="Male"/>
    <s v="Male"/>
    <s v="191.136.126.131"/>
    <s v="190.177.138.202"/>
    <n v="858"/>
    <n v="858"/>
    <s v="NASDAQ"/>
    <s v="HBP"/>
    <s v="Huttig Building Products, Inc."/>
    <x v="6"/>
    <s v="RETAIL: Building Materials"/>
    <s v="$177.28M"/>
    <n v="177280000"/>
    <n v="713.04"/>
    <n v="-17.18"/>
    <n v="193555028"/>
    <d v="2020-01-07T00:00:00"/>
    <s v="Complete"/>
  </r>
  <r>
    <s v="ipountainnu"/>
    <s v="omniture.com"/>
    <s v="Ignazio"/>
    <s v="Pountain"/>
    <s v="Male"/>
    <s v="Male"/>
    <s v="133.154.240.3"/>
    <s v="26.153.145.12"/>
    <n v="859"/>
    <n v="859"/>
    <s v="NYSE"/>
    <s v="COH"/>
    <s v="Coach, Inc."/>
    <x v="5"/>
    <s v="Apparel"/>
    <s v="$13B"/>
    <n v="13000000000"/>
    <n v="431.15"/>
    <n v="-12.22"/>
    <n v="79222164"/>
    <d v="2020-07-17T00:00:00"/>
    <s v="Complete"/>
  </r>
  <r>
    <s v="mjinkinnv"/>
    <s v="house.gov"/>
    <s v="Mellicent"/>
    <s v="Jinkin"/>
    <s v="Female"/>
    <s v="Female"/>
    <s v="94.125.233.31"/>
    <s v="82.223.145.122"/>
    <n v="860"/>
    <n v="860"/>
    <s v="NYSE"/>
    <s v="ROG"/>
    <s v="Rogers Corporation"/>
    <x v="10"/>
    <s v="Major Chemicals"/>
    <s v="$1.92B"/>
    <n v="1920000000"/>
    <n v="1303.8599999999999"/>
    <n v="-2.4500000000000002"/>
    <n v="102200843"/>
    <d v="2025-03-12T00:00:00"/>
    <s v="Complete"/>
  </r>
  <r>
    <s v="cstaintonnw"/>
    <s v="woothemes.com"/>
    <s v="Ced"/>
    <s v="Stainton"/>
    <s v="Male"/>
    <s v="Male"/>
    <s v="141.55.134.232"/>
    <s v="197.150.137.197"/>
    <n v="861"/>
    <n v="861"/>
    <s v="NASDAQ"/>
    <s v="CINF"/>
    <s v="Cincinnati Financial Corporation"/>
    <x v="3"/>
    <s v="Property-Casualty Insurers"/>
    <s v="$12.15B"/>
    <n v="12150000000"/>
    <n v="1960.97"/>
    <n v="13.26"/>
    <n v="9262415"/>
    <d v="2023-03-01T00:00:00"/>
    <s v="Complete"/>
  </r>
  <r>
    <s v="frosellininx"/>
    <s v="qq.com"/>
    <s v="Frank"/>
    <s v="Rosellini"/>
    <s v="Female"/>
    <s v="Female"/>
    <s v="194.253.89.208"/>
    <s v="246.152.141.217"/>
    <n v="862"/>
    <n v="862"/>
    <s v="NYSE"/>
    <s v="MC"/>
    <s v="Moelis &amp; Company"/>
    <x v="3"/>
    <s v="Investment Managers"/>
    <s v="$1.01B"/>
    <n v="1010000000"/>
    <n v="1989.62"/>
    <n v="4.9800000000000004"/>
    <n v="159608070"/>
    <d v="2020-12-29T00:00:00"/>
    <s v="Complete"/>
  </r>
  <r>
    <s v="rkitchinhamny"/>
    <s v="hugedomains.com"/>
    <s v="Renado"/>
    <s v="Kitchinham"/>
    <s v="Male"/>
    <s v="Male"/>
    <s v="193.215.179.21"/>
    <s v="159.126.35.38"/>
    <n v="863"/>
    <n v="863"/>
    <s v="NYSE"/>
    <s v="BANC^E"/>
    <s v="Banc of California, Inc."/>
    <x v="2"/>
    <s v="N/A"/>
    <s v="N/A"/>
    <n v="0"/>
    <n v="1632.92"/>
    <n v="-15.77"/>
    <n v="175711804"/>
    <d v="2023-12-17T00:00:00"/>
    <s v="Missing"/>
  </r>
  <r>
    <s v="rsircombnz"/>
    <s v="hao123.com"/>
    <s v="Ray"/>
    <s v="Sircomb"/>
    <s v="Female"/>
    <s v="Female"/>
    <s v="69.221.249.62"/>
    <s v="79.215.99.247"/>
    <n v="864"/>
    <n v="864"/>
    <s v="NYSE"/>
    <s v="TER"/>
    <s v="Teradyne, Inc."/>
    <x v="1"/>
    <s v="Electrical Products"/>
    <s v="$6.47B"/>
    <n v="6470000000"/>
    <n v="639.78"/>
    <n v="10.029999999999999"/>
    <n v="115077564"/>
    <d v="2021-08-06T00:00:00"/>
    <s v="Complete"/>
  </r>
  <r>
    <s v="amcmonnieso0"/>
    <s v="alexa.com"/>
    <s v="Agace"/>
    <s v="McMonnies"/>
    <s v="Female"/>
    <s v="Female"/>
    <s v="245.176.228.83"/>
    <s v="175.159.182.26"/>
    <n v="865"/>
    <n v="865"/>
    <s v="NYSE"/>
    <s v="STT^G"/>
    <s v="State Street Corporation"/>
    <x v="2"/>
    <s v="N/A"/>
    <s v="N/A"/>
    <n v="0"/>
    <n v="494.06"/>
    <n v="-12.93"/>
    <n v="170563065"/>
    <d v="2020-11-26T00:00:00"/>
    <s v="Missing"/>
  </r>
  <r>
    <s v="niglesiaso1"/>
    <s v="moonfruit.com"/>
    <s v="Netti"/>
    <s v="Iglesias"/>
    <s v="Female"/>
    <s v="Female"/>
    <s v="153.175.174.179"/>
    <s v="122.70.8.193"/>
    <n v="866"/>
    <n v="866"/>
    <s v="NYSE"/>
    <s v="ASA"/>
    <s v="ASA Gold and Precious Metals Limited"/>
    <x v="2"/>
    <s v="N/A"/>
    <s v="$222.22M"/>
    <n v="222220000"/>
    <n v="262.47000000000003"/>
    <n v="11.19"/>
    <n v="21306884"/>
    <d v="2024-12-06T00:00:00"/>
    <s v="Missing"/>
  </r>
  <r>
    <s v="pfloato2"/>
    <s v="wikia.com"/>
    <s v="Pris"/>
    <s v="Float"/>
    <s v="Genderqueer"/>
    <s v="Other"/>
    <s v="53.144.223.30"/>
    <s v="123.183.61.220"/>
    <n v="867"/>
    <n v="867"/>
    <s v="NASDAQ"/>
    <s v="TROV"/>
    <s v="TrovaGene, Inc."/>
    <x v="0"/>
    <s v="Biotechnology: Biological Products (No Diagnostic Substances)"/>
    <s v="$29.24M"/>
    <n v="29240000"/>
    <n v="282.5"/>
    <n v="6.99"/>
    <n v="8262791"/>
    <d v="2024-06-03T00:00:00"/>
    <s v="Complete"/>
  </r>
  <r>
    <s v="nahmedo3"/>
    <s v="wikipedia.org"/>
    <s v="Nicolea"/>
    <s v="Ahmed"/>
    <s v="Female"/>
    <s v="Female"/>
    <s v="216.127.6.217"/>
    <s v="96.163.66.126"/>
    <n v="868"/>
    <n v="868"/>
    <s v="NASDAQ"/>
    <s v="ESGE"/>
    <s v="iShares MSCI EM ESG Optimized ETF"/>
    <x v="2"/>
    <s v="N/A"/>
    <s v="$54.38M"/>
    <n v="54380000"/>
    <n v="675.06"/>
    <n v="-14.86"/>
    <n v="67075423"/>
    <d v="2020-11-15T00:00:00"/>
    <s v="Missing"/>
  </r>
  <r>
    <s v="ichrismaso4"/>
    <s v="ameblo.jp"/>
    <s v="Inness"/>
    <s v="Chrismas"/>
    <s v="Male"/>
    <s v="Male"/>
    <s v="239.107.81.46"/>
    <s v="49.110.79.124"/>
    <n v="869"/>
    <n v="869"/>
    <s v="NASDAQ"/>
    <s v="MSCC"/>
    <s v="Microsemi Corporation"/>
    <x v="4"/>
    <s v="Semiconductors"/>
    <s v="$5.55B"/>
    <n v="5550000000"/>
    <n v="547.35"/>
    <n v="4.1100000000000003"/>
    <n v="185629195"/>
    <d v="2023-03-11T00:00:00"/>
    <s v="Complete"/>
  </r>
  <r>
    <s v="tbeckmanno5"/>
    <s v="ibm.com"/>
    <s v="Tallou"/>
    <s v="Beckmann"/>
    <s v="Female"/>
    <s v="Female"/>
    <s v="10.104.1.96"/>
    <s v="85.69.195.243"/>
    <n v="870"/>
    <n v="870"/>
    <s v="NASDAQ"/>
    <s v="COVS"/>
    <s v="Covisint Corporation"/>
    <x v="4"/>
    <s v="EDP Services"/>
    <s v="$99.1M"/>
    <n v="99100000"/>
    <n v="516.02"/>
    <n v="15.99"/>
    <n v="157735280"/>
    <d v="2025-12-24T00:00:00"/>
    <s v="Complete"/>
  </r>
  <r>
    <s v="piacovoloo6"/>
    <s v="pbs.org"/>
    <s v="Putnam"/>
    <s v="Iacovolo"/>
    <s v="Male"/>
    <s v="Male"/>
    <s v="126.248.134.144"/>
    <s v="119.13.38.225"/>
    <n v="871"/>
    <n v="871"/>
    <s v="NASDAQ"/>
    <s v="AAOI"/>
    <s v="Applied Optoelectronics, Inc."/>
    <x v="4"/>
    <s v="Semiconductors"/>
    <s v="$1.19B"/>
    <n v="1190000000"/>
    <n v="1004.37"/>
    <n v="-15.76"/>
    <n v="152696845"/>
    <d v="2025-03-03T00:00:00"/>
    <s v="Complete"/>
  </r>
  <r>
    <s v="iportchmoutho7"/>
    <s v="devhub.com"/>
    <s v="Ibbie"/>
    <s v="Portchmouth"/>
    <s v="Female"/>
    <s v="Female"/>
    <s v="187.107.132.194"/>
    <s v="36.85.221.79"/>
    <n v="872"/>
    <n v="872"/>
    <s v="NYSE"/>
    <s v="PES"/>
    <s v="Pioneer Energy Services Corp."/>
    <x v="9"/>
    <s v="Oil &amp; Gas Production"/>
    <s v="$158.42M"/>
    <n v="158420000"/>
    <n v="1638.78"/>
    <n v="-8.3800000000000008"/>
    <n v="101081091"/>
    <d v="2026-09-08T00:00:00"/>
    <s v="Complete"/>
  </r>
  <r>
    <s v="ebeverleyo8"/>
    <s v="cnet.com"/>
    <s v="Ewart"/>
    <s v="Beverley"/>
    <s v="Male"/>
    <s v="Male"/>
    <s v="227.59.223.103"/>
    <s v="192.91.25.102"/>
    <n v="873"/>
    <n v="873"/>
    <s v="NYSE"/>
    <s v="KEP"/>
    <s v="Korea Electric Power Corporation"/>
    <x v="8"/>
    <s v="Electric Utilities: Central"/>
    <s v="$24.6B"/>
    <n v="24600000000"/>
    <n v="208.83"/>
    <n v="2.4700000000000002"/>
    <n v="20901070"/>
    <d v="2024-06-02T00:00:00"/>
    <s v="Complete"/>
  </r>
  <r>
    <s v="phenriqueto9"/>
    <s v="last.fm"/>
    <s v="Paddie"/>
    <s v="Henriquet"/>
    <s v="Male"/>
    <s v="Male"/>
    <s v="6.155.101.92"/>
    <s v="253.210.144.46"/>
    <n v="874"/>
    <n v="874"/>
    <s v="NYSE"/>
    <s v="APTS"/>
    <s v="Preferred Apartment Communities, Inc."/>
    <x v="6"/>
    <s v="Real Estate Investment Trusts"/>
    <s v="$497.06M"/>
    <n v="497060000"/>
    <n v="807.54"/>
    <n v="-14.18"/>
    <n v="64625198"/>
    <d v="2021-11-27T00:00:00"/>
    <s v="Complete"/>
  </r>
  <r>
    <s v="pmitchamoa"/>
    <s v="japanpost.jp"/>
    <s v="Piggy"/>
    <s v="Mitcham"/>
    <s v="Male"/>
    <s v="Male"/>
    <s v="190.24.38.0"/>
    <s v="70.172.29.181"/>
    <n v="875"/>
    <n v="875"/>
    <s v="NYSE"/>
    <s v="KGC"/>
    <s v="Kinross Gold Corporation"/>
    <x v="10"/>
    <s v="Precious Metals"/>
    <s v="$5.1B"/>
    <n v="5100000000"/>
    <n v="1041.3900000000001"/>
    <n v="6.73"/>
    <n v="117448272"/>
    <d v="2024-02-07T00:00:00"/>
    <s v="Complete"/>
  </r>
  <r>
    <s v="abridalob"/>
    <s v="shutterfly.com"/>
    <s v="Adelaide"/>
    <s v="Bridal"/>
    <s v="Female"/>
    <s v="Female"/>
    <s v="190.204.120.74"/>
    <s v="161.210.45.81"/>
    <n v="876"/>
    <n v="876"/>
    <s v="NASDAQ"/>
    <s v="WVVI"/>
    <s v="Willamette Valley Vineyards, Inc."/>
    <x v="5"/>
    <s v="Beverages (Production/Distribution)"/>
    <s v="$40.16M"/>
    <n v="40160000"/>
    <n v="861.45"/>
    <n v="-3.41"/>
    <n v="118623540"/>
    <d v="2024-02-22T00:00:00"/>
    <s v="Complete"/>
  </r>
  <r>
    <s v="rbraybrooksoc"/>
    <s v="pinterest.com"/>
    <s v="Rosemaria"/>
    <s v="Braybrooks"/>
    <s v="Female"/>
    <s v="Female"/>
    <s v="165.30.61.17"/>
    <s v="55.171.211.15"/>
    <n v="877"/>
    <n v="877"/>
    <s v="NYSE"/>
    <s v="GOL"/>
    <s v="Gol Linhas Aereas Inteligentes S.A."/>
    <x v="12"/>
    <s v="Air Freight/Delivery Services"/>
    <s v="$6.06B"/>
    <n v="6060000000"/>
    <n v="1180.04"/>
    <n v="11.82"/>
    <n v="113253888"/>
    <d v="2026-06-14T00:00:00"/>
    <s v="Complete"/>
  </r>
  <r>
    <s v="amckeneyod"/>
    <s v="netscape.com"/>
    <s v="Alyosha"/>
    <s v="McKeney"/>
    <s v="Male"/>
    <s v="Male"/>
    <s v="51.158.45.187"/>
    <s v="115.223.249.186"/>
    <n v="878"/>
    <n v="878"/>
    <s v="NASDAQ"/>
    <s v="ZSAN"/>
    <s v="Zosano Pharma Corporation"/>
    <x v="0"/>
    <s v="Major Pharmaceuticals"/>
    <s v="$52.53M"/>
    <n v="52530000"/>
    <n v="1241.6400000000001"/>
    <n v="17.93"/>
    <n v="136368142"/>
    <d v="2026-03-19T00:00:00"/>
    <s v="Complete"/>
  </r>
  <r>
    <s v="dpionteroe"/>
    <s v="si.edu"/>
    <s v="Durand"/>
    <s v="Pionter"/>
    <s v="Male"/>
    <s v="Male"/>
    <s v="124.182.51.103"/>
    <s v="162.219.128.145"/>
    <n v="879"/>
    <n v="879"/>
    <s v="NYSE"/>
    <s v="MRIN"/>
    <s v="Marin Software Incorporated"/>
    <x v="4"/>
    <s v="EDP Services"/>
    <s v="$47.31M"/>
    <n v="47310000"/>
    <n v="900.28"/>
    <n v="14.22"/>
    <n v="108267078"/>
    <d v="2023-10-07T00:00:00"/>
    <s v="Complete"/>
  </r>
  <r>
    <s v="edorseyof"/>
    <s v="usa.gov"/>
    <s v="Eugenio"/>
    <s v="Dorsey"/>
    <s v="Male"/>
    <s v="Male"/>
    <s v="34.248.211.195"/>
    <s v="88.32.33.225"/>
    <n v="880"/>
    <n v="880"/>
    <s v="NYSE"/>
    <s v="TSS"/>
    <s v="Total System Services, Inc."/>
    <x v="7"/>
    <s v="Business Services"/>
    <s v="$10.85B"/>
    <n v="10850000000"/>
    <n v="369.64"/>
    <n v="9.64"/>
    <n v="179504647"/>
    <d v="2026-11-11T00:00:00"/>
    <s v="Complete"/>
  </r>
  <r>
    <s v="cmacrowog"/>
    <s v="360.cn"/>
    <s v="Caldwell"/>
    <s v="Macrow"/>
    <s v="Male"/>
    <s v="Male"/>
    <s v="86.64.99.163"/>
    <s v="84.209.107.231"/>
    <n v="881"/>
    <n v="881"/>
    <s v="NYSE"/>
    <s v="AJG"/>
    <s v="Arthur J. Gallagher &amp; Co."/>
    <x v="3"/>
    <s v="Specialty Insurers"/>
    <s v="$10.59B"/>
    <n v="10590000000"/>
    <n v="1302.28"/>
    <n v="17.37"/>
    <n v="189727041"/>
    <d v="2021-12-12T00:00:00"/>
    <s v="Complete"/>
  </r>
  <r>
    <s v="amerwedeoh"/>
    <s v="thetimes.co.uk"/>
    <s v="Alwyn"/>
    <s v="Merwede"/>
    <s v="Agender"/>
    <s v="Other"/>
    <s v="49.158.175.22"/>
    <s v="9.190.83.132"/>
    <n v="882"/>
    <n v="882"/>
    <s v="NYSE"/>
    <s v="CBS"/>
    <s v="CBS Corporation"/>
    <x v="6"/>
    <s v="Broadcasting"/>
    <s v="$25.26B"/>
    <n v="25260000000"/>
    <n v="700.7"/>
    <n v="16.03"/>
    <n v="66754782"/>
    <d v="2025-03-21T00:00:00"/>
    <s v="Complete"/>
  </r>
  <r>
    <s v="hclemotoi"/>
    <s v="washingtonpost.com"/>
    <s v="Halette"/>
    <s v="Clemot"/>
    <s v="Female"/>
    <s v="Female"/>
    <s v="176.137.238.77"/>
    <s v="88.218.97.80"/>
    <n v="883"/>
    <n v="883"/>
    <s v="NYSE"/>
    <s v="GRX^A"/>
    <s v="The Gabelli Healthcare &amp; Wellness Trust"/>
    <x v="2"/>
    <s v="N/A"/>
    <s v="N/A"/>
    <n v="0"/>
    <n v="1381.25"/>
    <n v="3.3"/>
    <n v="6426845"/>
    <d v="2024-03-07T00:00:00"/>
    <s v="Missing"/>
  </r>
  <r>
    <s v="ajuniferoj"/>
    <s v="linkedin.com"/>
    <s v="Ax"/>
    <s v="Junifer"/>
    <s v="Male"/>
    <s v="Male"/>
    <s v="93.14.221.162"/>
    <s v="36.73.66.236"/>
    <n v="884"/>
    <n v="884"/>
    <s v="NASDAQ"/>
    <s v="BBOX"/>
    <s v="Black Box Corporation"/>
    <x v="4"/>
    <s v="Computer Communications Equipment"/>
    <s v="$117.47M"/>
    <n v="117470000"/>
    <n v="1341.22"/>
    <n v="-0.22"/>
    <n v="31768594"/>
    <d v="2026-01-08T00:00:00"/>
    <s v="Complete"/>
  </r>
  <r>
    <s v="dmacnairok"/>
    <s v="mozilla.com"/>
    <s v="Dacia"/>
    <s v="MacNair"/>
    <s v="Female"/>
    <s v="Female"/>
    <s v="239.226.89.219"/>
    <s v="100.61.143.59"/>
    <n v="885"/>
    <n v="885"/>
    <s v="NYSE"/>
    <s v="WK"/>
    <s v="Workiva Inc."/>
    <x v="4"/>
    <s v="Computer Software: Prepackaged Software"/>
    <s v="$788.23M"/>
    <n v="788230000"/>
    <n v="1612.04"/>
    <n v="-7.24"/>
    <n v="161870393"/>
    <d v="2025-09-12T00:00:00"/>
    <s v="Complete"/>
  </r>
  <r>
    <s v="skippieol"/>
    <s v="4shared.com"/>
    <s v="Shae"/>
    <s v="Kippie"/>
    <s v="Female"/>
    <s v="Female"/>
    <s v="203.243.180.168"/>
    <s v="222.173.30.29"/>
    <n v="886"/>
    <n v="886"/>
    <s v="NASDAQ"/>
    <s v="SNSS"/>
    <s v="Sunesis Pharmaceuticals, Inc."/>
    <x v="0"/>
    <s v="Major Pharmaceuticals"/>
    <s v="$59.23M"/>
    <n v="59230000"/>
    <n v="1385.53"/>
    <n v="-12.94"/>
    <n v="59189495"/>
    <d v="2024-06-07T00:00:00"/>
    <s v="Complete"/>
  </r>
  <r>
    <s v="tturbanom"/>
    <s v="census.gov"/>
    <s v="Tome"/>
    <s v="Turban"/>
    <s v="Male"/>
    <s v="Male"/>
    <s v="141.30.244.161"/>
    <s v="39.166.58.59"/>
    <n v="887"/>
    <n v="887"/>
    <s v="NYSE"/>
    <s v="AWR"/>
    <s v="American States Water Company"/>
    <x v="8"/>
    <s v="Water Supply"/>
    <s v="$1.83B"/>
    <n v="1830000000"/>
    <n v="1327.37"/>
    <n v="13.73"/>
    <n v="158376047"/>
    <d v="2025-07-01T00:00:00"/>
    <s v="Complete"/>
  </r>
  <r>
    <s v="mpetrosellion"/>
    <s v="eepurl.com"/>
    <s v="Madeline"/>
    <s v="Petroselli"/>
    <s v="Female"/>
    <s v="Female"/>
    <s v="142.31.206.50"/>
    <s v="129.214.182.134"/>
    <n v="888"/>
    <n v="888"/>
    <s v="NYSE"/>
    <s v="MUH"/>
    <s v="Blackrock MuniHoldings Fund II, Inc."/>
    <x v="2"/>
    <s v="N/A"/>
    <s v="$180.01M"/>
    <n v="180010000"/>
    <n v="1736.83"/>
    <n v="10.11"/>
    <n v="42752180"/>
    <d v="2020-12-23T00:00:00"/>
    <s v="Missing"/>
  </r>
  <r>
    <s v="cbootymanoo"/>
    <s v="taobao.com"/>
    <s v="Cissy"/>
    <s v="Bootyman"/>
    <s v="Female"/>
    <s v="Female"/>
    <s v="167.48.182.10"/>
    <s v="166.151.60.31"/>
    <n v="889"/>
    <n v="889"/>
    <s v="NASDAQ"/>
    <s v="STRT"/>
    <s v="Strattec Security Corporation"/>
    <x v="1"/>
    <s v="Auto Parts:O.E.M."/>
    <s v="$121.47M"/>
    <n v="121470000"/>
    <n v="225.62"/>
    <n v="10.7"/>
    <n v="164136831"/>
    <d v="2021-03-26T00:00:00"/>
    <s v="Complete"/>
  </r>
  <r>
    <s v="oschuleop"/>
    <s v="aol.com"/>
    <s v="Orrin"/>
    <s v="Schule"/>
    <s v="Male"/>
    <s v="Male"/>
    <s v="182.125.160.103"/>
    <s v="170.233.200.154"/>
    <n v="890"/>
    <n v="890"/>
    <s v="NASDAQ"/>
    <s v="DXYN"/>
    <s v="The Dixie Group, Inc."/>
    <x v="11"/>
    <s v="Home Furnishings"/>
    <s v="$71.76M"/>
    <n v="71760000"/>
    <n v="1736.1"/>
    <n v="19.399999999999999"/>
    <n v="58872444"/>
    <d v="2026-03-19T00:00:00"/>
    <s v="Complete"/>
  </r>
  <r>
    <s v="kchurchleyoq"/>
    <s v="apple.com"/>
    <s v="Kare"/>
    <s v="Churchley"/>
    <s v="Female"/>
    <s v="Female"/>
    <s v="10.223.209.185"/>
    <s v="249.224.210.72"/>
    <n v="891"/>
    <n v="891"/>
    <s v="NYSE"/>
    <s v="GS^A"/>
    <s v="Goldman Sachs Group, Inc. (The)"/>
    <x v="2"/>
    <s v="N/A"/>
    <s v="N/A"/>
    <n v="0"/>
    <n v="507.37"/>
    <n v="12.64"/>
    <n v="32229571"/>
    <d v="2023-01-16T00:00:00"/>
    <s v="Missing"/>
  </r>
  <r>
    <s v="fthowesor"/>
    <s v="blog.com"/>
    <s v="Fina"/>
    <s v="Thowes"/>
    <s v="Female"/>
    <s v="Female"/>
    <s v="2.57.202.147"/>
    <s v="164.204.62.6"/>
    <n v="892"/>
    <n v="892"/>
    <s v="NASDAQ"/>
    <s v="FSBW"/>
    <s v="FS Bancorp, Inc."/>
    <x v="3"/>
    <s v="Banks"/>
    <s v="$139.32M"/>
    <n v="139320000"/>
    <n v="1942.87"/>
    <n v="-13.38"/>
    <n v="67896446"/>
    <d v="2020-12-22T00:00:00"/>
    <s v="Complete"/>
  </r>
  <r>
    <s v="ecokeos"/>
    <s v="zimbio.com"/>
    <s v="Emmalee"/>
    <s v="Coke"/>
    <s v="Polygender"/>
    <s v="Other"/>
    <s v="192.151.160.114"/>
    <s v="210.255.106.120"/>
    <n v="893"/>
    <n v="893"/>
    <s v="NYSE"/>
    <s v="HMN"/>
    <s v="Horace Mann Educators Corporation"/>
    <x v="3"/>
    <s v="Property-Casualty Insurers"/>
    <s v="$1.59B"/>
    <n v="1590000000"/>
    <n v="638.09"/>
    <n v="4.96"/>
    <n v="163084809"/>
    <d v="2025-09-13T00:00:00"/>
    <s v="Complete"/>
  </r>
  <r>
    <s v="caaronsonot"/>
    <s v="tuttocitta.it"/>
    <s v="Clayton"/>
    <s v="Aaronson"/>
    <s v="Male"/>
    <s v="Male"/>
    <s v="162.75.171.122"/>
    <s v="187.83.69.124"/>
    <n v="894"/>
    <n v="894"/>
    <s v="NYSE"/>
    <s v="INSW"/>
    <s v="International Seaways, Inc."/>
    <x v="6"/>
    <s v="Marine Transportation"/>
    <s v="$580.97M"/>
    <n v="580970000"/>
    <n v="1659"/>
    <n v="11.6"/>
    <n v="190821298"/>
    <d v="2023-08-14T00:00:00"/>
    <s v="Complete"/>
  </r>
  <r>
    <s v="torrisou"/>
    <s v="tinypic.com"/>
    <s v="Terri-jo"/>
    <s v="Orris"/>
    <s v="Female"/>
    <s v="Female"/>
    <s v="218.152.170.74"/>
    <s v="189.215.36.229"/>
    <n v="895"/>
    <n v="895"/>
    <s v="NYSE"/>
    <s v="MUA"/>
    <s v="Blackrock MuniAssets Fund, Inc."/>
    <x v="2"/>
    <s v="N/A"/>
    <s v="$529.78M"/>
    <n v="529780000"/>
    <n v="1603.38"/>
    <n v="-19.93"/>
    <n v="69857657"/>
    <d v="2025-03-25T00:00:00"/>
    <s v="Missing"/>
  </r>
  <r>
    <s v="tbodsworthov"/>
    <s v="friendfeed.com"/>
    <s v="Timothee"/>
    <s v="Bodsworth"/>
    <s v="Male"/>
    <s v="Male"/>
    <s v="205.242.26.97"/>
    <s v="114.133.67.177"/>
    <n v="896"/>
    <n v="896"/>
    <s v="NASDAQ"/>
    <s v="FMCIU"/>
    <s v="Forum Merger Corporation"/>
    <x v="3"/>
    <s v="Business Services"/>
    <s v="N/A"/>
    <n v="0"/>
    <n v="1129.22"/>
    <n v="-3.78"/>
    <n v="44597164"/>
    <d v="2021-03-01T00:00:00"/>
    <s v="Missing"/>
  </r>
  <r>
    <s v="uyokelow"/>
    <s v="liveinternet.ru"/>
    <s v="Udell"/>
    <s v="Yokel"/>
    <s v="Male"/>
    <s v="Male"/>
    <s v="165.9.148.113"/>
    <s v="70.67.102.15"/>
    <n v="897"/>
    <n v="897"/>
    <s v="NYSE"/>
    <s v="HLT"/>
    <s v="Hilton Worldwide Holdings Inc."/>
    <x v="6"/>
    <s v="Hotels/Resorts"/>
    <s v="$21.7B"/>
    <n v="21700000000"/>
    <n v="1124.3900000000001"/>
    <n v="-11.15"/>
    <n v="131590359"/>
    <d v="2024-05-09T00:00:00"/>
    <s v="Complete"/>
  </r>
  <r>
    <s v="zgarnallox"/>
    <s v="ning.com"/>
    <s v="Zena"/>
    <s v="Garnall"/>
    <s v="Female"/>
    <s v="Female"/>
    <s v="172.251.221.72"/>
    <s v="169.122.252.229"/>
    <n v="898"/>
    <n v="898"/>
    <s v="NYSE"/>
    <s v="RIG"/>
    <s v="Transocean Ltd."/>
    <x v="9"/>
    <s v="Oil &amp; Gas Production"/>
    <s v="$3.37B"/>
    <n v="3370000000"/>
    <n v="1951.36"/>
    <n v="5.23"/>
    <n v="100821344"/>
    <d v="2020-10-06T00:00:00"/>
    <s v="Complete"/>
  </r>
  <r>
    <s v="elakeroy"/>
    <s v="xrea.com"/>
    <s v="Ezechiel"/>
    <s v="Laker"/>
    <s v="Male"/>
    <s v="Male"/>
    <s v="9.211.120.32"/>
    <s v="27.19.77.119"/>
    <n v="899"/>
    <n v="899"/>
    <s v="NYSE"/>
    <s v="BTU"/>
    <s v="Peabody Energy Corporation"/>
    <x v="9"/>
    <s v="Coal Mining"/>
    <s v="$2.28B"/>
    <n v="2280000000"/>
    <n v="572.04"/>
    <n v="1.67"/>
    <n v="180185781"/>
    <d v="2023-06-26T00:00:00"/>
    <s v="Complete"/>
  </r>
  <r>
    <s v="ldanisoz"/>
    <s v="adobe.com"/>
    <s v="Lesley"/>
    <s v="Danis"/>
    <s v="Female"/>
    <s v="Female"/>
    <s v="152.21.129.26"/>
    <s v="132.36.138.32"/>
    <n v="900"/>
    <n v="900"/>
    <s v="NASDAQ"/>
    <s v="BCOR"/>
    <s v="Blucora, Inc."/>
    <x v="4"/>
    <s v="EDP Services"/>
    <s v="$909.02M"/>
    <n v="909020000"/>
    <n v="509.42"/>
    <n v="4.33"/>
    <n v="96265081"/>
    <d v="2023-09-29T00:00:00"/>
    <s v="Complete"/>
  </r>
  <r>
    <s v="eraddenburyp0"/>
    <s v="people.com.cn"/>
    <s v="Effie"/>
    <s v="Raddenbury"/>
    <s v="Female"/>
    <s v="Female"/>
    <s v="161.114.101.133"/>
    <s v="11.199.45.177"/>
    <n v="901"/>
    <n v="901"/>
    <s v="NASDAQ"/>
    <s v="KALV"/>
    <s v="KalVista Pharmaceuticals, Inc."/>
    <x v="0"/>
    <s v="Major Pharmaceuticals"/>
    <s v="$73.43M"/>
    <n v="73430000"/>
    <n v="212.02"/>
    <n v="-10.45"/>
    <n v="18813225"/>
    <d v="2022-02-22T00:00:00"/>
    <s v="Complete"/>
  </r>
  <r>
    <s v="mjeeksp1"/>
    <s v="home.pl"/>
    <s v="Midge"/>
    <s v="Jeeks"/>
    <s v="Female"/>
    <s v="Female"/>
    <s v="57.176.107.235"/>
    <s v="155.211.150.165"/>
    <n v="902"/>
    <n v="902"/>
    <s v="NYSE"/>
    <s v="CNX"/>
    <s v="CONSOL Energy Inc."/>
    <x v="9"/>
    <s v="Coal Mining"/>
    <s v="$3.33B"/>
    <n v="3330000000"/>
    <n v="1550.03"/>
    <n v="-17.39"/>
    <n v="94481245"/>
    <d v="2024-04-01T00:00:00"/>
    <s v="Complete"/>
  </r>
  <r>
    <s v="rraubenheimp2"/>
    <s v="ed.gov"/>
    <s v="Rhonda"/>
    <s v="Raubenheim"/>
    <s v="Female"/>
    <s v="Female"/>
    <s v="187.234.10.107"/>
    <s v="79.97.15.141"/>
    <n v="903"/>
    <n v="903"/>
    <s v="NYSE"/>
    <s v="VEC"/>
    <s v="Vectrus, Inc."/>
    <x v="6"/>
    <s v="Diversified Commercial Services"/>
    <s v="$340.82M"/>
    <n v="340820000"/>
    <n v="1224.6600000000001"/>
    <n v="-1.89"/>
    <n v="196570599"/>
    <d v="2020-12-25T00:00:00"/>
    <s v="Complete"/>
  </r>
  <r>
    <s v="ncrosswaitep3"/>
    <s v="hp.com"/>
    <s v="Neddy"/>
    <s v="Crosswaite"/>
    <s v="Male"/>
    <s v="Male"/>
    <s v="213.88.69.79"/>
    <s v="15.154.195.177"/>
    <n v="904"/>
    <n v="904"/>
    <s v="NYSE"/>
    <s v="AFSS"/>
    <s v="AmTrust Financial Services, Inc."/>
    <x v="3"/>
    <s v="Property-Casualty Insurers"/>
    <s v="N/A"/>
    <n v="0"/>
    <n v="215.01"/>
    <n v="9.2200000000000006"/>
    <n v="76068405"/>
    <d v="2025-10-19T00:00:00"/>
    <s v="Missing"/>
  </r>
  <r>
    <s v="rfeatherstonep4"/>
    <s v="e-recht24.de"/>
    <s v="Rosella"/>
    <s v="Featherstone"/>
    <s v="Female"/>
    <s v="Female"/>
    <s v="108.242.60.231"/>
    <s v="11.119.244.168"/>
    <n v="905"/>
    <n v="905"/>
    <s v="NYSE"/>
    <s v="RH"/>
    <s v="RH"/>
    <x v="6"/>
    <s v="Other Specialty Stores"/>
    <s v="$1.74B"/>
    <n v="1740000000"/>
    <n v="885.17"/>
    <n v="-15.05"/>
    <n v="89233610"/>
    <d v="2026-05-29T00:00:00"/>
    <s v="Complete"/>
  </r>
  <r>
    <s v="esherringtonp5"/>
    <s v="csmonitor.com"/>
    <s v="Edita"/>
    <s v="Sherrington"/>
    <s v="Female"/>
    <s v="Female"/>
    <s v="88.234.240.61"/>
    <s v="41.109.187.144"/>
    <n v="906"/>
    <n v="906"/>
    <s v="NASDAQ"/>
    <s v="NVGN"/>
    <s v="Novogen Limited"/>
    <x v="0"/>
    <s v="Major Pharmaceuticals"/>
    <s v="$16.59M"/>
    <n v="16590000"/>
    <n v="728.44"/>
    <n v="-13.55"/>
    <n v="158395440"/>
    <d v="2025-08-06T00:00:00"/>
    <s v="Complete"/>
  </r>
  <r>
    <s v="sbezleyp6"/>
    <s v="cisco.com"/>
    <s v="Shandra"/>
    <s v="Bezley"/>
    <s v="Female"/>
    <s v="Female"/>
    <s v="90.103.138.85"/>
    <s v="8.78.36.248"/>
    <n v="907"/>
    <n v="907"/>
    <s v="NYSE"/>
    <s v="PSXP"/>
    <s v="Phillips 66 Partners LP"/>
    <x v="9"/>
    <s v="Natural Gas Distribution"/>
    <s v="$5.04B"/>
    <n v="5040000000"/>
    <n v="526.15"/>
    <n v="15.12"/>
    <n v="47855323"/>
    <d v="2026-09-16T00:00:00"/>
    <s v="Complete"/>
  </r>
  <r>
    <s v="obotlyp7"/>
    <s v="hubpages.com"/>
    <s v="Oran"/>
    <s v="Botly"/>
    <s v="Genderqueer"/>
    <s v="Other"/>
    <s v="15.190.156.54"/>
    <s v="58.90.36.4"/>
    <n v="908"/>
    <n v="908"/>
    <s v="NYSE"/>
    <s v="WHG"/>
    <s v="Westwood Holdings Group Inc"/>
    <x v="3"/>
    <s v="Investment Managers"/>
    <s v="$506.48M"/>
    <n v="506480000"/>
    <n v="324.06"/>
    <n v="-10.18"/>
    <n v="122943557"/>
    <d v="2023-11-10T00:00:00"/>
    <s v="Complete"/>
  </r>
  <r>
    <s v="hbrocktonp8"/>
    <s v="soup.io"/>
    <s v="Hyman"/>
    <s v="Brockton"/>
    <s v="Male"/>
    <s v="Male"/>
    <s v="83.31.56.177"/>
    <s v="176.90.195.74"/>
    <n v="909"/>
    <n v="909"/>
    <s v="NASDAQ"/>
    <s v="AIRR"/>
    <s v="First Trust RBA American Industrial Renaissance ETF"/>
    <x v="2"/>
    <s v="N/A"/>
    <s v="$184.47M"/>
    <n v="184470000"/>
    <n v="658.87"/>
    <n v="-11.35"/>
    <n v="58854810"/>
    <d v="2023-10-01T00:00:00"/>
    <s v="Missing"/>
  </r>
  <r>
    <s v="mhallfordp9"/>
    <s v="over-blog.com"/>
    <s v="Mabel"/>
    <s v="Hallford"/>
    <s v="Female"/>
    <s v="Female"/>
    <s v="174.246.173.174"/>
    <s v="136.220.40.91"/>
    <n v="910"/>
    <n v="910"/>
    <s v="NYSE"/>
    <s v="CLI"/>
    <s v="Mack-Cali Realty Corporation"/>
    <x v="6"/>
    <s v="Real Estate Investment Trusts"/>
    <s v="$2.54B"/>
    <n v="2540000000"/>
    <n v="1332.31"/>
    <n v="7.28"/>
    <n v="48575639"/>
    <d v="2020-06-10T00:00:00"/>
    <s v="Complete"/>
  </r>
  <r>
    <s v="dstilliardpa"/>
    <s v="chronoengine.com"/>
    <s v="Dita"/>
    <s v="Stilliard"/>
    <s v="Female"/>
    <s v="Female"/>
    <s v="46.92.86.70"/>
    <s v="102.48.193.113"/>
    <n v="911"/>
    <n v="911"/>
    <s v="NASDAQ"/>
    <s v="QCLN"/>
    <s v="First Trust NASDAQ Clean Edge Green Energy Index Fund"/>
    <x v="2"/>
    <s v="N/A"/>
    <s v="$61.17M"/>
    <n v="61170000"/>
    <n v="57.87"/>
    <n v="15.79"/>
    <n v="10646311"/>
    <d v="2023-05-24T00:00:00"/>
    <s v="Missing"/>
  </r>
  <r>
    <s v="sbaulkpb"/>
    <s v="blogtalkradio.com"/>
    <s v="Sadye"/>
    <s v="Baulk"/>
    <s v="Female"/>
    <s v="Female"/>
    <s v="208.190.12.177"/>
    <s v="220.42.243.151"/>
    <n v="912"/>
    <n v="912"/>
    <s v="NYSE"/>
    <s v="SFUN"/>
    <s v="Fang Holdings Limited"/>
    <x v="4"/>
    <s v="EDP Services"/>
    <s v="$1.54B"/>
    <n v="1540000000"/>
    <n v="870.69"/>
    <n v="-14.19"/>
    <n v="63939802"/>
    <d v="2020-01-27T00:00:00"/>
    <s v="Complete"/>
  </r>
  <r>
    <s v="pcastropc"/>
    <s v="blog.com"/>
    <s v="Pierce"/>
    <s v="Castro"/>
    <s v="Male"/>
    <s v="Male"/>
    <s v="203.173.8.144"/>
    <s v="4.67.8.40"/>
    <n v="913"/>
    <n v="913"/>
    <s v="NASDAQ"/>
    <s v="PSCH"/>
    <s v="PowerShares S&amp;P SmallCap Health Care Portfolio"/>
    <x v="2"/>
    <s v="N/A"/>
    <s v="$211.28M"/>
    <n v="211280000"/>
    <n v="26.23"/>
    <n v="14.25"/>
    <n v="75956200"/>
    <d v="2020-02-28T00:00:00"/>
    <s v="Missing"/>
  </r>
  <r>
    <s v="smosspd"/>
    <s v="shutterfly.com"/>
    <s v="Salim"/>
    <s v="Moss"/>
    <s v="Male"/>
    <s v="Male"/>
    <s v="155.203.249.188"/>
    <s v="180.61.88.222"/>
    <n v="914"/>
    <n v="914"/>
    <s v="NYSE"/>
    <s v="HOG"/>
    <s v="Harley-Davidson, Inc."/>
    <x v="5"/>
    <s v="Motor Vehicles"/>
    <s v="$9.71B"/>
    <n v="9710000000"/>
    <n v="743.02"/>
    <n v="-11.2"/>
    <n v="21887241"/>
    <d v="2024-02-02T00:00:00"/>
    <s v="Complete"/>
  </r>
  <r>
    <s v="mrivardpe"/>
    <s v="sohu.com"/>
    <s v="Merv"/>
    <s v="Rivard"/>
    <s v="Male"/>
    <s v="Male"/>
    <s v="241.77.155.66"/>
    <s v="164.235.69.37"/>
    <n v="915"/>
    <n v="915"/>
    <s v="NYSE"/>
    <s v="SMHI"/>
    <s v="SEACOR Marine Holdings Inc."/>
    <x v="12"/>
    <s v="Marine Transportation"/>
    <s v="N/A"/>
    <n v="0"/>
    <n v="1615.74"/>
    <n v="-10.89"/>
    <n v="19792369"/>
    <d v="2023-07-07T00:00:00"/>
    <s v="Missing"/>
  </r>
  <r>
    <s v="rbrittinpf"/>
    <s v="hibu.com"/>
    <s v="Roldan"/>
    <s v="Brittin"/>
    <s v="Male"/>
    <s v="Male"/>
    <s v="67.65.46.85"/>
    <s v="38.247.72.67"/>
    <n v="916"/>
    <n v="916"/>
    <s v="NASDAQ"/>
    <s v="THLD"/>
    <s v="Threshold Pharmaceuticals, Inc."/>
    <x v="0"/>
    <s v="Major Pharmaceuticals"/>
    <s v="$27.59M"/>
    <n v="27590000"/>
    <n v="1173.9100000000001"/>
    <n v="7.24"/>
    <n v="53593182"/>
    <d v="2024-04-04T00:00:00"/>
    <s v="Complete"/>
  </r>
  <r>
    <s v="jpearminepg"/>
    <s v="ftc.gov"/>
    <s v="Jessica"/>
    <s v="Pearmine"/>
    <s v="Female"/>
    <s v="Female"/>
    <s v="76.235.41.193"/>
    <s v="139.60.213.157"/>
    <n v="917"/>
    <n v="917"/>
    <s v="NASDAQ"/>
    <s v="WMAR"/>
    <s v="West Marine, Inc."/>
    <x v="11"/>
    <s v="Automotive Aftermarket"/>
    <s v="$245.88M"/>
    <n v="245880000"/>
    <n v="1552.9"/>
    <n v="19.350000000000001"/>
    <n v="152404727"/>
    <d v="2024-02-24T00:00:00"/>
    <s v="Complete"/>
  </r>
  <r>
    <s v="gjoontjesph"/>
    <s v="ft.com"/>
    <s v="Goldarina"/>
    <s v="Joontjes"/>
    <s v="Female"/>
    <s v="Female"/>
    <s v="101.240.247.68"/>
    <s v="96.98.232.42"/>
    <n v="918"/>
    <n v="918"/>
    <s v="NASDAQ"/>
    <s v="CHFC"/>
    <s v="Chemical Financial Corporation"/>
    <x v="3"/>
    <s v="Major Banks"/>
    <s v="$3.46B"/>
    <n v="3460000000"/>
    <n v="1795.76"/>
    <n v="-17.79"/>
    <n v="78652342"/>
    <d v="2026-08-31T00:00:00"/>
    <s v="Complete"/>
  </r>
  <r>
    <s v="bsebertpi"/>
    <s v="sina.com.cn"/>
    <s v="Bertram"/>
    <s v="Sebert"/>
    <s v="Male"/>
    <s v="Male"/>
    <s v="59.222.131.19"/>
    <s v="251.26.111.74"/>
    <n v="919"/>
    <n v="919"/>
    <s v="NASDAQ"/>
    <s v="JYNT"/>
    <s v="The Joint Corp."/>
    <x v="7"/>
    <s v="Multi-Sector Companies"/>
    <s v="$48.27M"/>
    <n v="48270000"/>
    <n v="1729.54"/>
    <n v="1.4"/>
    <n v="136491870"/>
    <d v="2026-01-02T00:00:00"/>
    <s v="Complete"/>
  </r>
  <r>
    <s v="aclairpj"/>
    <s v="constantcontact.com"/>
    <s v="Adolpho"/>
    <s v="Clair"/>
    <s v="Male"/>
    <s v="Male"/>
    <s v="109.242.151.114"/>
    <s v="183.101.218.184"/>
    <n v="920"/>
    <n v="920"/>
    <s v="NYSE"/>
    <s v="TJX"/>
    <s v="TJX Companies, Inc. (The)"/>
    <x v="6"/>
    <s v="Clothing/Shoe/Accessory Stores"/>
    <s v="$46.6B"/>
    <n v="46600000000"/>
    <n v="1821.66"/>
    <n v="-13.28"/>
    <n v="104773835"/>
    <d v="2025-03-08T00:00:00"/>
    <s v="Complete"/>
  </r>
  <r>
    <s v="rsherapk"/>
    <s v="umn.edu"/>
    <s v="Rustin"/>
    <s v="Shera"/>
    <s v="Male"/>
    <s v="Male"/>
    <s v="124.12.61.183"/>
    <s v="92.109.181.208"/>
    <n v="921"/>
    <n v="921"/>
    <s v="NASDAQ"/>
    <s v="IRMD"/>
    <s v="iRadimed Corporation"/>
    <x v="0"/>
    <s v="Medical/Dental Instruments"/>
    <s v="$92.99M"/>
    <n v="92990000"/>
    <n v="1784.29"/>
    <n v="13.02"/>
    <n v="85969155"/>
    <d v="2025-10-31T00:00:00"/>
    <s v="Complete"/>
  </r>
  <r>
    <s v="yfisonpl"/>
    <s v="vimeo.com"/>
    <s v="Yasmeen"/>
    <s v="Fison"/>
    <s v="Genderfluid"/>
    <s v="Other"/>
    <s v="115.19.212.141"/>
    <s v="147.250.113.217"/>
    <n v="922"/>
    <n v="922"/>
    <s v="NASDAQ"/>
    <s v="LSCC"/>
    <s v="Lattice Semiconductor Corporation"/>
    <x v="4"/>
    <s v="Semiconductors"/>
    <s v="$814.95M"/>
    <n v="814950000"/>
    <n v="1539.07"/>
    <n v="-1.66"/>
    <n v="142644832"/>
    <d v="2025-07-30T00:00:00"/>
    <s v="Complete"/>
  </r>
  <r>
    <s v="wmonnipm"/>
    <s v="hhs.gov"/>
    <s v="Wini"/>
    <s v="Monni"/>
    <s v="Female"/>
    <s v="Female"/>
    <s v="241.39.61.214"/>
    <s v="61.199.90.152"/>
    <n v="923"/>
    <n v="923"/>
    <s v="NASDAQ"/>
    <s v="KLIC"/>
    <s v="Kulicke and Soffa Industries, Inc."/>
    <x v="4"/>
    <s v="Semiconductors"/>
    <s v="$1.46B"/>
    <n v="1460000000"/>
    <n v="1131.27"/>
    <n v="14.11"/>
    <n v="73755560"/>
    <d v="2024-06-15T00:00:00"/>
    <s v="Complete"/>
  </r>
  <r>
    <s v="lhanbidgepn"/>
    <s v="naver.com"/>
    <s v="Leanna"/>
    <s v="Hanbidge"/>
    <s v="Female"/>
    <s v="Female"/>
    <s v="163.58.45.5"/>
    <s v="10.240.79.155"/>
    <n v="924"/>
    <n v="924"/>
    <s v="NYSE"/>
    <s v="MITT"/>
    <s v="AG Mortgage Investment Trust, Inc."/>
    <x v="2"/>
    <s v="N/A"/>
    <s v="$518.09M"/>
    <n v="518090000.00000006"/>
    <n v="406.72"/>
    <n v="-8.1999999999999993"/>
    <n v="27401955"/>
    <d v="2024-01-19T00:00:00"/>
    <s v="Missing"/>
  </r>
  <r>
    <s v="uwetwoodpo"/>
    <s v="imdb.com"/>
    <s v="Ulises"/>
    <s v="Wetwood"/>
    <s v="Male"/>
    <s v="Male"/>
    <s v="236.63.147.251"/>
    <s v="107.140.145.205"/>
    <n v="925"/>
    <n v="925"/>
    <s v="NASDAQ"/>
    <s v="FRAN"/>
    <s v="Francesca's Holdings Corporation"/>
    <x v="6"/>
    <s v="Clothing/Shoe/Accessory Stores"/>
    <s v="$415.04M"/>
    <n v="415040000"/>
    <n v="675.26"/>
    <n v="2.02"/>
    <n v="93437421"/>
    <d v="2026-08-07T00:00:00"/>
    <s v="Complete"/>
  </r>
  <r>
    <s v="csiccombepp"/>
    <s v="usgs.gov"/>
    <s v="Caz"/>
    <s v="Siccombe"/>
    <s v="Agender"/>
    <s v="Other"/>
    <s v="55.160.114.199"/>
    <s v="62.17.43.78"/>
    <n v="926"/>
    <n v="926"/>
    <s v="NASDAQ"/>
    <s v="SHOS"/>
    <s v="Sears Hometown and Outlet Stores, Inc."/>
    <x v="6"/>
    <s v="Department/Specialty Retail Stores"/>
    <s v="$64.7M"/>
    <n v="64700000"/>
    <n v="857.02"/>
    <n v="5.5"/>
    <n v="52237003"/>
    <d v="2021-12-07T00:00:00"/>
    <s v="Complete"/>
  </r>
  <r>
    <s v="rszapiropq"/>
    <s v="cbc.ca"/>
    <s v="Rustin"/>
    <s v="Szapiro"/>
    <s v="Male"/>
    <s v="Male"/>
    <s v="220.255.69.86"/>
    <s v="120.94.161.253"/>
    <n v="927"/>
    <n v="927"/>
    <s v="NASDAQ"/>
    <s v="USCR"/>
    <s v="U S Concrete, Inc."/>
    <x v="1"/>
    <s v="Building Materials"/>
    <s v="$1.14B"/>
    <n v="1140000000"/>
    <n v="217.95"/>
    <n v="1.85"/>
    <n v="112844544"/>
    <d v="2021-08-02T00:00:00"/>
    <s v="Complete"/>
  </r>
  <r>
    <s v="gswinepr"/>
    <s v="reference.com"/>
    <s v="Gabriela"/>
    <s v="Swine"/>
    <s v="Female"/>
    <s v="Female"/>
    <s v="52.203.47.184"/>
    <s v="86.158.33.12"/>
    <n v="928"/>
    <n v="928"/>
    <s v="NASDAQ"/>
    <s v="OXLCN"/>
    <s v="Oxford Lane Capital Corp."/>
    <x v="2"/>
    <s v="N/A"/>
    <s v="$28.04M"/>
    <n v="28040000"/>
    <n v="18.7"/>
    <n v="1.24"/>
    <n v="36234766"/>
    <d v="2025-11-04T00:00:00"/>
    <s v="Missing"/>
  </r>
  <r>
    <s v="lladymanps"/>
    <s v="pinterest.com"/>
    <s v="Lindy"/>
    <s v="Ladyman"/>
    <s v="Polygender"/>
    <s v="Other"/>
    <s v="171.168.45.39"/>
    <s v="104.53.244.81"/>
    <n v="929"/>
    <n v="929"/>
    <s v="NYSE"/>
    <s v="SA"/>
    <s v="Seabridge Gold, Inc."/>
    <x v="10"/>
    <s v="Precious Metals"/>
    <s v="$559.33M"/>
    <n v="559330000"/>
    <n v="853.9"/>
    <n v="-19.71"/>
    <n v="94625534"/>
    <d v="2022-10-14T00:00:00"/>
    <s v="Complete"/>
  </r>
  <r>
    <s v="mbryerpt"/>
    <s v="sun.com"/>
    <s v="Meredith"/>
    <s v="Bryer"/>
    <s v="Male"/>
    <s v="Male"/>
    <s v="180.200.166.135"/>
    <s v="3.102.128.26"/>
    <n v="930"/>
    <n v="930"/>
    <s v="NYSE"/>
    <s v="NLY^A"/>
    <s v="Annaly Capital Management Inc"/>
    <x v="2"/>
    <s v="N/A"/>
    <s v="N/A"/>
    <n v="0"/>
    <n v="1929"/>
    <n v="9.58"/>
    <n v="4491478"/>
    <d v="2023-02-18T00:00:00"/>
    <s v="Missing"/>
  </r>
  <r>
    <s v="ijendryspu"/>
    <s v="virginia.edu"/>
    <s v="Ignacio"/>
    <s v="Jendrys"/>
    <s v="Male"/>
    <s v="Male"/>
    <s v="254.184.118.95"/>
    <s v="91.45.156.89"/>
    <n v="931"/>
    <n v="931"/>
    <s v="NASDAQ"/>
    <s v="CASM"/>
    <s v="CAS Medical Systems, Inc."/>
    <x v="0"/>
    <s v="Medical/Dental Instruments"/>
    <s v="$28.79M"/>
    <n v="28790000"/>
    <n v="973.69"/>
    <n v="-9.3800000000000008"/>
    <n v="136146681"/>
    <d v="2024-11-27T00:00:00"/>
    <s v="Complete"/>
  </r>
  <r>
    <s v="mfloyedpv"/>
    <s v="linkedin.com"/>
    <s v="Michaeline"/>
    <s v="Floyed"/>
    <s v="Female"/>
    <s v="Female"/>
    <s v="156.131.28.235"/>
    <s v="71.13.26.184"/>
    <n v="932"/>
    <n v="932"/>
    <s v="NYSE"/>
    <s v="CSTM"/>
    <s v="Constellium N.V."/>
    <x v="10"/>
    <s v="Metal Fabrications"/>
    <s v="$702.12M"/>
    <n v="702120000"/>
    <n v="1279.55"/>
    <n v="3.71"/>
    <n v="169243236"/>
    <d v="2023-01-21T00:00:00"/>
    <s v="Complete"/>
  </r>
  <r>
    <s v="rcurrypw"/>
    <s v="amazonaws.com"/>
    <s v="Ruprecht"/>
    <s v="Curry"/>
    <s v="Male"/>
    <s v="Male"/>
    <s v="159.39.109.101"/>
    <s v="240.234.90.242"/>
    <n v="933"/>
    <n v="933"/>
    <s v="NYSE"/>
    <s v="FI"/>
    <s v="Frank's International N.V."/>
    <x v="9"/>
    <s v="Oilfield Services/Equipment"/>
    <s v="$1.9B"/>
    <n v="1900000000"/>
    <n v="499.46"/>
    <n v="-7.23"/>
    <n v="188483918"/>
    <d v="2026-04-28T00:00:00"/>
    <s v="Complete"/>
  </r>
  <r>
    <s v="aperchepx"/>
    <s v="telegraph.co.uk"/>
    <s v="Amara"/>
    <s v="Perche"/>
    <s v="Female"/>
    <s v="Female"/>
    <s v="244.23.10.157"/>
    <s v="169.121.171.181"/>
    <n v="934"/>
    <n v="934"/>
    <s v="NASDAQ"/>
    <s v="KGJI"/>
    <s v="Kingold Jewelry Inc."/>
    <x v="7"/>
    <s v="Business Services"/>
    <s v="$127.42M"/>
    <n v="127420000"/>
    <n v="171.01"/>
    <n v="12.81"/>
    <n v="4738869"/>
    <d v="2022-03-24T00:00:00"/>
    <s v="Complete"/>
  </r>
  <r>
    <s v="acaveaupy"/>
    <s v="state.tx.us"/>
    <s v="Andrey"/>
    <s v="Caveau"/>
    <s v="Male"/>
    <s v="Male"/>
    <s v="129.78.197.235"/>
    <s v="75.122.243.206"/>
    <n v="935"/>
    <n v="935"/>
    <s v="NASDAQ"/>
    <s v="CTRE"/>
    <s v="CareTrust REIT, Inc."/>
    <x v="6"/>
    <s v="Real Estate Investment Trusts"/>
    <s v="$1.4B"/>
    <n v="1400000000"/>
    <n v="27.22"/>
    <n v="-1.48"/>
    <n v="103690005"/>
    <d v="2024-03-23T00:00:00"/>
    <s v="Complete"/>
  </r>
  <r>
    <s v="bcarrettpz"/>
    <s v="abc.net.au"/>
    <s v="Brandice"/>
    <s v="Carrett"/>
    <s v="Female"/>
    <s v="Female"/>
    <s v="82.190.52.122"/>
    <s v="207.251.107.50"/>
    <n v="936"/>
    <n v="936"/>
    <s v="NYSE"/>
    <s v="BFAM"/>
    <s v="Bright Horizons Family Solutions Inc."/>
    <x v="7"/>
    <s v="Other Consumer Services"/>
    <s v="$4.61B"/>
    <n v="4610000000"/>
    <n v="516.16"/>
    <n v="-1.95"/>
    <n v="87044033"/>
    <d v="2021-09-13T00:00:00"/>
    <s v="Complete"/>
  </r>
  <r>
    <s v="aateridgeq0"/>
    <s v="networksolutions.com"/>
    <s v="Ashlan"/>
    <s v="Ateridge"/>
    <s v="Female"/>
    <s v="Female"/>
    <s v="233.240.209.193"/>
    <s v="152.136.223.187"/>
    <n v="937"/>
    <n v="937"/>
    <s v="NASDAQ"/>
    <s v="SLMBP"/>
    <s v="SLM Corporation"/>
    <x v="3"/>
    <s v="Finance: Consumer Services"/>
    <s v="$289.76M"/>
    <n v="289760000"/>
    <n v="948.62"/>
    <n v="-6.24"/>
    <n v="157427023"/>
    <d v="2020-06-26T00:00:00"/>
    <s v="Complete"/>
  </r>
  <r>
    <s v="cdillamoreq1"/>
    <s v="clickbank.net"/>
    <s v="Constantina"/>
    <s v="Dillamore"/>
    <s v="Female"/>
    <s v="Female"/>
    <s v="128.136.13.128"/>
    <s v="142.101.120.64"/>
    <n v="938"/>
    <n v="938"/>
    <s v="NASDAQ"/>
    <s v="TSRI"/>
    <s v="TSR, Inc."/>
    <x v="4"/>
    <s v="EDP Services"/>
    <s v="$10.69M"/>
    <n v="10690000"/>
    <n v="1068.94"/>
    <n v="-18.190000000000001"/>
    <n v="82395722"/>
    <d v="2026-09-09T00:00:00"/>
    <s v="Complete"/>
  </r>
  <r>
    <s v="dverissimoq2"/>
    <s v="w3.org"/>
    <s v="Deanna"/>
    <s v="Verissimo"/>
    <s v="Female"/>
    <s v="Female"/>
    <s v="36.17.143.103"/>
    <s v="70.24.47.1"/>
    <n v="939"/>
    <n v="939"/>
    <s v="NASDAQ"/>
    <s v="COMT"/>
    <s v="iShares Commodities Select Strategy ETF"/>
    <x v="2"/>
    <s v="N/A"/>
    <s v="$195.63M"/>
    <n v="195630000"/>
    <n v="1534.67"/>
    <n v="15.85"/>
    <n v="164473052"/>
    <d v="2021-04-15T00:00:00"/>
    <s v="Missing"/>
  </r>
  <r>
    <s v="sambrogioniq3"/>
    <s v="cmu.edu"/>
    <s v="Siouxie"/>
    <s v="Ambrogioni"/>
    <s v="Female"/>
    <s v="Female"/>
    <s v="97.51.56.154"/>
    <s v="66.39.69.18"/>
    <n v="940"/>
    <n v="940"/>
    <s v="NYSE"/>
    <s v="WPC"/>
    <s v="W.P. Carey Inc."/>
    <x v="6"/>
    <s v="Real Estate Investment Trusts"/>
    <s v="$7.24B"/>
    <n v="7240000000"/>
    <n v="1434.01"/>
    <n v="5.28"/>
    <n v="71162794"/>
    <d v="2023-01-06T00:00:00"/>
    <s v="Complete"/>
  </r>
  <r>
    <s v="ahaydenq4"/>
    <s v="dailymail.co.uk"/>
    <s v="Agnese"/>
    <s v="Hayden"/>
    <s v="Female"/>
    <s v="Female"/>
    <s v="228.232.143.33"/>
    <s v="133.29.222.235"/>
    <n v="941"/>
    <n v="941"/>
    <s v="NYSE"/>
    <s v="SAN^A"/>
    <s v="Banco Santander, S.A."/>
    <x v="2"/>
    <s v="N/A"/>
    <s v="N/A"/>
    <n v="0"/>
    <n v="1211.3699999999999"/>
    <n v="6.85"/>
    <n v="14165958"/>
    <d v="2020-08-12T00:00:00"/>
    <s v="Missing"/>
  </r>
  <r>
    <s v="sjiracekq5"/>
    <s v="sciencedaily.com"/>
    <s v="Shayne"/>
    <s v="Jiracek"/>
    <s v="Male"/>
    <s v="Male"/>
    <s v="229.206.39.75"/>
    <s v="224.1.123.10"/>
    <n v="942"/>
    <n v="942"/>
    <s v="NYSE"/>
    <s v="TCAP"/>
    <s v="Triangle Capital Corporation"/>
    <x v="2"/>
    <s v="N/A"/>
    <s v="$842.05M"/>
    <n v="842050000"/>
    <n v="1359.01"/>
    <n v="17.2"/>
    <n v="154402178"/>
    <d v="2024-04-03T00:00:00"/>
    <s v="Missing"/>
  </r>
  <r>
    <s v="alongmateq6"/>
    <s v="networkadvertising.org"/>
    <s v="Amandie"/>
    <s v="Longmate"/>
    <s v="Female"/>
    <s v="Female"/>
    <s v="29.40.96.4"/>
    <s v="247.59.172.103"/>
    <n v="943"/>
    <n v="943"/>
    <s v="NYSE"/>
    <s v="EXC"/>
    <s v="Exelon Corporation"/>
    <x v="8"/>
    <s v="Power Generation"/>
    <s v="$34.34B"/>
    <n v="34340000000.000004"/>
    <n v="582.79"/>
    <n v="13.15"/>
    <n v="52183996"/>
    <d v="2021-08-30T00:00:00"/>
    <s v="Complete"/>
  </r>
  <r>
    <s v="wzottoliq7"/>
    <s v="hud.gov"/>
    <s v="William"/>
    <s v="Zottoli"/>
    <s v="Male"/>
    <s v="Male"/>
    <s v="188.138.145.196"/>
    <s v="33.77.224.155"/>
    <n v="944"/>
    <n v="944"/>
    <s v="NASDAQ"/>
    <s v="SBRA"/>
    <s v="Sabra Healthcare REIT, Inc."/>
    <x v="6"/>
    <s v="Real Estate Investment Trusts"/>
    <s v="$1.55B"/>
    <n v="1550000000"/>
    <n v="1680.46"/>
    <n v="-7.9"/>
    <n v="77940686"/>
    <d v="2025-06-27T00:00:00"/>
    <s v="Complete"/>
  </r>
  <r>
    <s v="dletfordq8"/>
    <s v="gizmodo.com"/>
    <s v="Dayle"/>
    <s v="Letford"/>
    <s v="Agender"/>
    <s v="Other"/>
    <s v="47.35.164.216"/>
    <s v="72.121.107.115"/>
    <n v="945"/>
    <n v="945"/>
    <s v="NYSE"/>
    <s v="HIL"/>
    <s v="Hill International, Inc."/>
    <x v="6"/>
    <s v="Military/Government/Technical"/>
    <s v="$251.61M"/>
    <n v="251610000"/>
    <n v="1437.08"/>
    <n v="-15.5"/>
    <n v="98415170"/>
    <d v="2026-06-18T00:00:00"/>
    <s v="Complete"/>
  </r>
  <r>
    <s v="hdarceyq9"/>
    <s v="soup.io"/>
    <s v="Halley"/>
    <s v="Darcey"/>
    <s v="Female"/>
    <s v="Female"/>
    <s v="159.254.239.1"/>
    <s v="194.69.191.131"/>
    <n v="946"/>
    <n v="946"/>
    <s v="NASDAQ"/>
    <s v="CAVM"/>
    <s v="Cavium, Inc."/>
    <x v="4"/>
    <s v="Semiconductors"/>
    <s v="$4.48B"/>
    <n v="4480000000"/>
    <n v="1003.71"/>
    <n v="12.91"/>
    <n v="24060000"/>
    <d v="2024-02-09T00:00:00"/>
    <s v="Complete"/>
  </r>
  <r>
    <s v="dzuanazziqa"/>
    <s v="mediafire.com"/>
    <s v="Drucy"/>
    <s v="Zuanazzi"/>
    <s v="Female"/>
    <s v="Female"/>
    <s v="55.170.40.12"/>
    <s v="225.132.41.215"/>
    <n v="947"/>
    <n v="947"/>
    <s v="NASDAQ"/>
    <s v="OPTT"/>
    <s v="Ocean Power Technologies, Inc."/>
    <x v="8"/>
    <s v="Electric Utilities: Central"/>
    <s v="$16.82M"/>
    <n v="16820000"/>
    <n v="1385.5"/>
    <n v="-12.37"/>
    <n v="12596015"/>
    <d v="2024-06-15T00:00:00"/>
    <s v="Complete"/>
  </r>
  <r>
    <s v="acastanagaqb"/>
    <s v="icio.us"/>
    <s v="Ansel"/>
    <s v="Castanaga"/>
    <s v="Male"/>
    <s v="Male"/>
    <s v="197.114.132.138"/>
    <s v="240.219.49.56"/>
    <n v="948"/>
    <n v="948"/>
    <s v="NASDAQ"/>
    <s v="DWAT"/>
    <s v="Arrow DWA Tactical ETF"/>
    <x v="2"/>
    <s v="N/A"/>
    <s v="$8.67M"/>
    <n v="8670000"/>
    <n v="1123.1600000000001"/>
    <n v="16.23"/>
    <n v="31622491"/>
    <d v="2022-03-19T00:00:00"/>
    <s v="Missing"/>
  </r>
  <r>
    <s v="kjendrysqc"/>
    <s v="facebook.com"/>
    <s v="Kalila"/>
    <s v="Jendrys"/>
    <s v="Female"/>
    <s v="Female"/>
    <s v="204.89.51.253"/>
    <s v="140.111.80.184"/>
    <n v="949"/>
    <n v="949"/>
    <s v="NYSE"/>
    <s v="SSWN"/>
    <s v="Seaspan Corporation"/>
    <x v="12"/>
    <s v="Marine Transportation"/>
    <s v="N/A"/>
    <n v="0"/>
    <n v="1672.04"/>
    <n v="10.210000000000001"/>
    <n v="143622960"/>
    <d v="2022-06-19T00:00:00"/>
    <s v="Missing"/>
  </r>
  <r>
    <s v="rannableqd"/>
    <s v="nasa.gov"/>
    <s v="Ranice"/>
    <s v="Annable"/>
    <s v="Female"/>
    <s v="Female"/>
    <s v="245.190.31.120"/>
    <s v="110.154.28.115"/>
    <n v="950"/>
    <n v="950"/>
    <s v="NASDAQ"/>
    <s v="AFHBL"/>
    <s v="Atlas Financial Holdings, Inc."/>
    <x v="3"/>
    <s v="Property-Casualty Insurers"/>
    <s v="N/A"/>
    <n v="0"/>
    <n v="312.45"/>
    <n v="-8.7899999999999991"/>
    <n v="155346391"/>
    <d v="2025-04-28T00:00:00"/>
    <s v="Missing"/>
  </r>
  <r>
    <s v="dvasyukhnovqe"/>
    <s v="cargocollective.com"/>
    <s v="Darcy"/>
    <s v="Vasyukhnov"/>
    <s v="Female"/>
    <s v="Female"/>
    <s v="70.190.47.142"/>
    <s v="237.191.149.171"/>
    <n v="951"/>
    <n v="951"/>
    <s v="NASDAQ"/>
    <s v="UBNT"/>
    <s v="Ubiquiti Networks, Inc."/>
    <x v="4"/>
    <s v="Radio And Television Broadcasting And Communications Equipment"/>
    <s v="$3.89B"/>
    <n v="3890000000"/>
    <n v="1491.36"/>
    <n v="16.22"/>
    <n v="77993169"/>
    <d v="2021-08-15T00:00:00"/>
    <s v="Complete"/>
  </r>
  <r>
    <s v="scroftqf"/>
    <s v="elegantthemes.com"/>
    <s v="Sawyer"/>
    <s v="Croft"/>
    <s v="Polygender"/>
    <s v="Other"/>
    <s v="178.154.111.185"/>
    <s v="4.83.206.122"/>
    <n v="952"/>
    <n v="952"/>
    <s v="NYSE"/>
    <s v="TARO"/>
    <s v="Taro Pharmaceutical Industries Ltd."/>
    <x v="0"/>
    <s v="Major Pharmaceuticals"/>
    <s v="$4.57B"/>
    <n v="4570000000"/>
    <n v="694.32"/>
    <n v="6.31"/>
    <n v="146839809"/>
    <d v="2026-07-16T00:00:00"/>
    <s v="Complete"/>
  </r>
  <r>
    <s v="hproudlerqg"/>
    <s v="shinystat.com"/>
    <s v="Hillyer"/>
    <s v="Proudler"/>
    <s v="Male"/>
    <s v="Male"/>
    <s v="181.113.133.82"/>
    <s v="219.115.108.176"/>
    <n v="953"/>
    <n v="953"/>
    <s v="NYSE"/>
    <s v="EVN"/>
    <s v="Eaton Vance Municipal Income Trust"/>
    <x v="2"/>
    <s v="N/A"/>
    <s v="$308.22M"/>
    <n v="308220000"/>
    <n v="420.45"/>
    <n v="-1.68"/>
    <n v="12155933"/>
    <d v="2025-01-28T00:00:00"/>
    <s v="Missing"/>
  </r>
  <r>
    <s v="tmontesqh"/>
    <s v="blinklist.com"/>
    <s v="Teri"/>
    <s v="Montes"/>
    <s v="Agender"/>
    <s v="Other"/>
    <s v="216.236.2.67"/>
    <s v="156.103.59.160"/>
    <n v="954"/>
    <n v="954"/>
    <s v="NASDAQ"/>
    <s v="BWINB"/>
    <s v="Baldwin &amp; Lyons, Inc."/>
    <x v="3"/>
    <s v="Property-Casualty Insurers"/>
    <s v="$375.34M"/>
    <n v="375340000"/>
    <n v="1658.56"/>
    <n v="-7.96"/>
    <n v="23038682"/>
    <d v="2022-05-07T00:00:00"/>
    <s v="Complete"/>
  </r>
  <r>
    <s v="fchasneyqi"/>
    <s v="vinaora.com"/>
    <s v="Fidela"/>
    <s v="Chasney"/>
    <s v="Female"/>
    <s v="Female"/>
    <s v="30.174.228.169"/>
    <s v="242.138.50.56"/>
    <n v="955"/>
    <n v="955"/>
    <s v="NASDAQ"/>
    <s v="APPN"/>
    <s v="Appian Corporation"/>
    <x v="4"/>
    <s v="Computer Software: Prepackaged Software"/>
    <s v="$1.07B"/>
    <n v="1070000000.0000001"/>
    <n v="1296.06"/>
    <n v="-10.64"/>
    <n v="115558811"/>
    <d v="2026-11-29T00:00:00"/>
    <s v="Complete"/>
  </r>
  <r>
    <s v="eebbingsqj"/>
    <s v="ox.ac.uk"/>
    <s v="Edwin"/>
    <s v="Ebbings"/>
    <s v="Male"/>
    <s v="Male"/>
    <s v="0.26.39.139"/>
    <s v="56.99.46.110"/>
    <n v="956"/>
    <n v="956"/>
    <s v="NASDAQ"/>
    <s v="ORG"/>
    <s v="The Organics ETF"/>
    <x v="2"/>
    <s v="N/A"/>
    <s v="N/A"/>
    <n v="0"/>
    <n v="50.59"/>
    <n v="19.399999999999999"/>
    <n v="139727870"/>
    <d v="2026-04-15T00:00:00"/>
    <s v="Missing"/>
  </r>
  <r>
    <s v="tboyettqk"/>
    <s v="google.co.jp"/>
    <s v="Timothee"/>
    <s v="Boyett"/>
    <s v="Agender"/>
    <s v="Other"/>
    <s v="177.175.125.127"/>
    <s v="67.70.21.249"/>
    <n v="957"/>
    <n v="957"/>
    <s v="NASDAQ"/>
    <s v="ATSG"/>
    <s v="Air Transport Services Group, Inc"/>
    <x v="12"/>
    <s v="Air Freight/Delivery Services"/>
    <s v="$1.31B"/>
    <n v="1310000000"/>
    <n v="1537.19"/>
    <n v="16.760000000000002"/>
    <n v="123305777"/>
    <d v="2024-03-23T00:00:00"/>
    <s v="Complete"/>
  </r>
  <r>
    <s v="citzcakql"/>
    <s v="skype.com"/>
    <s v="Cal"/>
    <s v="Itzcak"/>
    <s v="Female"/>
    <s v="Female"/>
    <s v="139.44.141.111"/>
    <s v="156.232.127.130"/>
    <n v="958"/>
    <n v="958"/>
    <s v="NASDAQ"/>
    <s v="SGMO"/>
    <s v="Sangamo Therapeutics, Inc."/>
    <x v="0"/>
    <s v="Biotechnology: Biological Products (No Diagnostic Substances)"/>
    <s v="$535.95M"/>
    <n v="535950000.00000006"/>
    <n v="952.59"/>
    <n v="-0.12"/>
    <n v="185078465"/>
    <d v="2024-08-23T00:00:00"/>
    <s v="Complete"/>
  </r>
  <r>
    <s v="mlinnitqm"/>
    <s v="cnbc.com"/>
    <s v="Melanie"/>
    <s v="Linnit"/>
    <s v="Female"/>
    <s v="Female"/>
    <s v="68.187.173.166"/>
    <s v="135.116.40.48"/>
    <n v="959"/>
    <n v="959"/>
    <s v="NASDAQ"/>
    <s v="OVAS"/>
    <s v="OvaScience Inc."/>
    <x v="0"/>
    <s v="Major Pharmaceuticals"/>
    <s v="$48.5M"/>
    <n v="48500000"/>
    <n v="1096.8"/>
    <n v="-4.79"/>
    <n v="53808146"/>
    <d v="2025-03-04T00:00:00"/>
    <s v="Complete"/>
  </r>
  <r>
    <s v="lravenscroftqn"/>
    <s v="hibu.com"/>
    <s v="Lebbie"/>
    <s v="Ravenscroft"/>
    <s v="Non-binary"/>
    <s v="Other"/>
    <s v="28.54.128.120"/>
    <s v="26.8.181.46"/>
    <n v="960"/>
    <n v="960"/>
    <s v="NYSE"/>
    <s v="MPV"/>
    <s v="Barings Participation Investors"/>
    <x v="2"/>
    <s v="N/A"/>
    <s v="$146.29M"/>
    <n v="146290000"/>
    <n v="1152.1300000000001"/>
    <n v="-13.34"/>
    <n v="88079239"/>
    <d v="2021-06-11T00:00:00"/>
    <s v="Missing"/>
  </r>
  <r>
    <s v="bbonhomeqo"/>
    <s v="msu.edu"/>
    <s v="Bing"/>
    <s v="Bonhome"/>
    <s v="Agender"/>
    <s v="Other"/>
    <s v="247.62.89.244"/>
    <s v="15.182.169.158"/>
    <n v="961"/>
    <n v="961"/>
    <s v="NYSE"/>
    <s v="LYB"/>
    <s v="LyondellBasell Industries NV"/>
    <x v="10"/>
    <s v="Major Chemicals"/>
    <s v="$32.58B"/>
    <n v="32580000000"/>
    <n v="1302.83"/>
    <n v="3.18"/>
    <n v="50847314"/>
    <d v="2020-03-03T00:00:00"/>
    <s v="Complete"/>
  </r>
  <r>
    <s v="bschulterqp"/>
    <s v="oakley.com"/>
    <s v="Bron"/>
    <s v="Schulter"/>
    <s v="Male"/>
    <s v="Male"/>
    <s v="223.69.203.87"/>
    <s v="218.53.119.200"/>
    <n v="962"/>
    <n v="962"/>
    <s v="NASDAQ"/>
    <s v="CSB"/>
    <s v="VictoryShares US Small Cap High Div Volatility Wtd ETF"/>
    <x v="2"/>
    <s v="N/A"/>
    <s v="N/A"/>
    <n v="0"/>
    <n v="76.41"/>
    <n v="12.65"/>
    <n v="136919707"/>
    <d v="2024-11-01T00:00:00"/>
    <s v="Missing"/>
  </r>
  <r>
    <s v="mpardeyqq"/>
    <s v="addthis.com"/>
    <s v="Martyn"/>
    <s v="Pardey"/>
    <s v="Male"/>
    <s v="Male"/>
    <s v="228.196.240.104"/>
    <s v="97.206.64.163"/>
    <n v="963"/>
    <n v="963"/>
    <s v="NYSE"/>
    <s v="FBP"/>
    <s v="First BanCorp."/>
    <x v="3"/>
    <s v="Major Banks"/>
    <s v="$1.26B"/>
    <n v="1260000000"/>
    <n v="58.99"/>
    <n v="18.850000000000001"/>
    <n v="20849332"/>
    <d v="2021-02-08T00:00:00"/>
    <s v="Complete"/>
  </r>
  <r>
    <s v="jcoltartqr"/>
    <s v="nsw.gov.au"/>
    <s v="Jule"/>
    <s v="Coltart"/>
    <s v="Male"/>
    <s v="Male"/>
    <s v="78.151.63.70"/>
    <s v="4.110.229.136"/>
    <n v="964"/>
    <n v="964"/>
    <s v="NASDAQ"/>
    <s v="BPFH"/>
    <s v="Boston Private Financial Holdings, Inc."/>
    <x v="3"/>
    <s v="Major Banks"/>
    <s v="$1.32B"/>
    <n v="1320000000"/>
    <n v="641.61"/>
    <n v="-5.12"/>
    <n v="28579241"/>
    <d v="2024-01-26T00:00:00"/>
    <s v="Complete"/>
  </r>
  <r>
    <s v="cgoodludqs"/>
    <s v="hexun.com"/>
    <s v="Cello"/>
    <s v="Goodlud"/>
    <s v="Male"/>
    <s v="Male"/>
    <s v="125.162.214.57"/>
    <s v="151.134.129.14"/>
    <n v="965"/>
    <n v="965"/>
    <s v="NASDAQ"/>
    <s v="VEON"/>
    <s v="VEON Ltd."/>
    <x v="8"/>
    <s v="Telecommunications Equipment"/>
    <s v="$6.59B"/>
    <n v="6590000000"/>
    <n v="872.03"/>
    <n v="-14.8"/>
    <n v="98211331"/>
    <d v="2020-03-11T00:00:00"/>
    <s v="Complete"/>
  </r>
  <r>
    <s v="ngillianqt"/>
    <s v="xrea.com"/>
    <s v="Norah"/>
    <s v="Gillian"/>
    <s v="Female"/>
    <s v="Female"/>
    <s v="119.192.191.148"/>
    <s v="30.242.19.188"/>
    <n v="966"/>
    <n v="966"/>
    <s v="NASDAQ"/>
    <s v="TST"/>
    <s v="TheStreet, Inc."/>
    <x v="6"/>
    <s v="Newspapers/Magazines"/>
    <s v="$30.31M"/>
    <n v="30310000"/>
    <n v="474.96"/>
    <n v="15.51"/>
    <n v="178216689"/>
    <d v="2023-01-27T00:00:00"/>
    <s v="Complete"/>
  </r>
  <r>
    <s v="njellisqu"/>
    <s v="aol.com"/>
    <s v="Nanny"/>
    <s v="Jellis"/>
    <s v="Female"/>
    <s v="Female"/>
    <s v="128.218.162.57"/>
    <s v="176.26.26.24"/>
    <n v="967"/>
    <n v="967"/>
    <s v="NASDAQ"/>
    <s v="MRVC"/>
    <s v="MRV Communications, Inc."/>
    <x v="4"/>
    <s v="Semiconductors"/>
    <s v="$63.58M"/>
    <n v="63580000"/>
    <n v="610.48"/>
    <n v="15.13"/>
    <n v="19001426"/>
    <d v="2022-11-05T00:00:00"/>
    <s v="Complete"/>
  </r>
  <r>
    <s v="sboothmanqv"/>
    <s v="senate.gov"/>
    <s v="Sherry"/>
    <s v="Boothman"/>
    <s v="Female"/>
    <s v="Female"/>
    <s v="193.65.255.190"/>
    <s v="254.121.40.36"/>
    <n v="968"/>
    <n v="968"/>
    <s v="NASDAQ"/>
    <s v="AVHI"/>
    <s v="A V Homes, Inc."/>
    <x v="1"/>
    <s v="Homebuilding"/>
    <s v="$410.69M"/>
    <n v="410690000"/>
    <n v="1422.53"/>
    <n v="19.829999999999998"/>
    <n v="16790027"/>
    <d v="2021-02-07T00:00:00"/>
    <s v="Complete"/>
  </r>
  <r>
    <s v="njumonetqw"/>
    <s v="weibo.com"/>
    <s v="Nickie"/>
    <s v="Jumonet"/>
    <s v="Bigender"/>
    <s v="Other"/>
    <s v="180.164.51.68"/>
    <s v="227.2.225.109"/>
    <n v="969"/>
    <n v="969"/>
    <s v="NYSE"/>
    <s v="MDP"/>
    <s v="Meredith Corporation"/>
    <x v="6"/>
    <s v="Newspapers/Magazines"/>
    <s v="$2.65B"/>
    <n v="2650000000"/>
    <n v="1969.45"/>
    <n v="-8.98"/>
    <n v="84696563"/>
    <d v="2023-04-26T00:00:00"/>
    <s v="Complete"/>
  </r>
  <r>
    <s v="marrighiniqx"/>
    <s v="desdev.cn"/>
    <s v="Marena"/>
    <s v="Arrighini"/>
    <s v="Female"/>
    <s v="Female"/>
    <s v="106.232.166.4"/>
    <s v="124.109.39.75"/>
    <n v="970"/>
    <n v="970"/>
    <s v="NASDAQ"/>
    <s v="AIMT"/>
    <s v="Aimmune Therapeutics, Inc."/>
    <x v="0"/>
    <s v="Major Pharmaceuticals"/>
    <s v="$829.14M"/>
    <n v="829140000"/>
    <n v="40.840000000000003"/>
    <n v="-14.32"/>
    <n v="53553656"/>
    <d v="2020-03-07T00:00:00"/>
    <s v="Complete"/>
  </r>
  <r>
    <s v="irecherqy"/>
    <s v="furl.net"/>
    <s v="Ingrim"/>
    <s v="Recher"/>
    <s v="Bigender"/>
    <s v="Other"/>
    <s v="221.77.245.197"/>
    <s v="178.145.203.54"/>
    <n v="971"/>
    <n v="971"/>
    <s v="NYSE"/>
    <s v="KODK.WS.A"/>
    <s v="Eastman Kodak Company"/>
    <x v="2"/>
    <s v="N/A"/>
    <s v="N/A"/>
    <n v="0"/>
    <n v="226.79"/>
    <n v="18.100000000000001"/>
    <n v="165353105"/>
    <d v="2021-09-13T00:00:00"/>
    <s v="Missing"/>
  </r>
  <r>
    <s v="pleteveqz"/>
    <s v="indiatimes.com"/>
    <s v="Pavia"/>
    <s v="Le Teve"/>
    <s v="Female"/>
    <s v="Female"/>
    <s v="129.120.8.228"/>
    <s v="241.217.175.166"/>
    <n v="972"/>
    <n v="972"/>
    <s v="NASDAQ"/>
    <s v="VDTH"/>
    <s v="Videocon d2h Limited"/>
    <x v="6"/>
    <s v="Television Services"/>
    <s v="$1.05B"/>
    <n v="1050000000"/>
    <n v="600.61"/>
    <n v="-9.58"/>
    <n v="72210351"/>
    <d v="2026-12-29T00:00:00"/>
    <s v="Complete"/>
  </r>
  <r>
    <s v="lbriscor0"/>
    <s v="lulu.com"/>
    <s v="Leilah"/>
    <s v="Brisco"/>
    <s v="Female"/>
    <s v="Female"/>
    <s v="135.183.11.134"/>
    <s v="212.171.192.52"/>
    <n v="973"/>
    <n v="973"/>
    <s v="NYSE"/>
    <s v="TCCA"/>
    <s v="Triangle Capital Corporation"/>
    <x v="2"/>
    <s v="N/A"/>
    <s v="N/A"/>
    <n v="0"/>
    <n v="34"/>
    <n v="1.1599999999999999"/>
    <n v="133594163"/>
    <d v="2023-12-04T00:00:00"/>
    <s v="Missing"/>
  </r>
  <r>
    <s v="gmammattr1"/>
    <s v="moonfruit.com"/>
    <s v="Gordon"/>
    <s v="Mammatt"/>
    <s v="Male"/>
    <s v="Male"/>
    <s v="96.60.57.168"/>
    <s v="235.166.194.4"/>
    <n v="974"/>
    <n v="974"/>
    <s v="NYSE"/>
    <s v="FCE.A"/>
    <s v="Forest City Realty Trust, Inc."/>
    <x v="2"/>
    <s v="N/A"/>
    <s v="N/A"/>
    <n v="0"/>
    <n v="1026.0999999999999"/>
    <n v="5.99"/>
    <n v="24469534"/>
    <d v="2025-05-08T00:00:00"/>
    <s v="Missing"/>
  </r>
  <r>
    <s v="ekopfr2"/>
    <s v="va.gov"/>
    <s v="Elyn"/>
    <s v="Kopf"/>
    <s v="Female"/>
    <s v="Female"/>
    <s v="131.230.155.250"/>
    <s v="86.169.14.48"/>
    <n v="975"/>
    <n v="975"/>
    <s v="NYSE"/>
    <s v="ENJ"/>
    <s v="Entergy New Orleans, Inc."/>
    <x v="8"/>
    <s v="Power Generation"/>
    <s v="N/A"/>
    <n v="0"/>
    <n v="567.22"/>
    <n v="-6.16"/>
    <n v="30624692"/>
    <d v="2020-03-12T00:00:00"/>
    <s v="Missing"/>
  </r>
  <r>
    <s v="bcowserr3"/>
    <s v="fema.gov"/>
    <s v="Bary"/>
    <s v="Cowser"/>
    <s v="Male"/>
    <s v="Male"/>
    <s v="43.112.122.13"/>
    <s v="176.241.149.146"/>
    <n v="976"/>
    <n v="976"/>
    <s v="NASDAQ"/>
    <s v="OTEX"/>
    <s v="Open Text Corporation"/>
    <x v="4"/>
    <s v="EDP Services"/>
    <s v="$8.28B"/>
    <n v="8279999999.999999"/>
    <n v="28.35"/>
    <n v="-4.17"/>
    <n v="70408962"/>
    <d v="2026-07-13T00:00:00"/>
    <s v="Complete"/>
  </r>
  <r>
    <s v="gzannotellir4"/>
    <s v="hc360.com"/>
    <s v="Gayle"/>
    <s v="Zannotelli"/>
    <s v="Male"/>
    <s v="Male"/>
    <s v="135.54.244.94"/>
    <s v="130.35.199.105"/>
    <n v="977"/>
    <n v="977"/>
    <s v="NASDAQ"/>
    <s v="OSBC"/>
    <s v="Old Second Bancorp, Inc."/>
    <x v="3"/>
    <s v="Major Banks"/>
    <s v="$354.97M"/>
    <n v="354970000"/>
    <n v="1304.97"/>
    <n v="6.79"/>
    <n v="60265847"/>
    <d v="2023-09-30T00:00:00"/>
    <s v="Complete"/>
  </r>
  <r>
    <s v="maherner5"/>
    <s v="thetimes.co.uk"/>
    <s v="Maxie"/>
    <s v="Aherne"/>
    <s v="Male"/>
    <s v="Male"/>
    <s v="116.59.181.109"/>
    <s v="143.112.225.50"/>
    <n v="978"/>
    <n v="978"/>
    <s v="NYSE"/>
    <s v="JHG"/>
    <s v="Janus Henderson Group plc"/>
    <x v="3"/>
    <s v="Investment Managers"/>
    <s v="$367.06M"/>
    <n v="367060000"/>
    <n v="799.95"/>
    <n v="1.69"/>
    <n v="130339201"/>
    <d v="2021-07-31T00:00:00"/>
    <s v="Complete"/>
  </r>
  <r>
    <s v="rcarvillar6"/>
    <s v="google.ru"/>
    <s v="Roarke"/>
    <s v="Carvilla"/>
    <s v="Male"/>
    <s v="Male"/>
    <s v="225.49.43.254"/>
    <s v="68.242.240.213"/>
    <n v="979"/>
    <n v="979"/>
    <s v="NASDAQ"/>
    <s v="VNET"/>
    <s v="21Vianet Group, Inc."/>
    <x v="4"/>
    <s v="Computer Software: Programming, Data Processing"/>
    <s v="$617.53M"/>
    <n v="617530000"/>
    <n v="1254.7"/>
    <n v="7.95"/>
    <n v="161257825"/>
    <d v="2020-10-24T00:00:00"/>
    <s v="Complete"/>
  </r>
  <r>
    <s v="pholberryr7"/>
    <s v="bizjournals.com"/>
    <s v="Percy"/>
    <s v="Holberry"/>
    <s v="Male"/>
    <s v="Male"/>
    <s v="190.180.143.15"/>
    <s v="128.161.67.29"/>
    <n v="980"/>
    <n v="980"/>
    <s v="NASDAQ"/>
    <s v="BIOS"/>
    <s v="BioScrip, Inc."/>
    <x v="0"/>
    <s v="Medical/Nursing Services"/>
    <s v="$306.09M"/>
    <n v="306090000"/>
    <n v="597.49"/>
    <n v="-8.86"/>
    <n v="192484268"/>
    <d v="2023-03-27T00:00:00"/>
    <s v="Complete"/>
  </r>
  <r>
    <s v="vhazelgrover8"/>
    <s v="gmpg.org"/>
    <s v="Veronica"/>
    <s v="Hazelgrove"/>
    <s v="Female"/>
    <s v="Female"/>
    <s v="253.23.223.109"/>
    <s v="184.15.152.137"/>
    <n v="981"/>
    <n v="981"/>
    <s v="NASDAQ"/>
    <s v="HOTR"/>
    <s v="Chanticleer Holdings, Inc."/>
    <x v="6"/>
    <s v="Restaurants"/>
    <s v="$6.31M"/>
    <n v="6310000"/>
    <n v="272.45999999999998"/>
    <n v="18.09"/>
    <n v="158772917"/>
    <d v="2025-07-21T00:00:00"/>
    <s v="Complete"/>
  </r>
  <r>
    <s v="rtwiddler9"/>
    <s v="privacy.gov.au"/>
    <s v="Rivalee"/>
    <s v="Twiddle"/>
    <s v="Female"/>
    <s v="Female"/>
    <s v="54.225.143.96"/>
    <s v="109.92.101.0"/>
    <n v="982"/>
    <n v="982"/>
    <s v="NYSE"/>
    <s v="KBH"/>
    <s v="KB Home"/>
    <x v="1"/>
    <s v="Homebuilding"/>
    <s v="$1.84B"/>
    <n v="1840000000"/>
    <n v="1519.54"/>
    <n v="-4.78"/>
    <n v="150827526"/>
    <d v="2020-05-14T00:00:00"/>
    <s v="Complete"/>
  </r>
  <r>
    <s v="mleathwoodra"/>
    <s v="wikimedia.org"/>
    <s v="Marie"/>
    <s v="Leathwood"/>
    <s v="Female"/>
    <s v="Female"/>
    <s v="49.8.102.64"/>
    <s v="169.168.247.193"/>
    <n v="983"/>
    <n v="983"/>
    <s v="NYSE"/>
    <s v="CHT"/>
    <s v="Chunghwa Telecom Co., Ltd."/>
    <x v="8"/>
    <s v="Telecommunications Equipment"/>
    <s v="$27.64B"/>
    <n v="27640000000"/>
    <n v="1360.41"/>
    <n v="15.91"/>
    <n v="5811799"/>
    <d v="2024-12-21T00:00:00"/>
    <s v="Complete"/>
  </r>
  <r>
    <s v="kwalkleyrb"/>
    <s v="hubpages.com"/>
    <s v="Konstantin"/>
    <s v="Walkley"/>
    <s v="Male"/>
    <s v="Male"/>
    <s v="18.147.40.217"/>
    <s v="199.170.129.237"/>
    <n v="984"/>
    <n v="984"/>
    <s v="NYSE"/>
    <s v="PRE^H"/>
    <s v="PartnerRe Ltd."/>
    <x v="2"/>
    <s v="N/A"/>
    <s v="N/A"/>
    <n v="0"/>
    <n v="33.28"/>
    <n v="14.76"/>
    <n v="180402496"/>
    <d v="2025-11-17T00:00:00"/>
    <s v="Missing"/>
  </r>
  <r>
    <s v="mgarthsiderc"/>
    <s v="networksolutions.com"/>
    <s v="Morgan"/>
    <s v="Garthside"/>
    <s v="Male"/>
    <s v="Male"/>
    <s v="236.180.194.154"/>
    <s v="173.38.180.197"/>
    <n v="985"/>
    <n v="985"/>
    <s v="NASDAQ"/>
    <s v="AVGR"/>
    <s v="Avinger, Inc."/>
    <x v="0"/>
    <s v="Medical/Dental Instruments"/>
    <s v="$11.27M"/>
    <n v="11270000"/>
    <n v="1830.92"/>
    <n v="6.1"/>
    <n v="152085097"/>
    <d v="2022-03-05T00:00:00"/>
    <s v="Complete"/>
  </r>
  <r>
    <s v="ihemblingrd"/>
    <s v="desdev.cn"/>
    <s v="Ignace"/>
    <s v="Hembling"/>
    <s v="Male"/>
    <s v="Male"/>
    <s v="35.146.196.151"/>
    <s v="230.226.66.241"/>
    <n v="986"/>
    <n v="986"/>
    <s v="NASDAQ"/>
    <s v="GLADO"/>
    <s v="Gladstone Capital Corporation"/>
    <x v="2"/>
    <s v="N/A"/>
    <s v="$56.32M"/>
    <n v="56320000"/>
    <n v="960.35"/>
    <n v="-6.81"/>
    <n v="52431355"/>
    <d v="2022-06-29T00:00:00"/>
    <s v="Missing"/>
  </r>
  <r>
    <s v="bklessre"/>
    <s v="flickr.com"/>
    <s v="Barnett"/>
    <s v="Kless"/>
    <s v="Male"/>
    <s v="Male"/>
    <s v="144.126.149.185"/>
    <s v="219.232.131.205"/>
    <n v="987"/>
    <n v="987"/>
    <s v="NYSE"/>
    <s v="KMI^A"/>
    <s v="Kinder Morgan, Inc."/>
    <x v="2"/>
    <s v="N/A"/>
    <s v="N/A"/>
    <n v="0"/>
    <n v="1388.5"/>
    <n v="6.98"/>
    <n v="152470077"/>
    <d v="2024-02-29T00:00:00"/>
    <s v="Missing"/>
  </r>
  <r>
    <s v="vhamleyrf"/>
    <s v="baidu.com"/>
    <s v="Veradis"/>
    <s v="Hamley"/>
    <s v="Female"/>
    <s v="Female"/>
    <s v="170.36.254.122"/>
    <s v="62.162.251.253"/>
    <n v="988"/>
    <n v="988"/>
    <s v="NYSE"/>
    <s v="AES^C.CL"/>
    <s v="The AES Corporation"/>
    <x v="2"/>
    <s v="N/A"/>
    <s v="N/A"/>
    <n v="0"/>
    <n v="90.75"/>
    <n v="-14.4"/>
    <n v="58197379"/>
    <d v="2021-08-25T00:00:00"/>
    <s v="Missing"/>
  </r>
  <r>
    <s v="ghowserg"/>
    <s v="ihg.com"/>
    <s v="Glennis"/>
    <s v="Howse"/>
    <s v="Female"/>
    <s v="Female"/>
    <s v="218.158.4.186"/>
    <s v="183.198.183.115"/>
    <n v="989"/>
    <n v="989"/>
    <s v="NASDAQ"/>
    <s v="CVCO"/>
    <s v="Cavco Industries, Inc."/>
    <x v="10"/>
    <s v="Homebuilding"/>
    <s v="$1.18B"/>
    <n v="1180000000"/>
    <n v="639.48"/>
    <n v="10.53"/>
    <n v="153791246"/>
    <d v="2023-10-29T00:00:00"/>
    <s v="Complete"/>
  </r>
  <r>
    <s v="caldersearh"/>
    <s v="ucla.edu"/>
    <s v="Chloe"/>
    <s v="Aldersea"/>
    <s v="Female"/>
    <s v="Female"/>
    <s v="252.229.111.191"/>
    <s v="120.8.239.58"/>
    <n v="990"/>
    <n v="990"/>
    <s v="NYSE"/>
    <s v="PCK"/>
    <s v="Pimco California Municipal Income Fund II"/>
    <x v="2"/>
    <s v="N/A"/>
    <s v="$324.29M"/>
    <n v="324290000"/>
    <n v="429"/>
    <n v="-18.5"/>
    <n v="102724198"/>
    <d v="2024-12-09T00:00:00"/>
    <s v="Missing"/>
  </r>
  <r>
    <s v="hdebankeri"/>
    <s v="illinois.edu"/>
    <s v="Haleigh"/>
    <s v="de Banke"/>
    <s v="Genderfluid"/>
    <s v="Other"/>
    <s v="124.75.231.28"/>
    <s v="116.130.149.27"/>
    <n v="991"/>
    <n v="991"/>
    <s v="NASDAQ"/>
    <s v="PKBK"/>
    <s v="Parke Bancorp, Inc."/>
    <x v="3"/>
    <s v="Major Banks"/>
    <s v="$161.78M"/>
    <n v="161780000"/>
    <n v="849.07"/>
    <n v="5.61"/>
    <n v="169977736"/>
    <d v="2021-01-17T00:00:00"/>
    <s v="Complete"/>
  </r>
  <r>
    <s v="ndanfordrj"/>
    <s v="goodreads.com"/>
    <s v="Nikita"/>
    <s v="Danford"/>
    <s v="Male"/>
    <s v="Male"/>
    <s v="105.218.51.29"/>
    <s v="8.118.240.2"/>
    <n v="992"/>
    <n v="992"/>
    <s v="NASDAQ"/>
    <s v="SPRT"/>
    <s v="support.com, Inc."/>
    <x v="4"/>
    <s v="EDP Services"/>
    <s v="$45.41M"/>
    <n v="45410000"/>
    <n v="1856.08"/>
    <n v="-10.34"/>
    <n v="72808291"/>
    <d v="2025-05-24T00:00:00"/>
    <s v="Complete"/>
  </r>
  <r>
    <s v="gpetzrk"/>
    <s v="tmall.com"/>
    <s v="Grenville"/>
    <s v="Petz"/>
    <s v="Male"/>
    <s v="Male"/>
    <s v="164.26.88.151"/>
    <s v="97.24.213.94"/>
    <n v="993"/>
    <n v="993"/>
    <s v="NYSE"/>
    <s v="ALL^A"/>
    <s v="Allstate Corporation (The)"/>
    <x v="2"/>
    <s v="N/A"/>
    <s v="N/A"/>
    <n v="0"/>
    <n v="1199.95"/>
    <n v="-14.02"/>
    <n v="180983320"/>
    <d v="2026-06-29T00:00:00"/>
    <s v="Missing"/>
  </r>
  <r>
    <s v="lbonellierl"/>
    <s v="bloglines.com"/>
    <s v="Lissy"/>
    <s v="Bonellie"/>
    <s v="Female"/>
    <s v="Female"/>
    <s v="190.163.231.236"/>
    <s v="234.49.30.37"/>
    <n v="994"/>
    <n v="994"/>
    <s v="NASDAQ"/>
    <s v="XRAY"/>
    <s v="DENTSPLY SIRONA Inc."/>
    <x v="0"/>
    <s v="Medical/Dental Instruments"/>
    <s v="$14.6B"/>
    <n v="14600000000"/>
    <n v="149.74"/>
    <n v="1.98"/>
    <n v="45237830"/>
    <d v="2026-06-12T00:00:00"/>
    <s v="Complete"/>
  </r>
  <r>
    <s v="qkarlolakrm"/>
    <s v="vimeo.com"/>
    <s v="Quent"/>
    <s v="Karlolak"/>
    <s v="Male"/>
    <s v="Male"/>
    <s v="51.40.153.158"/>
    <s v="249.236.217.247"/>
    <n v="995"/>
    <n v="995"/>
    <s v="NASDAQ"/>
    <s v="STRL"/>
    <s v="Sterling Construction Company Inc"/>
    <x v="10"/>
    <s v="Military/Government/Technical"/>
    <s v="$286.77M"/>
    <n v="286770000"/>
    <n v="1094.1199999999999"/>
    <n v="-19.86"/>
    <n v="96164656"/>
    <d v="2023-07-24T00:00:00"/>
    <s v="Complete"/>
  </r>
  <r>
    <s v="omarrianrn"/>
    <s v="patch.com"/>
    <s v="Oran"/>
    <s v="Marrian"/>
    <s v="Male"/>
    <s v="Male"/>
    <s v="244.39.230.195"/>
    <s v="155.101.146.173"/>
    <n v="996"/>
    <n v="996"/>
    <s v="NYSE"/>
    <s v="CAJ"/>
    <s v="Canon, Inc."/>
    <x v="7"/>
    <s v="Industrial Machinery/Components"/>
    <s v="$38.48B"/>
    <n v="38480000000"/>
    <n v="1948.08"/>
    <n v="-7.64"/>
    <n v="53673997"/>
    <d v="2021-07-21T00:00:00"/>
    <s v="Complete"/>
  </r>
  <r>
    <s v="pcasieroro"/>
    <s v="unc.edu"/>
    <s v="Phyllys"/>
    <s v="Casiero"/>
    <s v="Female"/>
    <s v="Female"/>
    <s v="159.253.151.165"/>
    <s v="112.251.140.138"/>
    <n v="997"/>
    <n v="997"/>
    <s v="NYSE"/>
    <s v="DLX"/>
    <s v="Deluxe Corporation"/>
    <x v="11"/>
    <s v="Publishing"/>
    <s v="$3.46B"/>
    <n v="3460000000"/>
    <n v="976.04"/>
    <n v="-16.440000000000001"/>
    <n v="16754926"/>
    <d v="2026-09-23T00:00:00"/>
    <s v="Complete"/>
  </r>
  <r>
    <s v="baldridgerp"/>
    <s v="about.me"/>
    <s v="Benjamin"/>
    <s v="Aldridge"/>
    <s v="Male"/>
    <s v="Male"/>
    <s v="104.94.192.178"/>
    <s v="214.166.68.105"/>
    <n v="998"/>
    <n v="998"/>
    <s v="NYSE"/>
    <s v="NXP"/>
    <s v="Nuveen Select Tax Free Income Portfolio"/>
    <x v="2"/>
    <s v="N/A"/>
    <s v="$239.77M"/>
    <n v="239770000"/>
    <n v="112.73"/>
    <n v="9.5"/>
    <n v="37912319"/>
    <d v="2024-05-24T00:00:00"/>
    <s v="Missing"/>
  </r>
  <r>
    <s v="jbrunsdenrq"/>
    <s v="berkeley.edu"/>
    <s v="Jeana"/>
    <s v="Brunsden"/>
    <s v="Female"/>
    <s v="Female"/>
    <s v="133.53.20.82"/>
    <s v="244.199.246.153"/>
    <n v="999"/>
    <n v="999"/>
    <s v="NYSE"/>
    <s v="MUC"/>
    <s v="Blackrock MuniHoldings California Quality Fund,  Inc."/>
    <x v="2"/>
    <s v="N/A"/>
    <s v="$594.95M"/>
    <n v="594950000"/>
    <n v="1270.1099999999999"/>
    <n v="1.06"/>
    <n v="70440874"/>
    <d v="2021-07-26T00:00:00"/>
    <s v="Missing"/>
  </r>
  <r>
    <s v="efullardrr"/>
    <s v="ca.gov"/>
    <s v="Erika"/>
    <s v="Fullard"/>
    <s v="Female"/>
    <s v="Female"/>
    <s v="32.226.223.16"/>
    <s v="62.81.90.7"/>
    <n v="1000"/>
    <n v="1000"/>
    <s v="NASDAQ"/>
    <s v="BJRI"/>
    <s v="BJ's Restaurants, Inc."/>
    <x v="6"/>
    <s v="Restaurants"/>
    <s v="$834.31M"/>
    <n v="834310000"/>
    <n v="774.19"/>
    <n v="-0.09"/>
    <n v="117229741"/>
    <d v="2023-07-12T00:00:00"/>
    <s v="Comple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P2:AQ4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15">
        <item x="10"/>
        <item x="1"/>
        <item x="11"/>
        <item x="5"/>
        <item x="6"/>
        <item x="9"/>
        <item x="3"/>
        <item x="0"/>
        <item x="7"/>
        <item x="2"/>
        <item x="8"/>
        <item x="4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3"/>
    <field x="10"/>
  </rowFields>
  <rowItems count="4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 v="2"/>
    </i>
    <i t="grand">
      <x/>
    </i>
  </rowItems>
  <colItems count="1">
    <i/>
  </colItems>
  <dataFields count="1">
    <dataField name="Average of Market Cap2" fld="16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B3:BC1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10"/>
        <item x="1"/>
        <item x="11"/>
        <item x="5"/>
        <item x="6"/>
        <item x="9"/>
        <item x="3"/>
        <item x="0"/>
        <item x="7"/>
        <item x="2"/>
        <item x="8"/>
        <item x="4"/>
        <item x="12"/>
        <item m="1"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arket Cap3" fld="1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1:C16" firstHeaderRow="1" firstDataRow="1" firstDataCol="1"/>
  <pivotFields count="23"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10"/>
        <item x="1"/>
        <item x="11"/>
        <item x="5"/>
        <item x="6"/>
        <item x="9"/>
        <item x="3"/>
        <item x="0"/>
        <item x="7"/>
        <item x="2"/>
        <item x="8"/>
        <item x="4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Volume" fld="19" baseField="13" baseItem="0" numFmtId="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V1002" totalsRowCount="1" headerRowDxfId="46" tableBorderDxfId="45">
  <autoFilter ref="A1:V1001"/>
  <tableColumns count="22">
    <tableColumn id="1" name="Username" totalsRowLabel="Total" dataDxfId="44" totalsRowDxfId="43"/>
    <tableColumn id="2" name="Domain" dataDxfId="42" totalsRowDxfId="41"/>
    <tableColumn id="3" name="First Name" dataDxfId="40" totalsRowDxfId="39"/>
    <tableColumn id="4" name="Last Name" dataDxfId="38" totalsRowDxfId="37"/>
    <tableColumn id="5" name="Gender" dataDxfId="36" totalsRowDxfId="35"/>
    <tableColumn id="6" name="Gender2" dataDxfId="34" totalsRowDxfId="33"/>
    <tableColumn id="7" name="IP Address" dataDxfId="32" totalsRowDxfId="31"/>
    <tableColumn id="8" name="Secondary IP" dataDxfId="30" totalsRowDxfId="29"/>
    <tableColumn id="9" name="Location" dataDxfId="28" totalsRowDxfId="27"/>
    <tableColumn id="10" name="Id" dataDxfId="26" totalsRowDxfId="25"/>
    <tableColumn id="11" name="Market" dataDxfId="24" totalsRowDxfId="23"/>
    <tableColumn id="12" name="Symbol" dataDxfId="22" totalsRowDxfId="21"/>
    <tableColumn id="13" name="Name" dataDxfId="20" totalsRowDxfId="19"/>
    <tableColumn id="14" name="Sector" dataDxfId="18" totalsRowDxfId="17"/>
    <tableColumn id="15" name="Industry" dataDxfId="16" totalsRowDxfId="15"/>
    <tableColumn id="16" name="Market Cap" dataDxfId="14" totalsRowDxfId="13"/>
    <tableColumn id="17" name="Market Cap3" dataDxfId="12" totalsRowDxfId="11"/>
    <tableColumn id="18" name="Price" dataDxfId="10" totalsRowDxfId="9"/>
    <tableColumn id="19" name="Change Percent" dataDxfId="8" totalsRowDxfId="7"/>
    <tableColumn id="20" name="Volume" dataDxfId="6" totalsRowDxfId="5"/>
    <tableColumn id="21" name="Last Trade Time" dataDxfId="4" totalsRowDxfId="3"/>
    <tableColumn id="22" name="Data Status" dataDxfId="2" totalsRowDxfId="1">
      <calculatedColumnFormula>IF(OR(N:N="n/a", O:O="n/a", P:P="n/a"), "Missing", "Complete")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03"/>
  <sheetViews>
    <sheetView topLeftCell="AB1" workbookViewId="0">
      <selection activeCell="AF4" sqref="AF4"/>
    </sheetView>
  </sheetViews>
  <sheetFormatPr defaultRowHeight="14.5" customHeight="1" x14ac:dyDescent="0.35"/>
  <cols>
    <col min="1" max="1" width="15.81640625" bestFit="1" customWidth="1"/>
    <col min="2" max="2" width="21.08984375" bestFit="1" customWidth="1"/>
    <col min="3" max="3" width="12.08984375" bestFit="1" customWidth="1"/>
    <col min="4" max="4" width="13.26953125" bestFit="1" customWidth="1"/>
    <col min="5" max="5" width="11.90625" bestFit="1" customWidth="1"/>
    <col min="6" max="6" width="11.90625" customWidth="1"/>
    <col min="7" max="8" width="14.54296875" bestFit="1" customWidth="1"/>
    <col min="9" max="9" width="10.6328125" bestFit="1" customWidth="1"/>
    <col min="10" max="10" width="4.81640625" bestFit="1" customWidth="1"/>
    <col min="11" max="11" width="9.26953125" bestFit="1" customWidth="1"/>
    <col min="12" max="12" width="10.54296875" bestFit="1" customWidth="1"/>
    <col min="13" max="13" width="56.26953125" bestFit="1" customWidth="1"/>
    <col min="14" max="14" width="21.6328125" bestFit="1" customWidth="1"/>
    <col min="15" max="15" width="58.1796875" bestFit="1" customWidth="1"/>
    <col min="16" max="16" width="12.90625" bestFit="1" customWidth="1"/>
    <col min="17" max="17" width="17.90625" style="6" customWidth="1"/>
    <col min="18" max="18" width="16.26953125" style="2" bestFit="1" customWidth="1"/>
    <col min="19" max="19" width="16.26953125" bestFit="1" customWidth="1"/>
    <col min="20" max="20" width="28.36328125" style="1" bestFit="1" customWidth="1"/>
    <col min="21" max="21" width="28.36328125" bestFit="1" customWidth="1"/>
    <col min="22" max="22" width="12.81640625" bestFit="1" customWidth="1"/>
    <col min="24" max="24" width="12.08984375" bestFit="1" customWidth="1"/>
    <col min="25" max="25" width="16" bestFit="1" customWidth="1"/>
    <col min="26" max="26" width="14.26953125" bestFit="1" customWidth="1"/>
    <col min="27" max="27" width="21.90625" bestFit="1" customWidth="1"/>
    <col min="28" max="28" width="20.81640625" bestFit="1" customWidth="1"/>
    <col min="29" max="29" width="23.36328125" bestFit="1" customWidth="1"/>
    <col min="32" max="32" width="21.6328125" bestFit="1" customWidth="1"/>
    <col min="33" max="33" width="13.6328125" customWidth="1"/>
    <col min="38" max="38" width="21.90625" customWidth="1"/>
    <col min="39" max="39" width="21.90625" bestFit="1" customWidth="1"/>
    <col min="42" max="42" width="23.453125" bestFit="1" customWidth="1"/>
    <col min="43" max="43" width="21.26953125" bestFit="1" customWidth="1"/>
    <col min="54" max="54" width="21.6328125" customWidth="1"/>
    <col min="55" max="55" width="18.08984375" customWidth="1"/>
  </cols>
  <sheetData>
    <row r="1" spans="1:55" ht="14.5" customHeight="1" x14ac:dyDescent="0.35">
      <c r="A1" s="11" t="s">
        <v>8032</v>
      </c>
      <c r="B1" s="11" t="s">
        <v>8031</v>
      </c>
      <c r="C1" s="11" t="s">
        <v>6573</v>
      </c>
      <c r="D1" s="11" t="s">
        <v>6574</v>
      </c>
      <c r="E1" s="11" t="s">
        <v>6575</v>
      </c>
      <c r="F1" s="11" t="s">
        <v>8043</v>
      </c>
      <c r="G1" s="11" t="s">
        <v>6587</v>
      </c>
      <c r="H1" s="11" t="s">
        <v>8035</v>
      </c>
      <c r="I1" s="11" t="s">
        <v>8036</v>
      </c>
      <c r="J1" s="11" t="s">
        <v>6576</v>
      </c>
      <c r="K1" s="11" t="s">
        <v>6577</v>
      </c>
      <c r="L1" s="11" t="s">
        <v>6578</v>
      </c>
      <c r="M1" s="11" t="s">
        <v>6579</v>
      </c>
      <c r="N1" s="11" t="s">
        <v>6580</v>
      </c>
      <c r="O1" s="11" t="s">
        <v>6581</v>
      </c>
      <c r="P1" s="11" t="s">
        <v>6582</v>
      </c>
      <c r="Q1" s="12" t="s">
        <v>8044</v>
      </c>
      <c r="R1" s="11" t="s">
        <v>6583</v>
      </c>
      <c r="S1" s="13" t="s">
        <v>6584</v>
      </c>
      <c r="T1" s="11" t="s">
        <v>6585</v>
      </c>
      <c r="U1" s="14" t="s">
        <v>6586</v>
      </c>
      <c r="V1" s="11" t="s">
        <v>8037</v>
      </c>
      <c r="W1" t="s">
        <v>8046</v>
      </c>
      <c r="X1" s="21" t="s">
        <v>8047</v>
      </c>
      <c r="Y1" s="21" t="s">
        <v>8048</v>
      </c>
      <c r="Z1" s="21" t="s">
        <v>8049</v>
      </c>
      <c r="AA1" s="21" t="str">
        <f>PROPER("N/A Records For sector")</f>
        <v>N/A Records For Sector</v>
      </c>
      <c r="AB1" s="21" t="str">
        <f>PROPER("N/A Records For industry")</f>
        <v>N/A Records For Industry</v>
      </c>
      <c r="AC1" s="21" t="str">
        <f>PROPER("N/A Records For market cap")</f>
        <v>N/A Records For Market Cap</v>
      </c>
    </row>
    <row r="2" spans="1:55" ht="14.5" customHeight="1" x14ac:dyDescent="0.35">
      <c r="A2" s="15" t="s">
        <v>6588</v>
      </c>
      <c r="B2" s="15" t="s">
        <v>6589</v>
      </c>
      <c r="C2" s="15" t="s">
        <v>0</v>
      </c>
      <c r="D2" s="15" t="s">
        <v>1</v>
      </c>
      <c r="E2" s="15" t="s">
        <v>2</v>
      </c>
      <c r="F2" s="15" t="str">
        <f>IF(OR(E2="female", E2="male"), PROPER(E2), "Other")</f>
        <v>Female</v>
      </c>
      <c r="G2" s="15" t="s">
        <v>3</v>
      </c>
      <c r="H2" s="15" t="s">
        <v>4</v>
      </c>
      <c r="I2" s="15">
        <v>1</v>
      </c>
      <c r="J2" s="15">
        <v>1</v>
      </c>
      <c r="K2" s="15" t="s">
        <v>5</v>
      </c>
      <c r="L2" s="15" t="s">
        <v>6</v>
      </c>
      <c r="M2" s="15" t="s">
        <v>7</v>
      </c>
      <c r="N2" s="15" t="s">
        <v>8</v>
      </c>
      <c r="O2" s="15" t="s">
        <v>9</v>
      </c>
      <c r="P2" s="15" t="s">
        <v>10</v>
      </c>
      <c r="Q2" s="22">
        <f>IF(P2="n/a", 0, IF(RIGHT(P2, 1)="B", VALUE(MID(P2, 2, LEN(P2)-2)*1000000000), VALUE(MID(P2, 2, LEN(P2)-2)*1000000)))</f>
        <v>1120000000</v>
      </c>
      <c r="R2" s="15">
        <v>1572.07</v>
      </c>
      <c r="S2" s="16">
        <v>16.100000000000001</v>
      </c>
      <c r="T2" s="15">
        <v>81848616</v>
      </c>
      <c r="U2" s="17">
        <v>45507</v>
      </c>
      <c r="V2" s="15" t="str">
        <f t="shared" ref="V2:V65" si="0">IF(OR(N:N="n/a", O:O="n/a", P:P="n/a"), "Missing", "Complete")</f>
        <v>Complete</v>
      </c>
      <c r="X2" s="21">
        <f>COUNTA(A2:A1001)</f>
        <v>1000</v>
      </c>
      <c r="Y2" s="21">
        <f>COUNTIF(V2:V1001, "Complete")</f>
        <v>713</v>
      </c>
      <c r="Z2" s="21">
        <f>COUNTIF(V2:V1001, "missing")</f>
        <v>287</v>
      </c>
      <c r="AA2" s="21">
        <f>COUNTIF(N2:N1001, "n/a")</f>
        <v>231</v>
      </c>
      <c r="AB2" s="21">
        <f>COUNTIF(O2:O1001, "n/a")</f>
        <v>231</v>
      </c>
      <c r="AC2" s="21">
        <f>COUNTIF(P2:P1001, "n/a")</f>
        <v>158</v>
      </c>
      <c r="AP2" s="4" t="s">
        <v>8038</v>
      </c>
      <c r="AQ2" t="s">
        <v>8041</v>
      </c>
    </row>
    <row r="3" spans="1:55" ht="14.5" customHeight="1" x14ac:dyDescent="0.35">
      <c r="A3" s="18" t="s">
        <v>6590</v>
      </c>
      <c r="B3" s="18" t="s">
        <v>6591</v>
      </c>
      <c r="C3" s="18" t="s">
        <v>11</v>
      </c>
      <c r="D3" s="18" t="s">
        <v>12</v>
      </c>
      <c r="E3" s="18" t="s">
        <v>13</v>
      </c>
      <c r="F3" s="15" t="str">
        <f t="shared" ref="F3:F66" si="1">IF(OR(E3="female", E3="male"), PROPER(E3), "Other")</f>
        <v>Male</v>
      </c>
      <c r="G3" s="18" t="s">
        <v>14</v>
      </c>
      <c r="H3" s="18" t="s">
        <v>15</v>
      </c>
      <c r="I3" s="18">
        <v>2</v>
      </c>
      <c r="J3" s="18">
        <v>2</v>
      </c>
      <c r="K3" s="18" t="s">
        <v>5</v>
      </c>
      <c r="L3" s="18" t="s">
        <v>16</v>
      </c>
      <c r="M3" s="18" t="s">
        <v>17</v>
      </c>
      <c r="N3" s="18" t="s">
        <v>8</v>
      </c>
      <c r="O3" s="18" t="s">
        <v>18</v>
      </c>
      <c r="P3" s="18" t="s">
        <v>8033</v>
      </c>
      <c r="Q3" s="22">
        <f t="shared" ref="Q3:Q66" si="2">IF(P3="n/a", 0, IF(RIGHT(P3, 1)="B", VALUE(MID(P3, 2, LEN(P3)-2)*1000000000), VALUE(MID(P3, 2, LEN(P3)-2)*1000000)))</f>
        <v>0</v>
      </c>
      <c r="R3" s="18">
        <v>12.53</v>
      </c>
      <c r="S3" s="19">
        <v>-5.53</v>
      </c>
      <c r="T3" s="18">
        <v>126342391</v>
      </c>
      <c r="U3" s="20">
        <v>44643</v>
      </c>
      <c r="V3" s="18" t="str">
        <f t="shared" si="0"/>
        <v>Missing</v>
      </c>
      <c r="AL3" s="21"/>
      <c r="AP3" s="5" t="s">
        <v>189</v>
      </c>
      <c r="AQ3" s="21">
        <v>8643330204.0816326</v>
      </c>
      <c r="BB3" s="4" t="s">
        <v>8038</v>
      </c>
      <c r="BC3" t="s">
        <v>8050</v>
      </c>
    </row>
    <row r="4" spans="1:55" ht="14.5" customHeight="1" x14ac:dyDescent="0.35">
      <c r="A4" s="15" t="s">
        <v>6592</v>
      </c>
      <c r="B4" s="15" t="s">
        <v>6593</v>
      </c>
      <c r="C4" s="15" t="s">
        <v>19</v>
      </c>
      <c r="D4" s="15" t="s">
        <v>20</v>
      </c>
      <c r="E4" s="15" t="s">
        <v>13</v>
      </c>
      <c r="F4" s="15" t="str">
        <f t="shared" si="1"/>
        <v>Male</v>
      </c>
      <c r="G4" s="15" t="s">
        <v>21</v>
      </c>
      <c r="H4" s="15" t="s">
        <v>22</v>
      </c>
      <c r="I4" s="15">
        <v>3</v>
      </c>
      <c r="J4" s="15">
        <v>3</v>
      </c>
      <c r="K4" s="15" t="s">
        <v>5</v>
      </c>
      <c r="L4" s="15" t="s">
        <v>23</v>
      </c>
      <c r="M4" s="15" t="s">
        <v>24</v>
      </c>
      <c r="N4" s="15" t="s">
        <v>25</v>
      </c>
      <c r="O4" s="15" t="s">
        <v>26</v>
      </c>
      <c r="P4" s="15" t="s">
        <v>27</v>
      </c>
      <c r="Q4" s="22">
        <f t="shared" si="2"/>
        <v>243620000</v>
      </c>
      <c r="R4" s="15">
        <v>537.51</v>
      </c>
      <c r="S4" s="16">
        <v>5.39</v>
      </c>
      <c r="T4" s="15">
        <v>152161816</v>
      </c>
      <c r="U4" s="17">
        <v>44783</v>
      </c>
      <c r="V4" s="15" t="str">
        <f t="shared" si="0"/>
        <v>Complete</v>
      </c>
      <c r="AP4" s="23" t="s">
        <v>5</v>
      </c>
      <c r="AQ4" s="21">
        <v>667950000</v>
      </c>
      <c r="BB4" s="5" t="s">
        <v>189</v>
      </c>
      <c r="BC4" s="2">
        <v>9.8531778871566708E-2</v>
      </c>
    </row>
    <row r="5" spans="1:55" ht="14.5" customHeight="1" x14ac:dyDescent="0.35">
      <c r="A5" s="18" t="s">
        <v>6594</v>
      </c>
      <c r="B5" s="18" t="s">
        <v>6595</v>
      </c>
      <c r="C5" s="18" t="s">
        <v>28</v>
      </c>
      <c r="D5" s="18" t="s">
        <v>29</v>
      </c>
      <c r="E5" s="18" t="s">
        <v>2</v>
      </c>
      <c r="F5" s="15" t="str">
        <f t="shared" si="1"/>
        <v>Female</v>
      </c>
      <c r="G5" s="18" t="s">
        <v>30</v>
      </c>
      <c r="H5" s="18" t="s">
        <v>31</v>
      </c>
      <c r="I5" s="18">
        <v>4</v>
      </c>
      <c r="J5" s="18">
        <v>4</v>
      </c>
      <c r="K5" s="18" t="s">
        <v>32</v>
      </c>
      <c r="L5" s="18" t="s">
        <v>33</v>
      </c>
      <c r="M5" s="18" t="s">
        <v>34</v>
      </c>
      <c r="N5" s="18" t="s">
        <v>8033</v>
      </c>
      <c r="O5" s="18" t="s">
        <v>8033</v>
      </c>
      <c r="P5" s="18" t="s">
        <v>8033</v>
      </c>
      <c r="Q5" s="22">
        <f t="shared" si="2"/>
        <v>0</v>
      </c>
      <c r="R5" s="18">
        <v>1385.02</v>
      </c>
      <c r="S5" s="19">
        <v>2.4900000000000002</v>
      </c>
      <c r="T5" s="18">
        <v>20936922</v>
      </c>
      <c r="U5" s="20">
        <v>44458</v>
      </c>
      <c r="V5" s="18" t="str">
        <f t="shared" si="0"/>
        <v>Missing</v>
      </c>
      <c r="AP5" s="23" t="s">
        <v>32</v>
      </c>
      <c r="AQ5" s="21">
        <v>11833482285.714285</v>
      </c>
      <c r="BB5" s="5" t="s">
        <v>25</v>
      </c>
      <c r="BC5" s="2">
        <v>7.9398571209201074E-2</v>
      </c>
    </row>
    <row r="6" spans="1:55" ht="14.5" customHeight="1" x14ac:dyDescent="0.35">
      <c r="A6" s="15" t="s">
        <v>6596</v>
      </c>
      <c r="B6" s="15" t="s">
        <v>6597</v>
      </c>
      <c r="C6" s="15" t="s">
        <v>35</v>
      </c>
      <c r="D6" s="15" t="s">
        <v>36</v>
      </c>
      <c r="E6" s="15" t="s">
        <v>13</v>
      </c>
      <c r="F6" s="15" t="str">
        <f t="shared" si="1"/>
        <v>Male</v>
      </c>
      <c r="G6" s="15" t="s">
        <v>37</v>
      </c>
      <c r="H6" s="15" t="s">
        <v>38</v>
      </c>
      <c r="I6" s="15">
        <v>5</v>
      </c>
      <c r="J6" s="15">
        <v>5</v>
      </c>
      <c r="K6" s="15" t="s">
        <v>32</v>
      </c>
      <c r="L6" s="15" t="s">
        <v>39</v>
      </c>
      <c r="M6" s="15" t="s">
        <v>40</v>
      </c>
      <c r="N6" s="15" t="s">
        <v>8033</v>
      </c>
      <c r="O6" s="15" t="s">
        <v>8033</v>
      </c>
      <c r="P6" s="15" t="s">
        <v>41</v>
      </c>
      <c r="Q6" s="22">
        <f t="shared" si="2"/>
        <v>128560000</v>
      </c>
      <c r="R6" s="15">
        <v>394.86</v>
      </c>
      <c r="S6" s="16">
        <v>11.19</v>
      </c>
      <c r="T6" s="15">
        <v>199860928</v>
      </c>
      <c r="U6" s="17">
        <v>44873</v>
      </c>
      <c r="V6" s="15" t="str">
        <f t="shared" si="0"/>
        <v>Missing</v>
      </c>
      <c r="AP6" s="5" t="s">
        <v>25</v>
      </c>
      <c r="AQ6" s="21">
        <v>5504550483.8709679</v>
      </c>
      <c r="BB6" s="5" t="s">
        <v>323</v>
      </c>
      <c r="BC6" s="2">
        <v>8.9096445455309915E-3</v>
      </c>
    </row>
    <row r="7" spans="1:55" ht="14.5" customHeight="1" x14ac:dyDescent="0.35">
      <c r="A7" s="18" t="s">
        <v>6598</v>
      </c>
      <c r="B7" s="18" t="s">
        <v>6599</v>
      </c>
      <c r="C7" s="18" t="s">
        <v>42</v>
      </c>
      <c r="D7" s="18" t="s">
        <v>43</v>
      </c>
      <c r="E7" s="18" t="s">
        <v>2</v>
      </c>
      <c r="F7" s="15" t="str">
        <f t="shared" si="1"/>
        <v>Female</v>
      </c>
      <c r="G7" s="18" t="s">
        <v>44</v>
      </c>
      <c r="H7" s="18" t="s">
        <v>45</v>
      </c>
      <c r="I7" s="18">
        <v>6</v>
      </c>
      <c r="J7" s="18">
        <v>6</v>
      </c>
      <c r="K7" s="18" t="s">
        <v>5</v>
      </c>
      <c r="L7" s="18" t="s">
        <v>46</v>
      </c>
      <c r="M7" s="18" t="s">
        <v>47</v>
      </c>
      <c r="N7" s="18" t="s">
        <v>48</v>
      </c>
      <c r="O7" s="18" t="s">
        <v>49</v>
      </c>
      <c r="P7" s="18" t="s">
        <v>8033</v>
      </c>
      <c r="Q7" s="22">
        <f t="shared" si="2"/>
        <v>0</v>
      </c>
      <c r="R7" s="18">
        <v>1985.06</v>
      </c>
      <c r="S7" s="19">
        <v>11.31</v>
      </c>
      <c r="T7" s="18">
        <v>140412451</v>
      </c>
      <c r="U7" s="20">
        <v>44426</v>
      </c>
      <c r="V7" s="18" t="str">
        <f t="shared" si="0"/>
        <v>Missing</v>
      </c>
      <c r="AP7" s="23" t="s">
        <v>5</v>
      </c>
      <c r="AQ7" s="21">
        <v>3943609615.3846154</v>
      </c>
      <c r="BB7" s="5" t="s">
        <v>90</v>
      </c>
      <c r="BC7" s="2">
        <v>4.2215890295998974E-2</v>
      </c>
    </row>
    <row r="8" spans="1:55" ht="14.5" customHeight="1" x14ac:dyDescent="0.35">
      <c r="A8" s="15" t="s">
        <v>6600</v>
      </c>
      <c r="B8" s="15" t="s">
        <v>6601</v>
      </c>
      <c r="C8" s="15" t="s">
        <v>50</v>
      </c>
      <c r="D8" s="15" t="s">
        <v>51</v>
      </c>
      <c r="E8" s="15" t="s">
        <v>52</v>
      </c>
      <c r="F8" s="15" t="str">
        <f t="shared" si="1"/>
        <v>Other</v>
      </c>
      <c r="G8" s="15" t="s">
        <v>53</v>
      </c>
      <c r="H8" s="15" t="s">
        <v>54</v>
      </c>
      <c r="I8" s="15">
        <v>7</v>
      </c>
      <c r="J8" s="15">
        <v>7</v>
      </c>
      <c r="K8" s="15" t="s">
        <v>32</v>
      </c>
      <c r="L8" s="15" t="s">
        <v>55</v>
      </c>
      <c r="M8" s="15" t="s">
        <v>56</v>
      </c>
      <c r="N8" s="15" t="s">
        <v>48</v>
      </c>
      <c r="O8" s="15" t="s">
        <v>57</v>
      </c>
      <c r="P8" s="15" t="s">
        <v>58</v>
      </c>
      <c r="Q8" s="22">
        <f t="shared" si="2"/>
        <v>4740000000</v>
      </c>
      <c r="R8" s="15">
        <v>1925.97</v>
      </c>
      <c r="S8" s="16">
        <v>-9.34</v>
      </c>
      <c r="T8" s="15">
        <v>111983247</v>
      </c>
      <c r="U8" s="17">
        <v>43909</v>
      </c>
      <c r="V8" s="15" t="str">
        <f t="shared" si="0"/>
        <v>Complete</v>
      </c>
      <c r="AP8" s="23" t="s">
        <v>32</v>
      </c>
      <c r="AQ8" s="21">
        <v>6631896666.666667</v>
      </c>
      <c r="BB8" s="5" t="s">
        <v>99</v>
      </c>
      <c r="BC8" s="2">
        <v>0.11276499831871178</v>
      </c>
    </row>
    <row r="9" spans="1:55" ht="14.5" customHeight="1" x14ac:dyDescent="0.35">
      <c r="A9" s="18" t="s">
        <v>6602</v>
      </c>
      <c r="B9" s="18" t="s">
        <v>6603</v>
      </c>
      <c r="C9" s="18" t="s">
        <v>59</v>
      </c>
      <c r="D9" s="18" t="s">
        <v>60</v>
      </c>
      <c r="E9" s="18" t="s">
        <v>61</v>
      </c>
      <c r="F9" s="15" t="str">
        <f t="shared" si="1"/>
        <v>Other</v>
      </c>
      <c r="G9" s="18" t="s">
        <v>62</v>
      </c>
      <c r="H9" s="18" t="s">
        <v>63</v>
      </c>
      <c r="I9" s="18">
        <v>8</v>
      </c>
      <c r="J9" s="18">
        <v>8</v>
      </c>
      <c r="K9" s="18" t="s">
        <v>5</v>
      </c>
      <c r="L9" s="18" t="s">
        <v>64</v>
      </c>
      <c r="M9" s="18" t="s">
        <v>65</v>
      </c>
      <c r="N9" s="18" t="s">
        <v>66</v>
      </c>
      <c r="O9" s="18" t="s">
        <v>67</v>
      </c>
      <c r="P9" s="18" t="s">
        <v>68</v>
      </c>
      <c r="Q9" s="22">
        <f t="shared" si="2"/>
        <v>1360000000</v>
      </c>
      <c r="R9" s="18">
        <v>483.93</v>
      </c>
      <c r="S9" s="19">
        <v>5.86</v>
      </c>
      <c r="T9" s="18">
        <v>160273478</v>
      </c>
      <c r="U9" s="20">
        <v>46007</v>
      </c>
      <c r="V9" s="18" t="str">
        <f t="shared" si="0"/>
        <v>Complete</v>
      </c>
      <c r="AP9" s="5" t="s">
        <v>323</v>
      </c>
      <c r="AQ9" s="21">
        <v>1472949615.3846154</v>
      </c>
      <c r="BB9" s="5" t="s">
        <v>142</v>
      </c>
      <c r="BC9" s="2">
        <v>7.5635375085822354E-2</v>
      </c>
    </row>
    <row r="10" spans="1:55" ht="14.5" customHeight="1" x14ac:dyDescent="0.35">
      <c r="A10" s="15" t="s">
        <v>6604</v>
      </c>
      <c r="B10" s="15" t="s">
        <v>6605</v>
      </c>
      <c r="C10" s="15" t="s">
        <v>69</v>
      </c>
      <c r="D10" s="15" t="s">
        <v>70</v>
      </c>
      <c r="E10" s="15" t="s">
        <v>2</v>
      </c>
      <c r="F10" s="15" t="str">
        <f t="shared" si="1"/>
        <v>Female</v>
      </c>
      <c r="G10" s="15" t="s">
        <v>71</v>
      </c>
      <c r="H10" s="15" t="s">
        <v>72</v>
      </c>
      <c r="I10" s="15">
        <v>9</v>
      </c>
      <c r="J10" s="15">
        <v>9</v>
      </c>
      <c r="K10" s="15" t="s">
        <v>5</v>
      </c>
      <c r="L10" s="15" t="s">
        <v>73</v>
      </c>
      <c r="M10" s="15" t="s">
        <v>74</v>
      </c>
      <c r="N10" s="15" t="s">
        <v>48</v>
      </c>
      <c r="O10" s="15" t="s">
        <v>75</v>
      </c>
      <c r="P10" s="15" t="s">
        <v>76</v>
      </c>
      <c r="Q10" s="22">
        <f t="shared" si="2"/>
        <v>127330000</v>
      </c>
      <c r="R10" s="15">
        <v>398.34</v>
      </c>
      <c r="S10" s="16">
        <v>-18.77</v>
      </c>
      <c r="T10" s="15">
        <v>192380907</v>
      </c>
      <c r="U10" s="17">
        <v>45345</v>
      </c>
      <c r="V10" s="15" t="str">
        <f t="shared" si="0"/>
        <v>Complete</v>
      </c>
      <c r="AP10" s="23" t="s">
        <v>5</v>
      </c>
      <c r="AQ10" s="21">
        <v>390806666.66666669</v>
      </c>
      <c r="BB10" s="5" t="s">
        <v>48</v>
      </c>
      <c r="BC10" s="2">
        <v>8.5202722227049013E-2</v>
      </c>
    </row>
    <row r="11" spans="1:55" ht="14.5" customHeight="1" x14ac:dyDescent="0.35">
      <c r="A11" s="18" t="s">
        <v>6606</v>
      </c>
      <c r="B11" s="18" t="s">
        <v>6607</v>
      </c>
      <c r="C11" s="18" t="s">
        <v>77</v>
      </c>
      <c r="D11" s="18" t="s">
        <v>78</v>
      </c>
      <c r="E11" s="18" t="s">
        <v>2</v>
      </c>
      <c r="F11" s="15" t="str">
        <f t="shared" si="1"/>
        <v>Female</v>
      </c>
      <c r="G11" s="18" t="s">
        <v>79</v>
      </c>
      <c r="H11" s="18" t="s">
        <v>80</v>
      </c>
      <c r="I11" s="18">
        <v>10</v>
      </c>
      <c r="J11" s="18">
        <v>10</v>
      </c>
      <c r="K11" s="18" t="s">
        <v>32</v>
      </c>
      <c r="L11" s="18" t="s">
        <v>81</v>
      </c>
      <c r="M11" s="18" t="s">
        <v>82</v>
      </c>
      <c r="N11" s="18" t="s">
        <v>8033</v>
      </c>
      <c r="O11" s="18" t="s">
        <v>8033</v>
      </c>
      <c r="P11" s="18" t="s">
        <v>83</v>
      </c>
      <c r="Q11" s="22">
        <f t="shared" si="2"/>
        <v>267880000</v>
      </c>
      <c r="R11" s="18">
        <v>1753.78</v>
      </c>
      <c r="S11" s="19">
        <v>-5.66</v>
      </c>
      <c r="T11" s="18">
        <v>379405</v>
      </c>
      <c r="U11" s="20">
        <v>45367</v>
      </c>
      <c r="V11" s="18" t="str">
        <f t="shared" si="0"/>
        <v>Missing</v>
      </c>
      <c r="AP11" s="23" t="s">
        <v>32</v>
      </c>
      <c r="AQ11" s="21">
        <v>3907771250</v>
      </c>
      <c r="BB11" s="5" t="s">
        <v>8</v>
      </c>
      <c r="BC11" s="2">
        <v>0.17425865437687069</v>
      </c>
    </row>
    <row r="12" spans="1:55" ht="14.5" customHeight="1" x14ac:dyDescent="0.35">
      <c r="A12" s="15" t="s">
        <v>6608</v>
      </c>
      <c r="B12" s="15" t="s">
        <v>6609</v>
      </c>
      <c r="C12" s="15" t="s">
        <v>84</v>
      </c>
      <c r="D12" s="15" t="s">
        <v>85</v>
      </c>
      <c r="E12" s="15" t="s">
        <v>13</v>
      </c>
      <c r="F12" s="15" t="str">
        <f t="shared" si="1"/>
        <v>Male</v>
      </c>
      <c r="G12" s="15" t="s">
        <v>86</v>
      </c>
      <c r="H12" s="15" t="s">
        <v>87</v>
      </c>
      <c r="I12" s="15">
        <v>11</v>
      </c>
      <c r="J12" s="15">
        <v>11</v>
      </c>
      <c r="K12" s="15" t="s">
        <v>32</v>
      </c>
      <c r="L12" s="15" t="s">
        <v>88</v>
      </c>
      <c r="M12" s="15" t="s">
        <v>89</v>
      </c>
      <c r="N12" s="15" t="s">
        <v>90</v>
      </c>
      <c r="O12" s="15" t="s">
        <v>91</v>
      </c>
      <c r="P12" s="15" t="s">
        <v>92</v>
      </c>
      <c r="Q12" s="22">
        <f t="shared" si="2"/>
        <v>32900000000</v>
      </c>
      <c r="R12" s="15">
        <v>944.97</v>
      </c>
      <c r="S12" s="16">
        <v>18.98</v>
      </c>
      <c r="T12" s="15">
        <v>151704924</v>
      </c>
      <c r="U12" s="17">
        <v>44900</v>
      </c>
      <c r="V12" s="15" t="str">
        <f t="shared" si="0"/>
        <v>Complete</v>
      </c>
      <c r="AP12" s="5" t="s">
        <v>90</v>
      </c>
      <c r="AQ12" s="21">
        <v>5670571562.5</v>
      </c>
      <c r="BB12" s="5" t="s">
        <v>117</v>
      </c>
      <c r="BC12" s="2">
        <v>5.8241661820707821E-2</v>
      </c>
    </row>
    <row r="13" spans="1:55" ht="14.5" customHeight="1" x14ac:dyDescent="0.35">
      <c r="A13" s="18" t="s">
        <v>6610</v>
      </c>
      <c r="B13" s="18" t="s">
        <v>6611</v>
      </c>
      <c r="C13" s="18" t="s">
        <v>93</v>
      </c>
      <c r="D13" s="18" t="s">
        <v>94</v>
      </c>
      <c r="E13" s="18" t="s">
        <v>13</v>
      </c>
      <c r="F13" s="15" t="str">
        <f t="shared" si="1"/>
        <v>Male</v>
      </c>
      <c r="G13" s="18" t="s">
        <v>95</v>
      </c>
      <c r="H13" s="18" t="s">
        <v>96</v>
      </c>
      <c r="I13" s="18">
        <v>12</v>
      </c>
      <c r="J13" s="18">
        <v>12</v>
      </c>
      <c r="K13" s="18" t="s">
        <v>32</v>
      </c>
      <c r="L13" s="18" t="s">
        <v>97</v>
      </c>
      <c r="M13" s="18" t="s">
        <v>98</v>
      </c>
      <c r="N13" s="18" t="s">
        <v>99</v>
      </c>
      <c r="O13" s="18" t="s">
        <v>100</v>
      </c>
      <c r="P13" s="18" t="s">
        <v>101</v>
      </c>
      <c r="Q13" s="22">
        <f t="shared" si="2"/>
        <v>1100000000</v>
      </c>
      <c r="R13" s="18">
        <v>486.82</v>
      </c>
      <c r="S13" s="19">
        <v>6.32</v>
      </c>
      <c r="T13" s="18">
        <v>173617472</v>
      </c>
      <c r="U13" s="20">
        <v>44978</v>
      </c>
      <c r="V13" s="18" t="str">
        <f t="shared" si="0"/>
        <v>Complete</v>
      </c>
      <c r="AP13" s="23" t="s">
        <v>5</v>
      </c>
      <c r="AQ13" s="21">
        <v>2439304285.7142859</v>
      </c>
      <c r="BB13" s="5" t="s">
        <v>8033</v>
      </c>
      <c r="BC13" s="2">
        <v>1.1895547746160062E-2</v>
      </c>
    </row>
    <row r="14" spans="1:55" ht="14.5" customHeight="1" x14ac:dyDescent="0.35">
      <c r="A14" s="15" t="s">
        <v>6612</v>
      </c>
      <c r="B14" s="15" t="s">
        <v>6613</v>
      </c>
      <c r="C14" s="15" t="s">
        <v>102</v>
      </c>
      <c r="D14" s="15" t="s">
        <v>103</v>
      </c>
      <c r="E14" s="15" t="s">
        <v>104</v>
      </c>
      <c r="F14" s="15" t="str">
        <f t="shared" si="1"/>
        <v>Other</v>
      </c>
      <c r="G14" s="15" t="s">
        <v>105</v>
      </c>
      <c r="H14" s="15" t="s">
        <v>106</v>
      </c>
      <c r="I14" s="15">
        <v>13</v>
      </c>
      <c r="J14" s="15">
        <v>13</v>
      </c>
      <c r="K14" s="15" t="s">
        <v>32</v>
      </c>
      <c r="L14" s="15" t="s">
        <v>107</v>
      </c>
      <c r="M14" s="15" t="s">
        <v>108</v>
      </c>
      <c r="N14" s="15" t="s">
        <v>99</v>
      </c>
      <c r="O14" s="15" t="s">
        <v>109</v>
      </c>
      <c r="P14" s="15" t="s">
        <v>110</v>
      </c>
      <c r="Q14" s="22">
        <f t="shared" si="2"/>
        <v>384710000</v>
      </c>
      <c r="R14" s="15">
        <v>549.07000000000005</v>
      </c>
      <c r="S14" s="16">
        <v>-10.94</v>
      </c>
      <c r="T14" s="15">
        <v>54588753</v>
      </c>
      <c r="U14" s="17">
        <v>46102</v>
      </c>
      <c r="V14" s="15" t="str">
        <f t="shared" si="0"/>
        <v>Complete</v>
      </c>
      <c r="AP14" s="23" t="s">
        <v>32</v>
      </c>
      <c r="AQ14" s="21">
        <v>8183779444.4444447</v>
      </c>
      <c r="BB14" s="5" t="s">
        <v>134</v>
      </c>
      <c r="BC14" s="2">
        <v>0.13724629964498281</v>
      </c>
    </row>
    <row r="15" spans="1:55" ht="14.5" customHeight="1" x14ac:dyDescent="0.35">
      <c r="A15" s="18" t="s">
        <v>6614</v>
      </c>
      <c r="B15" s="18" t="s">
        <v>6615</v>
      </c>
      <c r="C15" s="18" t="s">
        <v>111</v>
      </c>
      <c r="D15" s="18" t="s">
        <v>112</v>
      </c>
      <c r="E15" s="18" t="s">
        <v>13</v>
      </c>
      <c r="F15" s="15" t="str">
        <f t="shared" si="1"/>
        <v>Male</v>
      </c>
      <c r="G15" s="18" t="s">
        <v>113</v>
      </c>
      <c r="H15" s="18" t="s">
        <v>114</v>
      </c>
      <c r="I15" s="18">
        <v>14</v>
      </c>
      <c r="J15" s="18">
        <v>14</v>
      </c>
      <c r="K15" s="18" t="s">
        <v>5</v>
      </c>
      <c r="L15" s="18" t="s">
        <v>115</v>
      </c>
      <c r="M15" s="18" t="s">
        <v>116</v>
      </c>
      <c r="N15" s="18" t="s">
        <v>117</v>
      </c>
      <c r="O15" s="18" t="s">
        <v>118</v>
      </c>
      <c r="P15" s="18" t="s">
        <v>119</v>
      </c>
      <c r="Q15" s="22">
        <f t="shared" si="2"/>
        <v>5790000000</v>
      </c>
      <c r="R15" s="18">
        <v>1646.87</v>
      </c>
      <c r="S15" s="19">
        <v>14.73</v>
      </c>
      <c r="T15" s="18">
        <v>27077006</v>
      </c>
      <c r="U15" s="20">
        <v>46154</v>
      </c>
      <c r="V15" s="18" t="str">
        <f t="shared" si="0"/>
        <v>Complete</v>
      </c>
      <c r="AP15" s="5" t="s">
        <v>99</v>
      </c>
      <c r="AQ15" s="21">
        <v>4660600096.1538458</v>
      </c>
      <c r="BB15" s="5" t="s">
        <v>66</v>
      </c>
      <c r="BC15" s="2">
        <v>8.2845619773368601E-2</v>
      </c>
    </row>
    <row r="16" spans="1:55" ht="14.5" customHeight="1" x14ac:dyDescent="0.35">
      <c r="A16" s="15" t="s">
        <v>6616</v>
      </c>
      <c r="B16" s="15" t="s">
        <v>6617</v>
      </c>
      <c r="C16" s="15" t="s">
        <v>120</v>
      </c>
      <c r="D16" s="15" t="s">
        <v>121</v>
      </c>
      <c r="E16" s="15" t="s">
        <v>2</v>
      </c>
      <c r="F16" s="15" t="str">
        <f t="shared" si="1"/>
        <v>Female</v>
      </c>
      <c r="G16" s="15" t="s">
        <v>122</v>
      </c>
      <c r="H16" s="15" t="s">
        <v>123</v>
      </c>
      <c r="I16" s="15">
        <v>15</v>
      </c>
      <c r="J16" s="15">
        <v>15</v>
      </c>
      <c r="K16" s="15" t="s">
        <v>5</v>
      </c>
      <c r="L16" s="15" t="s">
        <v>124</v>
      </c>
      <c r="M16" s="15" t="s">
        <v>125</v>
      </c>
      <c r="N16" s="15" t="s">
        <v>25</v>
      </c>
      <c r="O16" s="15" t="s">
        <v>126</v>
      </c>
      <c r="P16" s="15" t="s">
        <v>127</v>
      </c>
      <c r="Q16" s="22">
        <f t="shared" si="2"/>
        <v>4500000</v>
      </c>
      <c r="R16" s="15">
        <v>1380.58</v>
      </c>
      <c r="S16" s="16">
        <v>15.63</v>
      </c>
      <c r="T16" s="15">
        <v>51474524</v>
      </c>
      <c r="U16" s="17">
        <v>44403</v>
      </c>
      <c r="V16" s="15" t="str">
        <f t="shared" si="0"/>
        <v>Complete</v>
      </c>
      <c r="AP16" s="23" t="s">
        <v>5</v>
      </c>
      <c r="AQ16" s="21">
        <v>3146058478.2608695</v>
      </c>
      <c r="BB16" s="5" t="s">
        <v>1291</v>
      </c>
      <c r="BC16" s="2">
        <v>3.2853236084029118E-2</v>
      </c>
    </row>
    <row r="17" spans="1:55" ht="14.5" customHeight="1" x14ac:dyDescent="0.35">
      <c r="A17" s="18" t="s">
        <v>6618</v>
      </c>
      <c r="B17" s="18" t="s">
        <v>6619</v>
      </c>
      <c r="C17" s="18" t="s">
        <v>128</v>
      </c>
      <c r="D17" s="18" t="s">
        <v>129</v>
      </c>
      <c r="E17" s="18" t="s">
        <v>13</v>
      </c>
      <c r="F17" s="15" t="str">
        <f t="shared" si="1"/>
        <v>Male</v>
      </c>
      <c r="G17" s="18" t="s">
        <v>130</v>
      </c>
      <c r="H17" s="18" t="s">
        <v>131</v>
      </c>
      <c r="I17" s="18">
        <v>16</v>
      </c>
      <c r="J17" s="18">
        <v>16</v>
      </c>
      <c r="K17" s="18" t="s">
        <v>32</v>
      </c>
      <c r="L17" s="18" t="s">
        <v>132</v>
      </c>
      <c r="M17" s="18" t="s">
        <v>133</v>
      </c>
      <c r="N17" s="18" t="s">
        <v>134</v>
      </c>
      <c r="O17" s="18" t="s">
        <v>135</v>
      </c>
      <c r="P17" s="18" t="s">
        <v>8033</v>
      </c>
      <c r="Q17" s="22">
        <f t="shared" si="2"/>
        <v>0</v>
      </c>
      <c r="R17" s="18">
        <v>594.49</v>
      </c>
      <c r="S17" s="19">
        <v>1.24</v>
      </c>
      <c r="T17" s="18">
        <v>139738511</v>
      </c>
      <c r="U17" s="20">
        <v>46300</v>
      </c>
      <c r="V17" s="18" t="str">
        <f t="shared" si="0"/>
        <v>Missing</v>
      </c>
      <c r="W17" s="3"/>
      <c r="X17" s="3"/>
      <c r="Y17" s="3"/>
      <c r="Z17" s="3"/>
      <c r="AA17" s="3"/>
      <c r="AB17" s="3"/>
      <c r="AC17" s="3"/>
      <c r="AD17" s="3"/>
      <c r="AP17" s="23" t="s">
        <v>32</v>
      </c>
      <c r="AQ17" s="21">
        <v>5861788275.8620691</v>
      </c>
      <c r="BB17" s="5" t="s">
        <v>8040</v>
      </c>
      <c r="BC17" s="2">
        <v>1</v>
      </c>
    </row>
    <row r="18" spans="1:55" ht="14.5" customHeight="1" x14ac:dyDescent="0.35">
      <c r="A18" s="15" t="s">
        <v>6620</v>
      </c>
      <c r="B18" s="15" t="s">
        <v>6621</v>
      </c>
      <c r="C18" s="15" t="s">
        <v>136</v>
      </c>
      <c r="D18" s="15" t="s">
        <v>137</v>
      </c>
      <c r="E18" s="15" t="s">
        <v>13</v>
      </c>
      <c r="F18" s="15" t="str">
        <f t="shared" si="1"/>
        <v>Male</v>
      </c>
      <c r="G18" s="15" t="s">
        <v>138</v>
      </c>
      <c r="H18" s="15" t="s">
        <v>139</v>
      </c>
      <c r="I18" s="15">
        <v>17</v>
      </c>
      <c r="J18" s="15">
        <v>17</v>
      </c>
      <c r="K18" s="15" t="s">
        <v>32</v>
      </c>
      <c r="L18" s="15" t="s">
        <v>140</v>
      </c>
      <c r="M18" s="15" t="s">
        <v>141</v>
      </c>
      <c r="N18" s="15" t="s">
        <v>142</v>
      </c>
      <c r="O18" s="15" t="s">
        <v>143</v>
      </c>
      <c r="P18" s="15" t="s">
        <v>144</v>
      </c>
      <c r="Q18" s="22">
        <f t="shared" si="2"/>
        <v>10760000000</v>
      </c>
      <c r="R18" s="15">
        <v>1841.2</v>
      </c>
      <c r="S18" s="16">
        <v>-2.2599999999999998</v>
      </c>
      <c r="T18" s="15">
        <v>99838632</v>
      </c>
      <c r="U18" s="17">
        <v>44313</v>
      </c>
      <c r="V18" s="15" t="str">
        <f t="shared" si="0"/>
        <v>Complete</v>
      </c>
      <c r="AP18" s="5" t="s">
        <v>142</v>
      </c>
      <c r="AQ18" s="21">
        <v>7224591777.7777777</v>
      </c>
    </row>
    <row r="19" spans="1:55" ht="14.5" customHeight="1" x14ac:dyDescent="0.35">
      <c r="A19" s="18" t="s">
        <v>6622</v>
      </c>
      <c r="B19" s="18" t="s">
        <v>6623</v>
      </c>
      <c r="C19" s="18" t="s">
        <v>145</v>
      </c>
      <c r="D19" s="18" t="s">
        <v>146</v>
      </c>
      <c r="E19" s="18" t="s">
        <v>52</v>
      </c>
      <c r="F19" s="15" t="str">
        <f t="shared" si="1"/>
        <v>Other</v>
      </c>
      <c r="G19" s="18" t="s">
        <v>147</v>
      </c>
      <c r="H19" s="18" t="s">
        <v>148</v>
      </c>
      <c r="I19" s="18">
        <v>18</v>
      </c>
      <c r="J19" s="18">
        <v>18</v>
      </c>
      <c r="K19" s="18" t="s">
        <v>32</v>
      </c>
      <c r="L19" s="18" t="s">
        <v>149</v>
      </c>
      <c r="M19" s="18" t="s">
        <v>150</v>
      </c>
      <c r="N19" s="18" t="s">
        <v>99</v>
      </c>
      <c r="O19" s="18" t="s">
        <v>151</v>
      </c>
      <c r="P19" s="18" t="s">
        <v>152</v>
      </c>
      <c r="Q19" s="22">
        <f t="shared" si="2"/>
        <v>628600000</v>
      </c>
      <c r="R19" s="18">
        <v>997.21</v>
      </c>
      <c r="S19" s="19">
        <v>4.51</v>
      </c>
      <c r="T19" s="18">
        <v>18856343</v>
      </c>
      <c r="U19" s="20">
        <v>44091</v>
      </c>
      <c r="V19" s="18" t="str">
        <f t="shared" si="0"/>
        <v>Complete</v>
      </c>
      <c r="AP19" s="23" t="s">
        <v>5</v>
      </c>
      <c r="AQ19" s="21">
        <v>356202857.14285713</v>
      </c>
    </row>
    <row r="20" spans="1:55" ht="14.5" customHeight="1" x14ac:dyDescent="0.35">
      <c r="A20" s="15" t="s">
        <v>6624</v>
      </c>
      <c r="B20" s="15" t="s">
        <v>6625</v>
      </c>
      <c r="C20" s="15" t="s">
        <v>153</v>
      </c>
      <c r="D20" s="15" t="s">
        <v>154</v>
      </c>
      <c r="E20" s="15" t="s">
        <v>2</v>
      </c>
      <c r="F20" s="15" t="str">
        <f t="shared" si="1"/>
        <v>Female</v>
      </c>
      <c r="G20" s="15" t="s">
        <v>155</v>
      </c>
      <c r="H20" s="15" t="s">
        <v>156</v>
      </c>
      <c r="I20" s="15">
        <v>19</v>
      </c>
      <c r="J20" s="15">
        <v>19</v>
      </c>
      <c r="K20" s="15" t="s">
        <v>32</v>
      </c>
      <c r="L20" s="15" t="s">
        <v>157</v>
      </c>
      <c r="M20" s="15" t="s">
        <v>158</v>
      </c>
      <c r="N20" s="15" t="s">
        <v>8033</v>
      </c>
      <c r="O20" s="15" t="s">
        <v>8033</v>
      </c>
      <c r="P20" s="15" t="s">
        <v>8033</v>
      </c>
      <c r="Q20" s="22">
        <f t="shared" si="2"/>
        <v>0</v>
      </c>
      <c r="R20" s="15">
        <v>1332.11</v>
      </c>
      <c r="S20" s="16">
        <v>19.95</v>
      </c>
      <c r="T20" s="15">
        <v>78140111</v>
      </c>
      <c r="U20" s="17">
        <v>45237</v>
      </c>
      <c r="V20" s="15" t="str">
        <f t="shared" si="0"/>
        <v>Missing</v>
      </c>
      <c r="AP20" s="23" t="s">
        <v>32</v>
      </c>
      <c r="AQ20" s="21">
        <v>8489821315.7894735</v>
      </c>
    </row>
    <row r="21" spans="1:55" ht="14.5" customHeight="1" x14ac:dyDescent="0.35">
      <c r="A21" s="18" t="s">
        <v>6626</v>
      </c>
      <c r="B21" s="18" t="s">
        <v>6627</v>
      </c>
      <c r="C21" s="18" t="s">
        <v>159</v>
      </c>
      <c r="D21" s="18" t="s">
        <v>160</v>
      </c>
      <c r="E21" s="18" t="s">
        <v>161</v>
      </c>
      <c r="F21" s="15" t="str">
        <f t="shared" si="1"/>
        <v>Other</v>
      </c>
      <c r="G21" s="18" t="s">
        <v>162</v>
      </c>
      <c r="H21" s="18" t="s">
        <v>163</v>
      </c>
      <c r="I21" s="18">
        <v>20</v>
      </c>
      <c r="J21" s="18">
        <v>20</v>
      </c>
      <c r="K21" s="18" t="s">
        <v>32</v>
      </c>
      <c r="L21" s="18" t="s">
        <v>164</v>
      </c>
      <c r="M21" s="18" t="s">
        <v>165</v>
      </c>
      <c r="N21" s="18" t="s">
        <v>8</v>
      </c>
      <c r="O21" s="18" t="s">
        <v>18</v>
      </c>
      <c r="P21" s="18" t="s">
        <v>166</v>
      </c>
      <c r="Q21" s="22">
        <f t="shared" si="2"/>
        <v>43490000000</v>
      </c>
      <c r="R21" s="18">
        <v>69.09</v>
      </c>
      <c r="S21" s="19">
        <v>7.63</v>
      </c>
      <c r="T21" s="18">
        <v>91361040</v>
      </c>
      <c r="U21" s="20">
        <v>43843</v>
      </c>
      <c r="V21" s="18" t="str">
        <f t="shared" si="0"/>
        <v>Complete</v>
      </c>
      <c r="AP21" s="5" t="s">
        <v>48</v>
      </c>
      <c r="AQ21" s="21">
        <v>2441535666.6666665</v>
      </c>
    </row>
    <row r="22" spans="1:55" ht="14.5" customHeight="1" x14ac:dyDescent="0.35">
      <c r="A22" s="15" t="s">
        <v>6628</v>
      </c>
      <c r="B22" s="15" t="s">
        <v>6629</v>
      </c>
      <c r="C22" s="15" t="s">
        <v>167</v>
      </c>
      <c r="D22" s="15" t="s">
        <v>168</v>
      </c>
      <c r="E22" s="15" t="s">
        <v>13</v>
      </c>
      <c r="F22" s="15" t="str">
        <f t="shared" si="1"/>
        <v>Male</v>
      </c>
      <c r="G22" s="15" t="s">
        <v>169</v>
      </c>
      <c r="H22" s="15" t="s">
        <v>170</v>
      </c>
      <c r="I22" s="15">
        <v>21</v>
      </c>
      <c r="J22" s="15">
        <v>21</v>
      </c>
      <c r="K22" s="15" t="s">
        <v>32</v>
      </c>
      <c r="L22" s="15" t="s">
        <v>171</v>
      </c>
      <c r="M22" s="15" t="s">
        <v>172</v>
      </c>
      <c r="N22" s="15" t="s">
        <v>134</v>
      </c>
      <c r="O22" s="15" t="s">
        <v>173</v>
      </c>
      <c r="P22" s="15" t="s">
        <v>174</v>
      </c>
      <c r="Q22" s="22">
        <f t="shared" si="2"/>
        <v>51250000000</v>
      </c>
      <c r="R22" s="15">
        <v>95.3</v>
      </c>
      <c r="S22" s="16">
        <v>-0.51</v>
      </c>
      <c r="T22" s="15">
        <v>28474693</v>
      </c>
      <c r="U22" s="17">
        <v>44624</v>
      </c>
      <c r="V22" s="15" t="str">
        <f t="shared" si="0"/>
        <v>Complete</v>
      </c>
      <c r="AP22" s="23" t="s">
        <v>5</v>
      </c>
      <c r="AQ22" s="21">
        <v>1416242772.2772276</v>
      </c>
    </row>
    <row r="23" spans="1:55" ht="14.5" customHeight="1" x14ac:dyDescent="0.35">
      <c r="A23" s="18" t="s">
        <v>6630</v>
      </c>
      <c r="B23" s="18" t="s">
        <v>6631</v>
      </c>
      <c r="C23" s="18" t="s">
        <v>175</v>
      </c>
      <c r="D23" s="18" t="s">
        <v>176</v>
      </c>
      <c r="E23" s="18" t="s">
        <v>61</v>
      </c>
      <c r="F23" s="15" t="str">
        <f t="shared" si="1"/>
        <v>Other</v>
      </c>
      <c r="G23" s="18" t="s">
        <v>177</v>
      </c>
      <c r="H23" s="18" t="s">
        <v>178</v>
      </c>
      <c r="I23" s="18">
        <v>22</v>
      </c>
      <c r="J23" s="18">
        <v>22</v>
      </c>
      <c r="K23" s="18" t="s">
        <v>5</v>
      </c>
      <c r="L23" s="18" t="s">
        <v>179</v>
      </c>
      <c r="M23" s="18" t="s">
        <v>180</v>
      </c>
      <c r="N23" s="18" t="s">
        <v>66</v>
      </c>
      <c r="O23" s="18" t="s">
        <v>181</v>
      </c>
      <c r="P23" s="18" t="s">
        <v>182</v>
      </c>
      <c r="Q23" s="22">
        <f t="shared" si="2"/>
        <v>3170000000</v>
      </c>
      <c r="R23" s="18">
        <v>160.37</v>
      </c>
      <c r="S23" s="19">
        <v>14.11</v>
      </c>
      <c r="T23" s="18">
        <v>149428459</v>
      </c>
      <c r="U23" s="20">
        <v>44518</v>
      </c>
      <c r="V23" s="18" t="str">
        <f t="shared" si="0"/>
        <v>Complete</v>
      </c>
      <c r="AP23" s="23" t="s">
        <v>32</v>
      </c>
      <c r="AQ23" s="21">
        <v>4554894489.7959185</v>
      </c>
    </row>
    <row r="24" spans="1:55" ht="14.5" customHeight="1" x14ac:dyDescent="0.35">
      <c r="A24" s="15" t="s">
        <v>6632</v>
      </c>
      <c r="B24" s="15" t="s">
        <v>6633</v>
      </c>
      <c r="C24" s="15" t="s">
        <v>183</v>
      </c>
      <c r="D24" s="15" t="s">
        <v>184</v>
      </c>
      <c r="E24" s="15" t="s">
        <v>13</v>
      </c>
      <c r="F24" s="15" t="str">
        <f t="shared" si="1"/>
        <v>Male</v>
      </c>
      <c r="G24" s="15" t="s">
        <v>185</v>
      </c>
      <c r="H24" s="15" t="s">
        <v>186</v>
      </c>
      <c r="I24" s="15">
        <v>23</v>
      </c>
      <c r="J24" s="15">
        <v>23</v>
      </c>
      <c r="K24" s="15" t="s">
        <v>32</v>
      </c>
      <c r="L24" s="15" t="s">
        <v>187</v>
      </c>
      <c r="M24" s="15" t="s">
        <v>188</v>
      </c>
      <c r="N24" s="15" t="s">
        <v>189</v>
      </c>
      <c r="O24" s="15" t="s">
        <v>190</v>
      </c>
      <c r="P24" s="15" t="s">
        <v>191</v>
      </c>
      <c r="Q24" s="22">
        <f t="shared" si="2"/>
        <v>295410000</v>
      </c>
      <c r="R24" s="15">
        <v>1496.68</v>
      </c>
      <c r="S24" s="16">
        <v>-5.87</v>
      </c>
      <c r="T24" s="15">
        <v>134000009</v>
      </c>
      <c r="U24" s="17">
        <v>46186</v>
      </c>
      <c r="V24" s="15" t="str">
        <f t="shared" si="0"/>
        <v>Complete</v>
      </c>
      <c r="AP24" s="5" t="s">
        <v>8</v>
      </c>
      <c r="AQ24" s="21">
        <v>6809301000</v>
      </c>
    </row>
    <row r="25" spans="1:55" ht="14.5" customHeight="1" x14ac:dyDescent="0.35">
      <c r="A25" s="18" t="s">
        <v>6634</v>
      </c>
      <c r="B25" s="18" t="s">
        <v>6635</v>
      </c>
      <c r="C25" s="18" t="s">
        <v>192</v>
      </c>
      <c r="D25" s="18" t="s">
        <v>193</v>
      </c>
      <c r="E25" s="18" t="s">
        <v>2</v>
      </c>
      <c r="F25" s="15" t="str">
        <f t="shared" si="1"/>
        <v>Female</v>
      </c>
      <c r="G25" s="18" t="s">
        <v>194</v>
      </c>
      <c r="H25" s="18" t="s">
        <v>195</v>
      </c>
      <c r="I25" s="18">
        <v>24</v>
      </c>
      <c r="J25" s="18">
        <v>24</v>
      </c>
      <c r="K25" s="18" t="s">
        <v>5</v>
      </c>
      <c r="L25" s="18" t="s">
        <v>196</v>
      </c>
      <c r="M25" s="18" t="s">
        <v>197</v>
      </c>
      <c r="N25" s="18" t="s">
        <v>8</v>
      </c>
      <c r="O25" s="18" t="s">
        <v>18</v>
      </c>
      <c r="P25" s="18" t="s">
        <v>198</v>
      </c>
      <c r="Q25" s="22">
        <f t="shared" si="2"/>
        <v>6280000000</v>
      </c>
      <c r="R25" s="18">
        <v>1367.88</v>
      </c>
      <c r="S25" s="19">
        <v>16.190000000000001</v>
      </c>
      <c r="T25" s="18">
        <v>138361710</v>
      </c>
      <c r="U25" s="20">
        <v>44823</v>
      </c>
      <c r="V25" s="18" t="str">
        <f t="shared" si="0"/>
        <v>Complete</v>
      </c>
      <c r="AP25" s="23" t="s">
        <v>5</v>
      </c>
      <c r="AQ25" s="21">
        <v>1613837311.8279569</v>
      </c>
    </row>
    <row r="26" spans="1:55" ht="14.5" customHeight="1" x14ac:dyDescent="0.35">
      <c r="A26" s="15" t="s">
        <v>6636</v>
      </c>
      <c r="B26" s="15" t="s">
        <v>6637</v>
      </c>
      <c r="C26" s="15" t="s">
        <v>128</v>
      </c>
      <c r="D26" s="15" t="s">
        <v>199</v>
      </c>
      <c r="E26" s="15" t="s">
        <v>13</v>
      </c>
      <c r="F26" s="15" t="str">
        <f t="shared" si="1"/>
        <v>Male</v>
      </c>
      <c r="G26" s="15" t="s">
        <v>200</v>
      </c>
      <c r="H26" s="15" t="s">
        <v>201</v>
      </c>
      <c r="I26" s="15">
        <v>25</v>
      </c>
      <c r="J26" s="15">
        <v>25</v>
      </c>
      <c r="K26" s="15" t="s">
        <v>5</v>
      </c>
      <c r="L26" s="15" t="s">
        <v>202</v>
      </c>
      <c r="M26" s="15" t="s">
        <v>203</v>
      </c>
      <c r="N26" s="15" t="s">
        <v>48</v>
      </c>
      <c r="O26" s="15" t="s">
        <v>204</v>
      </c>
      <c r="P26" s="15" t="s">
        <v>205</v>
      </c>
      <c r="Q26" s="22">
        <f t="shared" si="2"/>
        <v>15380000</v>
      </c>
      <c r="R26" s="15">
        <v>1558.44</v>
      </c>
      <c r="S26" s="16">
        <v>-6.67</v>
      </c>
      <c r="T26" s="15">
        <v>196729450</v>
      </c>
      <c r="U26" s="17">
        <v>45767</v>
      </c>
      <c r="V26" s="15" t="str">
        <f t="shared" si="0"/>
        <v>Complete</v>
      </c>
      <c r="AP26" s="23" t="s">
        <v>32</v>
      </c>
      <c r="AQ26" s="21">
        <v>35231543529.411766</v>
      </c>
    </row>
    <row r="27" spans="1:55" ht="14.5" customHeight="1" x14ac:dyDescent="0.35">
      <c r="A27" s="18" t="s">
        <v>6638</v>
      </c>
      <c r="B27" s="18" t="s">
        <v>6639</v>
      </c>
      <c r="C27" s="18" t="s">
        <v>206</v>
      </c>
      <c r="D27" s="18" t="s">
        <v>207</v>
      </c>
      <c r="E27" s="18" t="s">
        <v>208</v>
      </c>
      <c r="F27" s="15" t="str">
        <f t="shared" si="1"/>
        <v>Other</v>
      </c>
      <c r="G27" s="18" t="s">
        <v>209</v>
      </c>
      <c r="H27" s="18" t="s">
        <v>210</v>
      </c>
      <c r="I27" s="18">
        <v>26</v>
      </c>
      <c r="J27" s="18">
        <v>26</v>
      </c>
      <c r="K27" s="18" t="s">
        <v>5</v>
      </c>
      <c r="L27" s="18" t="s">
        <v>211</v>
      </c>
      <c r="M27" s="18" t="s">
        <v>212</v>
      </c>
      <c r="N27" s="18" t="s">
        <v>66</v>
      </c>
      <c r="O27" s="18" t="s">
        <v>181</v>
      </c>
      <c r="P27" s="18" t="s">
        <v>213</v>
      </c>
      <c r="Q27" s="22">
        <f t="shared" si="2"/>
        <v>172900000</v>
      </c>
      <c r="R27" s="18">
        <v>1296.78</v>
      </c>
      <c r="S27" s="19">
        <v>-14.9</v>
      </c>
      <c r="T27" s="18">
        <v>41442258</v>
      </c>
      <c r="U27" s="20">
        <v>46201</v>
      </c>
      <c r="V27" s="18" t="str">
        <f t="shared" si="0"/>
        <v>Complete</v>
      </c>
      <c r="AP27" s="5" t="s">
        <v>117</v>
      </c>
      <c r="AQ27" s="21">
        <v>10013700800</v>
      </c>
    </row>
    <row r="28" spans="1:55" ht="14.5" customHeight="1" x14ac:dyDescent="0.35">
      <c r="A28" s="15" t="s">
        <v>6640</v>
      </c>
      <c r="B28" s="15" t="s">
        <v>6641</v>
      </c>
      <c r="C28" s="15" t="s">
        <v>214</v>
      </c>
      <c r="D28" s="15" t="s">
        <v>215</v>
      </c>
      <c r="E28" s="15" t="s">
        <v>104</v>
      </c>
      <c r="F28" s="15" t="str">
        <f t="shared" si="1"/>
        <v>Other</v>
      </c>
      <c r="G28" s="15" t="s">
        <v>216</v>
      </c>
      <c r="H28" s="15" t="s">
        <v>217</v>
      </c>
      <c r="I28" s="15">
        <v>27</v>
      </c>
      <c r="J28" s="15">
        <v>27</v>
      </c>
      <c r="K28" s="15" t="s">
        <v>32</v>
      </c>
      <c r="L28" s="15" t="s">
        <v>218</v>
      </c>
      <c r="M28" s="15" t="s">
        <v>219</v>
      </c>
      <c r="N28" s="15" t="s">
        <v>8033</v>
      </c>
      <c r="O28" s="15" t="s">
        <v>8033</v>
      </c>
      <c r="P28" s="15" t="s">
        <v>220</v>
      </c>
      <c r="Q28" s="22">
        <f t="shared" si="2"/>
        <v>118370000</v>
      </c>
      <c r="R28" s="15">
        <v>1163.92</v>
      </c>
      <c r="S28" s="16">
        <v>-19.59</v>
      </c>
      <c r="T28" s="15">
        <v>139981740</v>
      </c>
      <c r="U28" s="17">
        <v>46202</v>
      </c>
      <c r="V28" s="15" t="str">
        <f t="shared" si="0"/>
        <v>Missing</v>
      </c>
      <c r="AP28" s="23" t="s">
        <v>5</v>
      </c>
      <c r="AQ28" s="21">
        <v>5914658000</v>
      </c>
    </row>
    <row r="29" spans="1:55" ht="14.5" customHeight="1" x14ac:dyDescent="0.35">
      <c r="A29" s="18" t="s">
        <v>6642</v>
      </c>
      <c r="B29" s="18" t="s">
        <v>6643</v>
      </c>
      <c r="C29" s="18" t="s">
        <v>221</v>
      </c>
      <c r="D29" s="18" t="s">
        <v>222</v>
      </c>
      <c r="E29" s="18" t="s">
        <v>13</v>
      </c>
      <c r="F29" s="15" t="str">
        <f t="shared" si="1"/>
        <v>Male</v>
      </c>
      <c r="G29" s="18" t="s">
        <v>223</v>
      </c>
      <c r="H29" s="18" t="s">
        <v>224</v>
      </c>
      <c r="I29" s="18">
        <v>28</v>
      </c>
      <c r="J29" s="18">
        <v>28</v>
      </c>
      <c r="K29" s="18" t="s">
        <v>32</v>
      </c>
      <c r="L29" s="18" t="s">
        <v>225</v>
      </c>
      <c r="M29" s="18" t="s">
        <v>226</v>
      </c>
      <c r="N29" s="18" t="s">
        <v>8033</v>
      </c>
      <c r="O29" s="18" t="s">
        <v>8033</v>
      </c>
      <c r="P29" s="18" t="s">
        <v>227</v>
      </c>
      <c r="Q29" s="22">
        <f t="shared" si="2"/>
        <v>378240000</v>
      </c>
      <c r="R29" s="18">
        <v>1467.57</v>
      </c>
      <c r="S29" s="19">
        <v>-9</v>
      </c>
      <c r="T29" s="18">
        <v>194795912</v>
      </c>
      <c r="U29" s="20">
        <v>45686</v>
      </c>
      <c r="V29" s="18" t="str">
        <f t="shared" si="0"/>
        <v>Missing</v>
      </c>
      <c r="AP29" s="23" t="s">
        <v>32</v>
      </c>
      <c r="AQ29" s="21">
        <v>16162265000</v>
      </c>
    </row>
    <row r="30" spans="1:55" ht="14.5" customHeight="1" x14ac:dyDescent="0.35">
      <c r="A30" s="15" t="s">
        <v>6644</v>
      </c>
      <c r="B30" s="15" t="s">
        <v>6645</v>
      </c>
      <c r="C30" s="15" t="s">
        <v>228</v>
      </c>
      <c r="D30" s="15" t="s">
        <v>229</v>
      </c>
      <c r="E30" s="15" t="s">
        <v>2</v>
      </c>
      <c r="F30" s="15" t="str">
        <f t="shared" si="1"/>
        <v>Female</v>
      </c>
      <c r="G30" s="15" t="s">
        <v>230</v>
      </c>
      <c r="H30" s="15" t="s">
        <v>231</v>
      </c>
      <c r="I30" s="15">
        <v>29</v>
      </c>
      <c r="J30" s="15">
        <v>29</v>
      </c>
      <c r="K30" s="15" t="s">
        <v>32</v>
      </c>
      <c r="L30" s="15" t="s">
        <v>232</v>
      </c>
      <c r="M30" s="15" t="s">
        <v>233</v>
      </c>
      <c r="N30" s="15" t="s">
        <v>66</v>
      </c>
      <c r="O30" s="15" t="s">
        <v>181</v>
      </c>
      <c r="P30" s="15" t="s">
        <v>234</v>
      </c>
      <c r="Q30" s="22">
        <f t="shared" si="2"/>
        <v>162870000</v>
      </c>
      <c r="R30" s="15">
        <v>805.98</v>
      </c>
      <c r="S30" s="16">
        <v>6.73</v>
      </c>
      <c r="T30" s="15">
        <v>1041919</v>
      </c>
      <c r="U30" s="17">
        <v>45720</v>
      </c>
      <c r="V30" s="15" t="str">
        <f t="shared" si="0"/>
        <v>Complete</v>
      </c>
      <c r="AP30" s="5" t="s">
        <v>8033</v>
      </c>
      <c r="AQ30" s="21">
        <v>221346839.82683983</v>
      </c>
    </row>
    <row r="31" spans="1:55" ht="14.5" customHeight="1" x14ac:dyDescent="0.35">
      <c r="A31" s="18" t="s">
        <v>6646</v>
      </c>
      <c r="B31" s="18" t="s">
        <v>6647</v>
      </c>
      <c r="C31" s="18" t="s">
        <v>235</v>
      </c>
      <c r="D31" s="18" t="s">
        <v>236</v>
      </c>
      <c r="E31" s="18" t="s">
        <v>13</v>
      </c>
      <c r="F31" s="15" t="str">
        <f t="shared" si="1"/>
        <v>Male</v>
      </c>
      <c r="G31" s="18" t="s">
        <v>237</v>
      </c>
      <c r="H31" s="18" t="s">
        <v>238</v>
      </c>
      <c r="I31" s="18">
        <v>30</v>
      </c>
      <c r="J31" s="18">
        <v>30</v>
      </c>
      <c r="K31" s="18" t="s">
        <v>5</v>
      </c>
      <c r="L31" s="18" t="s">
        <v>239</v>
      </c>
      <c r="M31" s="18" t="s">
        <v>240</v>
      </c>
      <c r="N31" s="18" t="s">
        <v>99</v>
      </c>
      <c r="O31" s="18" t="s">
        <v>241</v>
      </c>
      <c r="P31" s="18" t="s">
        <v>242</v>
      </c>
      <c r="Q31" s="22">
        <f t="shared" si="2"/>
        <v>882650000</v>
      </c>
      <c r="R31" s="18">
        <v>1510.86</v>
      </c>
      <c r="S31" s="19">
        <v>5.96</v>
      </c>
      <c r="T31" s="18">
        <v>94730962</v>
      </c>
      <c r="U31" s="20">
        <v>46279</v>
      </c>
      <c r="V31" s="18" t="str">
        <f t="shared" si="0"/>
        <v>Complete</v>
      </c>
      <c r="AP31" s="23" t="s">
        <v>5</v>
      </c>
      <c r="AQ31" s="21">
        <v>339237868.85245901</v>
      </c>
    </row>
    <row r="32" spans="1:55" ht="14.5" customHeight="1" x14ac:dyDescent="0.35">
      <c r="A32" s="15" t="s">
        <v>6648</v>
      </c>
      <c r="B32" s="15" t="s">
        <v>6649</v>
      </c>
      <c r="C32" s="15" t="s">
        <v>243</v>
      </c>
      <c r="D32" s="15" t="s">
        <v>244</v>
      </c>
      <c r="E32" s="15" t="s">
        <v>13</v>
      </c>
      <c r="F32" s="15" t="str">
        <f t="shared" si="1"/>
        <v>Male</v>
      </c>
      <c r="G32" s="15" t="s">
        <v>245</v>
      </c>
      <c r="H32" s="15" t="s">
        <v>246</v>
      </c>
      <c r="I32" s="15">
        <v>31</v>
      </c>
      <c r="J32" s="15">
        <v>31</v>
      </c>
      <c r="K32" s="15" t="s">
        <v>5</v>
      </c>
      <c r="L32" s="15" t="s">
        <v>247</v>
      </c>
      <c r="M32" s="15" t="s">
        <v>248</v>
      </c>
      <c r="N32" s="15" t="s">
        <v>8</v>
      </c>
      <c r="O32" s="15" t="s">
        <v>9</v>
      </c>
      <c r="P32" s="15" t="s">
        <v>249</v>
      </c>
      <c r="Q32" s="22">
        <f t="shared" si="2"/>
        <v>73790000</v>
      </c>
      <c r="R32" s="15">
        <v>1915.27</v>
      </c>
      <c r="S32" s="16">
        <v>13.85</v>
      </c>
      <c r="T32" s="15">
        <v>54209644</v>
      </c>
      <c r="U32" s="17">
        <v>43850</v>
      </c>
      <c r="V32" s="15" t="str">
        <f t="shared" si="0"/>
        <v>Complete</v>
      </c>
      <c r="AP32" s="23" t="s">
        <v>32</v>
      </c>
      <c r="AQ32" s="21">
        <v>179044764.70588234</v>
      </c>
    </row>
    <row r="33" spans="1:43" ht="14.5" customHeight="1" x14ac:dyDescent="0.35">
      <c r="A33" s="18" t="s">
        <v>6650</v>
      </c>
      <c r="B33" s="18" t="s">
        <v>6651</v>
      </c>
      <c r="C33" s="18" t="s">
        <v>250</v>
      </c>
      <c r="D33" s="18" t="s">
        <v>251</v>
      </c>
      <c r="E33" s="18" t="s">
        <v>13</v>
      </c>
      <c r="F33" s="15" t="str">
        <f t="shared" si="1"/>
        <v>Male</v>
      </c>
      <c r="G33" s="18" t="s">
        <v>252</v>
      </c>
      <c r="H33" s="18" t="s">
        <v>253</v>
      </c>
      <c r="I33" s="18">
        <v>32</v>
      </c>
      <c r="J33" s="18">
        <v>32</v>
      </c>
      <c r="K33" s="18" t="s">
        <v>5</v>
      </c>
      <c r="L33" s="18" t="s">
        <v>254</v>
      </c>
      <c r="M33" s="18" t="s">
        <v>255</v>
      </c>
      <c r="N33" s="18" t="s">
        <v>48</v>
      </c>
      <c r="O33" s="18" t="s">
        <v>57</v>
      </c>
      <c r="P33" s="18" t="s">
        <v>256</v>
      </c>
      <c r="Q33" s="22">
        <f t="shared" si="2"/>
        <v>26130000</v>
      </c>
      <c r="R33" s="18">
        <v>178.74</v>
      </c>
      <c r="S33" s="19">
        <v>-16.91</v>
      </c>
      <c r="T33" s="18">
        <v>70251160</v>
      </c>
      <c r="U33" s="20">
        <v>46165</v>
      </c>
      <c r="V33" s="18" t="str">
        <f t="shared" si="0"/>
        <v>Complete</v>
      </c>
      <c r="AP33" s="5" t="s">
        <v>134</v>
      </c>
      <c r="AQ33" s="21">
        <v>11798627800</v>
      </c>
    </row>
    <row r="34" spans="1:43" ht="14.5" customHeight="1" x14ac:dyDescent="0.35">
      <c r="A34" s="15" t="s">
        <v>6652</v>
      </c>
      <c r="B34" s="15" t="s">
        <v>6653</v>
      </c>
      <c r="C34" s="15" t="s">
        <v>257</v>
      </c>
      <c r="D34" s="15" t="s">
        <v>258</v>
      </c>
      <c r="E34" s="15" t="s">
        <v>52</v>
      </c>
      <c r="F34" s="15" t="str">
        <f t="shared" si="1"/>
        <v>Other</v>
      </c>
      <c r="G34" s="15" t="s">
        <v>259</v>
      </c>
      <c r="H34" s="15" t="s">
        <v>260</v>
      </c>
      <c r="I34" s="15">
        <v>33</v>
      </c>
      <c r="J34" s="15">
        <v>33</v>
      </c>
      <c r="K34" s="15" t="s">
        <v>5</v>
      </c>
      <c r="L34" s="15" t="s">
        <v>261</v>
      </c>
      <c r="M34" s="15" t="s">
        <v>262</v>
      </c>
      <c r="N34" s="15" t="s">
        <v>117</v>
      </c>
      <c r="O34" s="15" t="s">
        <v>118</v>
      </c>
      <c r="P34" s="15" t="s">
        <v>263</v>
      </c>
      <c r="Q34" s="22">
        <f t="shared" si="2"/>
        <v>1590000000</v>
      </c>
      <c r="R34" s="15">
        <v>922.91</v>
      </c>
      <c r="S34" s="16">
        <v>14.8</v>
      </c>
      <c r="T34" s="15">
        <v>181271276</v>
      </c>
      <c r="U34" s="17">
        <v>46345</v>
      </c>
      <c r="V34" s="15" t="str">
        <f t="shared" si="0"/>
        <v>Complete</v>
      </c>
      <c r="AP34" s="23" t="s">
        <v>5</v>
      </c>
      <c r="AQ34" s="21">
        <v>4009446875</v>
      </c>
    </row>
    <row r="35" spans="1:43" ht="14.5" customHeight="1" x14ac:dyDescent="0.35">
      <c r="A35" s="18" t="s">
        <v>6654</v>
      </c>
      <c r="B35" s="18" t="s">
        <v>6655</v>
      </c>
      <c r="C35" s="18" t="s">
        <v>264</v>
      </c>
      <c r="D35" s="18" t="s">
        <v>265</v>
      </c>
      <c r="E35" s="18" t="s">
        <v>13</v>
      </c>
      <c r="F35" s="15" t="str">
        <f t="shared" si="1"/>
        <v>Male</v>
      </c>
      <c r="G35" s="18" t="s">
        <v>266</v>
      </c>
      <c r="H35" s="18" t="s">
        <v>267</v>
      </c>
      <c r="I35" s="18">
        <v>34</v>
      </c>
      <c r="J35" s="18">
        <v>34</v>
      </c>
      <c r="K35" s="18" t="s">
        <v>5</v>
      </c>
      <c r="L35" s="18" t="s">
        <v>268</v>
      </c>
      <c r="M35" s="18" t="s">
        <v>269</v>
      </c>
      <c r="N35" s="18" t="s">
        <v>25</v>
      </c>
      <c r="O35" s="18" t="s">
        <v>270</v>
      </c>
      <c r="P35" s="18" t="s">
        <v>271</v>
      </c>
      <c r="Q35" s="22">
        <f t="shared" si="2"/>
        <v>605760000</v>
      </c>
      <c r="R35" s="18">
        <v>1272.42</v>
      </c>
      <c r="S35" s="19">
        <v>13.97</v>
      </c>
      <c r="T35" s="18">
        <v>79997222</v>
      </c>
      <c r="U35" s="20">
        <v>43977</v>
      </c>
      <c r="V35" s="18" t="str">
        <f t="shared" si="0"/>
        <v>Complete</v>
      </c>
      <c r="AP35" s="23" t="s">
        <v>32</v>
      </c>
      <c r="AQ35" s="21">
        <v>15464124705.882353</v>
      </c>
    </row>
    <row r="36" spans="1:43" ht="14.5" customHeight="1" x14ac:dyDescent="0.35">
      <c r="A36" s="15" t="s">
        <v>6656</v>
      </c>
      <c r="B36" s="15" t="s">
        <v>6657</v>
      </c>
      <c r="C36" s="15" t="s">
        <v>272</v>
      </c>
      <c r="D36" s="15" t="s">
        <v>273</v>
      </c>
      <c r="E36" s="15" t="s">
        <v>2</v>
      </c>
      <c r="F36" s="15" t="str">
        <f t="shared" si="1"/>
        <v>Female</v>
      </c>
      <c r="G36" s="15" t="s">
        <v>274</v>
      </c>
      <c r="H36" s="15" t="s">
        <v>275</v>
      </c>
      <c r="I36" s="15">
        <v>35</v>
      </c>
      <c r="J36" s="15">
        <v>35</v>
      </c>
      <c r="K36" s="15" t="s">
        <v>5</v>
      </c>
      <c r="L36" s="15" t="s">
        <v>276</v>
      </c>
      <c r="M36" s="15" t="s">
        <v>277</v>
      </c>
      <c r="N36" s="15" t="s">
        <v>48</v>
      </c>
      <c r="O36" s="15" t="s">
        <v>204</v>
      </c>
      <c r="P36" s="15" t="s">
        <v>278</v>
      </c>
      <c r="Q36" s="22">
        <f t="shared" si="2"/>
        <v>34450000</v>
      </c>
      <c r="R36" s="15">
        <v>502.61</v>
      </c>
      <c r="S36" s="16">
        <v>18.84</v>
      </c>
      <c r="T36" s="15">
        <v>64784873</v>
      </c>
      <c r="U36" s="17">
        <v>45224</v>
      </c>
      <c r="V36" s="15" t="str">
        <f t="shared" si="0"/>
        <v>Complete</v>
      </c>
      <c r="AP36" s="5" t="s">
        <v>66</v>
      </c>
      <c r="AQ36" s="21">
        <v>3560987200</v>
      </c>
    </row>
    <row r="37" spans="1:43" ht="14.5" customHeight="1" x14ac:dyDescent="0.35">
      <c r="A37" s="18" t="s">
        <v>6658</v>
      </c>
      <c r="B37" s="18" t="s">
        <v>6593</v>
      </c>
      <c r="C37" s="18" t="s">
        <v>279</v>
      </c>
      <c r="D37" s="18" t="s">
        <v>280</v>
      </c>
      <c r="E37" s="18" t="s">
        <v>13</v>
      </c>
      <c r="F37" s="15" t="str">
        <f t="shared" si="1"/>
        <v>Male</v>
      </c>
      <c r="G37" s="18" t="s">
        <v>281</v>
      </c>
      <c r="H37" s="18" t="s">
        <v>282</v>
      </c>
      <c r="I37" s="18">
        <v>36</v>
      </c>
      <c r="J37" s="18">
        <v>36</v>
      </c>
      <c r="K37" s="18" t="s">
        <v>32</v>
      </c>
      <c r="L37" s="18" t="s">
        <v>283</v>
      </c>
      <c r="M37" s="18" t="s">
        <v>284</v>
      </c>
      <c r="N37" s="18" t="s">
        <v>99</v>
      </c>
      <c r="O37" s="18" t="s">
        <v>285</v>
      </c>
      <c r="P37" s="18" t="s">
        <v>286</v>
      </c>
      <c r="Q37" s="22">
        <f t="shared" si="2"/>
        <v>3360000000</v>
      </c>
      <c r="R37" s="18">
        <v>648.34</v>
      </c>
      <c r="S37" s="19">
        <v>-2.06</v>
      </c>
      <c r="T37" s="18">
        <v>52870009</v>
      </c>
      <c r="U37" s="20">
        <v>45967</v>
      </c>
      <c r="V37" s="18" t="str">
        <f t="shared" si="0"/>
        <v>Complete</v>
      </c>
      <c r="AP37" s="23" t="s">
        <v>5</v>
      </c>
      <c r="AQ37" s="21">
        <v>2295402000</v>
      </c>
    </row>
    <row r="38" spans="1:43" ht="14.5" customHeight="1" x14ac:dyDescent="0.35">
      <c r="A38" s="15" t="s">
        <v>6659</v>
      </c>
      <c r="B38" s="15" t="s">
        <v>6660</v>
      </c>
      <c r="C38" s="15" t="s">
        <v>287</v>
      </c>
      <c r="D38" s="15" t="s">
        <v>288</v>
      </c>
      <c r="E38" s="15" t="s">
        <v>2</v>
      </c>
      <c r="F38" s="15" t="str">
        <f t="shared" si="1"/>
        <v>Female</v>
      </c>
      <c r="G38" s="15" t="s">
        <v>289</v>
      </c>
      <c r="H38" s="15" t="s">
        <v>290</v>
      </c>
      <c r="I38" s="15">
        <v>37</v>
      </c>
      <c r="J38" s="15">
        <v>37</v>
      </c>
      <c r="K38" s="15" t="s">
        <v>5</v>
      </c>
      <c r="L38" s="15" t="s">
        <v>291</v>
      </c>
      <c r="M38" s="15" t="s">
        <v>292</v>
      </c>
      <c r="N38" s="15" t="s">
        <v>66</v>
      </c>
      <c r="O38" s="15" t="s">
        <v>293</v>
      </c>
      <c r="P38" s="15" t="s">
        <v>294</v>
      </c>
      <c r="Q38" s="22">
        <f t="shared" si="2"/>
        <v>45090000</v>
      </c>
      <c r="R38" s="15">
        <v>620.94000000000005</v>
      </c>
      <c r="S38" s="16">
        <v>-13.96</v>
      </c>
      <c r="T38" s="15">
        <v>153684697</v>
      </c>
      <c r="U38" s="17">
        <v>45088</v>
      </c>
      <c r="V38" s="15" t="str">
        <f t="shared" si="0"/>
        <v>Complete</v>
      </c>
      <c r="AP38" s="23" t="s">
        <v>32</v>
      </c>
      <c r="AQ38" s="21">
        <v>8623328000</v>
      </c>
    </row>
    <row r="39" spans="1:43" ht="14.5" customHeight="1" x14ac:dyDescent="0.35">
      <c r="A39" s="18" t="s">
        <v>6661</v>
      </c>
      <c r="B39" s="18" t="s">
        <v>6662</v>
      </c>
      <c r="C39" s="18" t="s">
        <v>295</v>
      </c>
      <c r="D39" s="18" t="s">
        <v>296</v>
      </c>
      <c r="E39" s="18" t="s">
        <v>13</v>
      </c>
      <c r="F39" s="15" t="str">
        <f t="shared" si="1"/>
        <v>Male</v>
      </c>
      <c r="G39" s="18" t="s">
        <v>297</v>
      </c>
      <c r="H39" s="18" t="s">
        <v>298</v>
      </c>
      <c r="I39" s="18">
        <v>38</v>
      </c>
      <c r="J39" s="18">
        <v>38</v>
      </c>
      <c r="K39" s="18" t="s">
        <v>32</v>
      </c>
      <c r="L39" s="18" t="s">
        <v>299</v>
      </c>
      <c r="M39" s="18" t="s">
        <v>300</v>
      </c>
      <c r="N39" s="18" t="s">
        <v>99</v>
      </c>
      <c r="O39" s="18" t="s">
        <v>100</v>
      </c>
      <c r="P39" s="18" t="s">
        <v>301</v>
      </c>
      <c r="Q39" s="22">
        <f t="shared" si="2"/>
        <v>350520000</v>
      </c>
      <c r="R39" s="18">
        <v>1965.59</v>
      </c>
      <c r="S39" s="19">
        <v>17.96</v>
      </c>
      <c r="T39" s="18">
        <v>96749130</v>
      </c>
      <c r="U39" s="20">
        <v>45290</v>
      </c>
      <c r="V39" s="18" t="str">
        <f t="shared" si="0"/>
        <v>Complete</v>
      </c>
      <c r="AP39" s="5" t="s">
        <v>1291</v>
      </c>
      <c r="AQ39" s="21">
        <v>8825900625</v>
      </c>
    </row>
    <row r="40" spans="1:43" ht="14.5" customHeight="1" x14ac:dyDescent="0.35">
      <c r="A40" s="15" t="s">
        <v>6663</v>
      </c>
      <c r="B40" s="15" t="s">
        <v>6660</v>
      </c>
      <c r="C40" s="15" t="s">
        <v>302</v>
      </c>
      <c r="D40" s="15" t="s">
        <v>303</v>
      </c>
      <c r="E40" s="15" t="s">
        <v>2</v>
      </c>
      <c r="F40" s="15" t="str">
        <f t="shared" si="1"/>
        <v>Female</v>
      </c>
      <c r="G40" s="15" t="s">
        <v>304</v>
      </c>
      <c r="H40" s="15" t="s">
        <v>305</v>
      </c>
      <c r="I40" s="15">
        <v>39</v>
      </c>
      <c r="J40" s="15">
        <v>39</v>
      </c>
      <c r="K40" s="15" t="s">
        <v>32</v>
      </c>
      <c r="L40" s="15" t="s">
        <v>306</v>
      </c>
      <c r="M40" s="15" t="s">
        <v>307</v>
      </c>
      <c r="N40" s="15" t="s">
        <v>25</v>
      </c>
      <c r="O40" s="15" t="s">
        <v>308</v>
      </c>
      <c r="P40" s="15" t="s">
        <v>309</v>
      </c>
      <c r="Q40" s="22">
        <f t="shared" si="2"/>
        <v>5740000000</v>
      </c>
      <c r="R40" s="15">
        <v>956.14</v>
      </c>
      <c r="S40" s="16">
        <v>4.3099999999999996</v>
      </c>
      <c r="T40" s="15">
        <v>44583222</v>
      </c>
      <c r="U40" s="17">
        <v>44358</v>
      </c>
      <c r="V40" s="15" t="str">
        <f t="shared" si="0"/>
        <v>Complete</v>
      </c>
      <c r="AP40" s="23" t="s">
        <v>5</v>
      </c>
      <c r="AQ40" s="21">
        <v>738486666.66666663</v>
      </c>
    </row>
    <row r="41" spans="1:43" ht="14.5" customHeight="1" x14ac:dyDescent="0.35">
      <c r="A41" s="18" t="s">
        <v>6664</v>
      </c>
      <c r="B41" s="18" t="s">
        <v>6665</v>
      </c>
      <c r="C41" s="18" t="s">
        <v>310</v>
      </c>
      <c r="D41" s="18" t="s">
        <v>311</v>
      </c>
      <c r="E41" s="18" t="s">
        <v>13</v>
      </c>
      <c r="F41" s="15" t="str">
        <f t="shared" si="1"/>
        <v>Male</v>
      </c>
      <c r="G41" s="18" t="s">
        <v>312</v>
      </c>
      <c r="H41" s="18" t="s">
        <v>313</v>
      </c>
      <c r="I41" s="18">
        <v>40</v>
      </c>
      <c r="J41" s="18">
        <v>40</v>
      </c>
      <c r="K41" s="18" t="s">
        <v>5</v>
      </c>
      <c r="L41" s="18" t="s">
        <v>314</v>
      </c>
      <c r="M41" s="18" t="s">
        <v>315</v>
      </c>
      <c r="N41" s="18" t="s">
        <v>66</v>
      </c>
      <c r="O41" s="18" t="s">
        <v>293</v>
      </c>
      <c r="P41" s="18" t="s">
        <v>316</v>
      </c>
      <c r="Q41" s="22">
        <f t="shared" si="2"/>
        <v>1070000000.0000001</v>
      </c>
      <c r="R41" s="18">
        <v>904.14</v>
      </c>
      <c r="S41" s="19">
        <v>-1.86</v>
      </c>
      <c r="T41" s="18">
        <v>184214630</v>
      </c>
      <c r="U41" s="20">
        <v>44353</v>
      </c>
      <c r="V41" s="18" t="str">
        <f t="shared" si="0"/>
        <v>Complete</v>
      </c>
      <c r="AP41" s="23" t="s">
        <v>32</v>
      </c>
      <c r="AQ41" s="21">
        <v>10692226923.076923</v>
      </c>
    </row>
    <row r="42" spans="1:43" ht="14.5" customHeight="1" x14ac:dyDescent="0.35">
      <c r="A42" s="15" t="s">
        <v>6666</v>
      </c>
      <c r="B42" s="15" t="s">
        <v>6667</v>
      </c>
      <c r="C42" s="15" t="s">
        <v>317</v>
      </c>
      <c r="D42" s="15" t="s">
        <v>318</v>
      </c>
      <c r="E42" s="15" t="s">
        <v>2</v>
      </c>
      <c r="F42" s="15" t="str">
        <f t="shared" si="1"/>
        <v>Female</v>
      </c>
      <c r="G42" s="15" t="s">
        <v>319</v>
      </c>
      <c r="H42" s="15" t="s">
        <v>320</v>
      </c>
      <c r="I42" s="15">
        <v>41</v>
      </c>
      <c r="J42" s="15">
        <v>41</v>
      </c>
      <c r="K42" s="15" t="s">
        <v>5</v>
      </c>
      <c r="L42" s="15" t="s">
        <v>321</v>
      </c>
      <c r="M42" s="15" t="s">
        <v>322</v>
      </c>
      <c r="N42" s="15" t="s">
        <v>323</v>
      </c>
      <c r="O42" s="15" t="s">
        <v>324</v>
      </c>
      <c r="P42" s="15" t="s">
        <v>8033</v>
      </c>
      <c r="Q42" s="22">
        <f t="shared" si="2"/>
        <v>0</v>
      </c>
      <c r="R42" s="15">
        <v>1851.58</v>
      </c>
      <c r="S42" s="16">
        <v>-5.1100000000000003</v>
      </c>
      <c r="T42" s="15">
        <v>197095068</v>
      </c>
      <c r="U42" s="17">
        <v>44669</v>
      </c>
      <c r="V42" s="15" t="str">
        <f t="shared" si="0"/>
        <v>Missing</v>
      </c>
      <c r="AP42" s="5" t="s">
        <v>8039</v>
      </c>
      <c r="AQ42" s="21"/>
    </row>
    <row r="43" spans="1:43" ht="14.5" customHeight="1" x14ac:dyDescent="0.35">
      <c r="A43" s="18" t="s">
        <v>6668</v>
      </c>
      <c r="B43" s="18" t="s">
        <v>6669</v>
      </c>
      <c r="C43" s="18" t="s">
        <v>325</v>
      </c>
      <c r="D43" s="18" t="s">
        <v>326</v>
      </c>
      <c r="E43" s="18" t="s">
        <v>2</v>
      </c>
      <c r="F43" s="15" t="str">
        <f t="shared" si="1"/>
        <v>Female</v>
      </c>
      <c r="G43" s="18" t="s">
        <v>327</v>
      </c>
      <c r="H43" s="18" t="s">
        <v>328</v>
      </c>
      <c r="I43" s="18">
        <v>42</v>
      </c>
      <c r="J43" s="18">
        <v>42</v>
      </c>
      <c r="K43" s="18" t="s">
        <v>5</v>
      </c>
      <c r="L43" s="18" t="s">
        <v>329</v>
      </c>
      <c r="M43" s="18" t="s">
        <v>330</v>
      </c>
      <c r="N43" s="18" t="s">
        <v>8</v>
      </c>
      <c r="O43" s="18" t="s">
        <v>9</v>
      </c>
      <c r="P43" s="18" t="s">
        <v>331</v>
      </c>
      <c r="Q43" s="22">
        <f t="shared" si="2"/>
        <v>2640000000</v>
      </c>
      <c r="R43" s="18">
        <v>720.02</v>
      </c>
      <c r="S43" s="19">
        <v>-17.46</v>
      </c>
      <c r="T43" s="18">
        <v>180211723</v>
      </c>
      <c r="U43" s="20">
        <v>45859</v>
      </c>
      <c r="V43" s="18" t="str">
        <f t="shared" si="0"/>
        <v>Complete</v>
      </c>
      <c r="AP43" s="23" t="s">
        <v>8039</v>
      </c>
      <c r="AQ43" s="21"/>
    </row>
    <row r="44" spans="1:43" ht="14.5" customHeight="1" x14ac:dyDescent="0.35">
      <c r="A44" s="15" t="s">
        <v>6670</v>
      </c>
      <c r="B44" s="15" t="s">
        <v>6605</v>
      </c>
      <c r="C44" s="15" t="s">
        <v>332</v>
      </c>
      <c r="D44" s="15" t="s">
        <v>333</v>
      </c>
      <c r="E44" s="15" t="s">
        <v>2</v>
      </c>
      <c r="F44" s="15" t="str">
        <f t="shared" si="1"/>
        <v>Female</v>
      </c>
      <c r="G44" s="15" t="s">
        <v>334</v>
      </c>
      <c r="H44" s="15" t="s">
        <v>335</v>
      </c>
      <c r="I44" s="15">
        <v>43</v>
      </c>
      <c r="J44" s="15">
        <v>43</v>
      </c>
      <c r="K44" s="15" t="s">
        <v>32</v>
      </c>
      <c r="L44" s="15" t="s">
        <v>336</v>
      </c>
      <c r="M44" s="15" t="s">
        <v>337</v>
      </c>
      <c r="N44" s="15" t="s">
        <v>8033</v>
      </c>
      <c r="O44" s="15" t="s">
        <v>8033</v>
      </c>
      <c r="P44" s="15" t="s">
        <v>8033</v>
      </c>
      <c r="Q44" s="22">
        <f t="shared" si="2"/>
        <v>0</v>
      </c>
      <c r="R44" s="15">
        <v>1316.16</v>
      </c>
      <c r="S44" s="16">
        <v>-15.58</v>
      </c>
      <c r="T44" s="15">
        <v>194741029</v>
      </c>
      <c r="U44" s="17">
        <v>45954</v>
      </c>
      <c r="V44" s="15" t="str">
        <f t="shared" si="0"/>
        <v>Missing</v>
      </c>
      <c r="AP44" s="5" t="s">
        <v>8040</v>
      </c>
      <c r="AQ44" s="21">
        <v>4298340950</v>
      </c>
    </row>
    <row r="45" spans="1:43" ht="14.5" customHeight="1" x14ac:dyDescent="0.35">
      <c r="A45" s="18" t="s">
        <v>6671</v>
      </c>
      <c r="B45" s="18" t="s">
        <v>6672</v>
      </c>
      <c r="C45" s="18" t="s">
        <v>338</v>
      </c>
      <c r="D45" s="18" t="s">
        <v>339</v>
      </c>
      <c r="E45" s="18" t="s">
        <v>13</v>
      </c>
      <c r="F45" s="15" t="str">
        <f t="shared" si="1"/>
        <v>Male</v>
      </c>
      <c r="G45" s="18" t="s">
        <v>340</v>
      </c>
      <c r="H45" s="18" t="s">
        <v>341</v>
      </c>
      <c r="I45" s="18">
        <v>44</v>
      </c>
      <c r="J45" s="18">
        <v>44</v>
      </c>
      <c r="K45" s="18" t="s">
        <v>5</v>
      </c>
      <c r="L45" s="18" t="s">
        <v>342</v>
      </c>
      <c r="M45" s="18" t="s">
        <v>343</v>
      </c>
      <c r="N45" s="18" t="s">
        <v>142</v>
      </c>
      <c r="O45" s="18" t="s">
        <v>344</v>
      </c>
      <c r="P45" s="18" t="s">
        <v>345</v>
      </c>
      <c r="Q45" s="22">
        <f t="shared" si="2"/>
        <v>12310000</v>
      </c>
      <c r="R45" s="18">
        <v>1628.53</v>
      </c>
      <c r="S45" s="19">
        <v>5.58</v>
      </c>
      <c r="T45" s="18">
        <v>92048561</v>
      </c>
      <c r="U45" s="20">
        <v>44110</v>
      </c>
      <c r="V45" s="18" t="str">
        <f t="shared" si="0"/>
        <v>Complete</v>
      </c>
    </row>
    <row r="46" spans="1:43" ht="14.5" customHeight="1" x14ac:dyDescent="0.35">
      <c r="A46" s="15" t="s">
        <v>6673</v>
      </c>
      <c r="B46" s="15" t="s">
        <v>6674</v>
      </c>
      <c r="C46" s="15" t="s">
        <v>346</v>
      </c>
      <c r="D46" s="15" t="s">
        <v>347</v>
      </c>
      <c r="E46" s="15" t="s">
        <v>13</v>
      </c>
      <c r="F46" s="15" t="str">
        <f t="shared" si="1"/>
        <v>Male</v>
      </c>
      <c r="G46" s="15" t="s">
        <v>348</v>
      </c>
      <c r="H46" s="15" t="s">
        <v>349</v>
      </c>
      <c r="I46" s="15">
        <v>45</v>
      </c>
      <c r="J46" s="15">
        <v>45</v>
      </c>
      <c r="K46" s="15" t="s">
        <v>32</v>
      </c>
      <c r="L46" s="15" t="s">
        <v>350</v>
      </c>
      <c r="M46" s="15" t="s">
        <v>351</v>
      </c>
      <c r="N46" s="15" t="s">
        <v>8033</v>
      </c>
      <c r="O46" s="15" t="s">
        <v>8033</v>
      </c>
      <c r="P46" s="15" t="s">
        <v>8033</v>
      </c>
      <c r="Q46" s="22">
        <f t="shared" si="2"/>
        <v>0</v>
      </c>
      <c r="R46" s="15">
        <v>633.30999999999995</v>
      </c>
      <c r="S46" s="16">
        <v>19.12</v>
      </c>
      <c r="T46" s="15">
        <v>8126008</v>
      </c>
      <c r="U46" s="17">
        <v>44254</v>
      </c>
      <c r="V46" s="15" t="str">
        <f t="shared" si="0"/>
        <v>Missing</v>
      </c>
    </row>
    <row r="47" spans="1:43" ht="14.5" customHeight="1" x14ac:dyDescent="0.35">
      <c r="A47" s="18" t="s">
        <v>6675</v>
      </c>
      <c r="B47" s="18" t="s">
        <v>6676</v>
      </c>
      <c r="C47" s="18" t="s">
        <v>352</v>
      </c>
      <c r="D47" s="18" t="s">
        <v>353</v>
      </c>
      <c r="E47" s="18" t="s">
        <v>2</v>
      </c>
      <c r="F47" s="15" t="str">
        <f t="shared" si="1"/>
        <v>Female</v>
      </c>
      <c r="G47" s="18" t="s">
        <v>354</v>
      </c>
      <c r="H47" s="18" t="s">
        <v>355</v>
      </c>
      <c r="I47" s="18">
        <v>46</v>
      </c>
      <c r="J47" s="18">
        <v>46</v>
      </c>
      <c r="K47" s="18" t="s">
        <v>32</v>
      </c>
      <c r="L47" s="18" t="s">
        <v>356</v>
      </c>
      <c r="M47" s="18" t="s">
        <v>357</v>
      </c>
      <c r="N47" s="18" t="s">
        <v>8033</v>
      </c>
      <c r="O47" s="18" t="s">
        <v>8033</v>
      </c>
      <c r="P47" s="18" t="s">
        <v>8033</v>
      </c>
      <c r="Q47" s="22">
        <f t="shared" si="2"/>
        <v>0</v>
      </c>
      <c r="R47" s="18">
        <v>385.73</v>
      </c>
      <c r="S47" s="19">
        <v>12.34</v>
      </c>
      <c r="T47" s="18">
        <v>79648289</v>
      </c>
      <c r="U47" s="20">
        <v>46020</v>
      </c>
      <c r="V47" s="18" t="str">
        <f t="shared" si="0"/>
        <v>Missing</v>
      </c>
    </row>
    <row r="48" spans="1:43" ht="14.5" customHeight="1" x14ac:dyDescent="0.35">
      <c r="A48" s="15" t="s">
        <v>6677</v>
      </c>
      <c r="B48" s="15" t="s">
        <v>6678</v>
      </c>
      <c r="C48" s="15" t="s">
        <v>358</v>
      </c>
      <c r="D48" s="15" t="s">
        <v>359</v>
      </c>
      <c r="E48" s="15" t="s">
        <v>2</v>
      </c>
      <c r="F48" s="15" t="str">
        <f t="shared" si="1"/>
        <v>Female</v>
      </c>
      <c r="G48" s="15" t="s">
        <v>360</v>
      </c>
      <c r="H48" s="15" t="s">
        <v>361</v>
      </c>
      <c r="I48" s="15">
        <v>47</v>
      </c>
      <c r="J48" s="15">
        <v>47</v>
      </c>
      <c r="K48" s="15" t="s">
        <v>5</v>
      </c>
      <c r="L48" s="15" t="s">
        <v>362</v>
      </c>
      <c r="M48" s="15" t="s">
        <v>363</v>
      </c>
      <c r="N48" s="15" t="s">
        <v>48</v>
      </c>
      <c r="O48" s="15" t="s">
        <v>364</v>
      </c>
      <c r="P48" s="15" t="s">
        <v>365</v>
      </c>
      <c r="Q48" s="22">
        <f t="shared" si="2"/>
        <v>4640000000</v>
      </c>
      <c r="R48" s="15">
        <v>1831.05</v>
      </c>
      <c r="S48" s="16">
        <v>4.87</v>
      </c>
      <c r="T48" s="15">
        <v>136527708</v>
      </c>
      <c r="U48" s="17">
        <v>44098</v>
      </c>
      <c r="V48" s="15" t="str">
        <f t="shared" si="0"/>
        <v>Complete</v>
      </c>
    </row>
    <row r="49" spans="1:22" ht="14.5" customHeight="1" x14ac:dyDescent="0.35">
      <c r="A49" s="18" t="s">
        <v>6679</v>
      </c>
      <c r="B49" s="18" t="s">
        <v>6680</v>
      </c>
      <c r="C49" s="18" t="s">
        <v>366</v>
      </c>
      <c r="D49" s="18" t="s">
        <v>367</v>
      </c>
      <c r="E49" s="18" t="s">
        <v>13</v>
      </c>
      <c r="F49" s="15" t="str">
        <f t="shared" si="1"/>
        <v>Male</v>
      </c>
      <c r="G49" s="18" t="s">
        <v>368</v>
      </c>
      <c r="H49" s="18" t="s">
        <v>369</v>
      </c>
      <c r="I49" s="18">
        <v>48</v>
      </c>
      <c r="J49" s="18">
        <v>48</v>
      </c>
      <c r="K49" s="18" t="s">
        <v>5</v>
      </c>
      <c r="L49" s="18" t="s">
        <v>370</v>
      </c>
      <c r="M49" s="18" t="s">
        <v>371</v>
      </c>
      <c r="N49" s="18" t="s">
        <v>48</v>
      </c>
      <c r="O49" s="18" t="s">
        <v>372</v>
      </c>
      <c r="P49" s="18" t="s">
        <v>373</v>
      </c>
      <c r="Q49" s="22">
        <f t="shared" si="2"/>
        <v>14790000</v>
      </c>
      <c r="R49" s="18">
        <v>1771.36</v>
      </c>
      <c r="S49" s="19">
        <v>-19.86</v>
      </c>
      <c r="T49" s="18">
        <v>102121445</v>
      </c>
      <c r="U49" s="20">
        <v>45828</v>
      </c>
      <c r="V49" s="18" t="str">
        <f t="shared" si="0"/>
        <v>Complete</v>
      </c>
    </row>
    <row r="50" spans="1:22" ht="14.5" customHeight="1" x14ac:dyDescent="0.35">
      <c r="A50" s="15" t="s">
        <v>6681</v>
      </c>
      <c r="B50" s="15" t="s">
        <v>6682</v>
      </c>
      <c r="C50" s="15" t="s">
        <v>374</v>
      </c>
      <c r="D50" s="15" t="s">
        <v>375</v>
      </c>
      <c r="E50" s="15" t="s">
        <v>2</v>
      </c>
      <c r="F50" s="15" t="str">
        <f t="shared" si="1"/>
        <v>Female</v>
      </c>
      <c r="G50" s="15" t="s">
        <v>376</v>
      </c>
      <c r="H50" s="15" t="s">
        <v>377</v>
      </c>
      <c r="I50" s="15">
        <v>49</v>
      </c>
      <c r="J50" s="15">
        <v>49</v>
      </c>
      <c r="K50" s="15" t="s">
        <v>32</v>
      </c>
      <c r="L50" s="15" t="s">
        <v>378</v>
      </c>
      <c r="M50" s="15" t="s">
        <v>379</v>
      </c>
      <c r="N50" s="15" t="s">
        <v>99</v>
      </c>
      <c r="O50" s="15" t="s">
        <v>380</v>
      </c>
      <c r="P50" s="15" t="s">
        <v>381</v>
      </c>
      <c r="Q50" s="22">
        <f t="shared" si="2"/>
        <v>751340000</v>
      </c>
      <c r="R50" s="15">
        <v>882.05</v>
      </c>
      <c r="S50" s="16">
        <v>-0.44</v>
      </c>
      <c r="T50" s="15">
        <v>84604444</v>
      </c>
      <c r="U50" s="17">
        <v>44861</v>
      </c>
      <c r="V50" s="15" t="str">
        <f t="shared" si="0"/>
        <v>Complete</v>
      </c>
    </row>
    <row r="51" spans="1:22" ht="14.5" customHeight="1" x14ac:dyDescent="0.35">
      <c r="A51" s="18" t="s">
        <v>6683</v>
      </c>
      <c r="B51" s="18" t="s">
        <v>6684</v>
      </c>
      <c r="C51" s="18" t="s">
        <v>382</v>
      </c>
      <c r="D51" s="18" t="s">
        <v>383</v>
      </c>
      <c r="E51" s="18" t="s">
        <v>2</v>
      </c>
      <c r="F51" s="15" t="str">
        <f t="shared" si="1"/>
        <v>Female</v>
      </c>
      <c r="G51" s="18" t="s">
        <v>384</v>
      </c>
      <c r="H51" s="18" t="s">
        <v>385</v>
      </c>
      <c r="I51" s="18">
        <v>50</v>
      </c>
      <c r="J51" s="18">
        <v>50</v>
      </c>
      <c r="K51" s="18" t="s">
        <v>32</v>
      </c>
      <c r="L51" s="18" t="s">
        <v>386</v>
      </c>
      <c r="M51" s="18" t="s">
        <v>387</v>
      </c>
      <c r="N51" s="18" t="s">
        <v>8033</v>
      </c>
      <c r="O51" s="18" t="s">
        <v>8033</v>
      </c>
      <c r="P51" s="18" t="s">
        <v>388</v>
      </c>
      <c r="Q51" s="22">
        <f t="shared" si="2"/>
        <v>283890000</v>
      </c>
      <c r="R51" s="18">
        <v>750.55</v>
      </c>
      <c r="S51" s="19">
        <v>-8.9</v>
      </c>
      <c r="T51" s="18">
        <v>143293854</v>
      </c>
      <c r="U51" s="20">
        <v>45560</v>
      </c>
      <c r="V51" s="18" t="str">
        <f t="shared" si="0"/>
        <v>Missing</v>
      </c>
    </row>
    <row r="52" spans="1:22" ht="14.5" customHeight="1" x14ac:dyDescent="0.35">
      <c r="A52" s="15" t="s">
        <v>6685</v>
      </c>
      <c r="B52" s="15" t="s">
        <v>6686</v>
      </c>
      <c r="C52" s="15" t="s">
        <v>389</v>
      </c>
      <c r="D52" s="15" t="s">
        <v>390</v>
      </c>
      <c r="E52" s="15" t="s">
        <v>2</v>
      </c>
      <c r="F52" s="15" t="str">
        <f t="shared" si="1"/>
        <v>Female</v>
      </c>
      <c r="G52" s="15" t="s">
        <v>391</v>
      </c>
      <c r="H52" s="15" t="s">
        <v>392</v>
      </c>
      <c r="I52" s="15">
        <v>51</v>
      </c>
      <c r="J52" s="15">
        <v>51</v>
      </c>
      <c r="K52" s="15" t="s">
        <v>32</v>
      </c>
      <c r="L52" s="15" t="s">
        <v>393</v>
      </c>
      <c r="M52" s="15" t="s">
        <v>394</v>
      </c>
      <c r="N52" s="15" t="s">
        <v>48</v>
      </c>
      <c r="O52" s="15" t="s">
        <v>57</v>
      </c>
      <c r="P52" s="15" t="s">
        <v>8033</v>
      </c>
      <c r="Q52" s="22">
        <f t="shared" si="2"/>
        <v>0</v>
      </c>
      <c r="R52" s="15">
        <v>1403.81</v>
      </c>
      <c r="S52" s="16">
        <v>-9.15</v>
      </c>
      <c r="T52" s="15">
        <v>43382305</v>
      </c>
      <c r="U52" s="17">
        <v>46376</v>
      </c>
      <c r="V52" s="15" t="str">
        <f t="shared" si="0"/>
        <v>Missing</v>
      </c>
    </row>
    <row r="53" spans="1:22" ht="14.5" customHeight="1" x14ac:dyDescent="0.35">
      <c r="A53" s="18" t="s">
        <v>6687</v>
      </c>
      <c r="B53" s="18" t="s">
        <v>6688</v>
      </c>
      <c r="C53" s="18" t="s">
        <v>395</v>
      </c>
      <c r="D53" s="18" t="s">
        <v>396</v>
      </c>
      <c r="E53" s="18" t="s">
        <v>2</v>
      </c>
      <c r="F53" s="15" t="str">
        <f t="shared" si="1"/>
        <v>Female</v>
      </c>
      <c r="G53" s="18" t="s">
        <v>397</v>
      </c>
      <c r="H53" s="18" t="s">
        <v>398</v>
      </c>
      <c r="I53" s="18">
        <v>52</v>
      </c>
      <c r="J53" s="18">
        <v>52</v>
      </c>
      <c r="K53" s="18" t="s">
        <v>32</v>
      </c>
      <c r="L53" s="18" t="s">
        <v>399</v>
      </c>
      <c r="M53" s="18" t="s">
        <v>400</v>
      </c>
      <c r="N53" s="18" t="s">
        <v>142</v>
      </c>
      <c r="O53" s="18" t="s">
        <v>143</v>
      </c>
      <c r="P53" s="18" t="s">
        <v>401</v>
      </c>
      <c r="Q53" s="22">
        <f t="shared" si="2"/>
        <v>22460000</v>
      </c>
      <c r="R53" s="18">
        <v>649.53</v>
      </c>
      <c r="S53" s="19">
        <v>-8.24</v>
      </c>
      <c r="T53" s="18">
        <v>152637868</v>
      </c>
      <c r="U53" s="20">
        <v>45681</v>
      </c>
      <c r="V53" s="18" t="str">
        <f t="shared" si="0"/>
        <v>Complete</v>
      </c>
    </row>
    <row r="54" spans="1:22" ht="14.5" customHeight="1" x14ac:dyDescent="0.35">
      <c r="A54" s="15" t="s">
        <v>6689</v>
      </c>
      <c r="B54" s="15" t="s">
        <v>6690</v>
      </c>
      <c r="C54" s="15" t="s">
        <v>402</v>
      </c>
      <c r="D54" s="15" t="s">
        <v>403</v>
      </c>
      <c r="E54" s="15" t="s">
        <v>2</v>
      </c>
      <c r="F54" s="15" t="str">
        <f t="shared" si="1"/>
        <v>Female</v>
      </c>
      <c r="G54" s="15" t="s">
        <v>404</v>
      </c>
      <c r="H54" s="15" t="s">
        <v>405</v>
      </c>
      <c r="I54" s="15">
        <v>53</v>
      </c>
      <c r="J54" s="15">
        <v>53</v>
      </c>
      <c r="K54" s="15" t="s">
        <v>5</v>
      </c>
      <c r="L54" s="15" t="s">
        <v>406</v>
      </c>
      <c r="M54" s="15" t="s">
        <v>407</v>
      </c>
      <c r="N54" s="15" t="s">
        <v>8033</v>
      </c>
      <c r="O54" s="15" t="s">
        <v>8033</v>
      </c>
      <c r="P54" s="15" t="s">
        <v>408</v>
      </c>
      <c r="Q54" s="22">
        <f t="shared" si="2"/>
        <v>253650000</v>
      </c>
      <c r="R54" s="15">
        <v>986.75</v>
      </c>
      <c r="S54" s="16">
        <v>8.09</v>
      </c>
      <c r="T54" s="15">
        <v>144932302</v>
      </c>
      <c r="U54" s="17">
        <v>45069</v>
      </c>
      <c r="V54" s="15" t="str">
        <f t="shared" si="0"/>
        <v>Missing</v>
      </c>
    </row>
    <row r="55" spans="1:22" ht="14.5" customHeight="1" x14ac:dyDescent="0.35">
      <c r="A55" s="18" t="s">
        <v>6691</v>
      </c>
      <c r="B55" s="18" t="s">
        <v>6692</v>
      </c>
      <c r="C55" s="18" t="s">
        <v>409</v>
      </c>
      <c r="D55" s="18" t="s">
        <v>410</v>
      </c>
      <c r="E55" s="18" t="s">
        <v>61</v>
      </c>
      <c r="F55" s="15" t="str">
        <f t="shared" si="1"/>
        <v>Other</v>
      </c>
      <c r="G55" s="18" t="s">
        <v>411</v>
      </c>
      <c r="H55" s="18" t="s">
        <v>412</v>
      </c>
      <c r="I55" s="18">
        <v>54</v>
      </c>
      <c r="J55" s="18">
        <v>54</v>
      </c>
      <c r="K55" s="18" t="s">
        <v>32</v>
      </c>
      <c r="L55" s="18" t="s">
        <v>413</v>
      </c>
      <c r="M55" s="18" t="s">
        <v>414</v>
      </c>
      <c r="N55" s="18" t="s">
        <v>48</v>
      </c>
      <c r="O55" s="18" t="s">
        <v>415</v>
      </c>
      <c r="P55" s="18" t="s">
        <v>8033</v>
      </c>
      <c r="Q55" s="22">
        <f t="shared" si="2"/>
        <v>0</v>
      </c>
      <c r="R55" s="18">
        <v>1056.47</v>
      </c>
      <c r="S55" s="19">
        <v>11.83</v>
      </c>
      <c r="T55" s="18">
        <v>6056229</v>
      </c>
      <c r="U55" s="20">
        <v>46066</v>
      </c>
      <c r="V55" s="18" t="str">
        <f t="shared" si="0"/>
        <v>Missing</v>
      </c>
    </row>
    <row r="56" spans="1:22" ht="14.5" customHeight="1" x14ac:dyDescent="0.35">
      <c r="A56" s="15" t="s">
        <v>6693</v>
      </c>
      <c r="B56" s="15" t="s">
        <v>6694</v>
      </c>
      <c r="C56" s="15" t="s">
        <v>416</v>
      </c>
      <c r="D56" s="15" t="s">
        <v>417</v>
      </c>
      <c r="E56" s="15" t="s">
        <v>13</v>
      </c>
      <c r="F56" s="15" t="str">
        <f t="shared" si="1"/>
        <v>Male</v>
      </c>
      <c r="G56" s="15" t="s">
        <v>418</v>
      </c>
      <c r="H56" s="15" t="s">
        <v>419</v>
      </c>
      <c r="I56" s="15">
        <v>55</v>
      </c>
      <c r="J56" s="15">
        <v>55</v>
      </c>
      <c r="K56" s="15" t="s">
        <v>5</v>
      </c>
      <c r="L56" s="15" t="s">
        <v>420</v>
      </c>
      <c r="M56" s="15" t="s">
        <v>421</v>
      </c>
      <c r="N56" s="15" t="s">
        <v>66</v>
      </c>
      <c r="O56" s="15" t="s">
        <v>422</v>
      </c>
      <c r="P56" s="15" t="s">
        <v>423</v>
      </c>
      <c r="Q56" s="22">
        <f t="shared" si="2"/>
        <v>690580000</v>
      </c>
      <c r="R56" s="15">
        <v>130.68</v>
      </c>
      <c r="S56" s="16">
        <v>-14.63</v>
      </c>
      <c r="T56" s="15">
        <v>130248022</v>
      </c>
      <c r="U56" s="17">
        <v>45116</v>
      </c>
      <c r="V56" s="15" t="str">
        <f t="shared" si="0"/>
        <v>Complete</v>
      </c>
    </row>
    <row r="57" spans="1:22" ht="14.5" customHeight="1" x14ac:dyDescent="0.35">
      <c r="A57" s="18" t="s">
        <v>6695</v>
      </c>
      <c r="B57" s="18" t="s">
        <v>6696</v>
      </c>
      <c r="C57" s="18" t="s">
        <v>424</v>
      </c>
      <c r="D57" s="18" t="s">
        <v>425</v>
      </c>
      <c r="E57" s="18" t="s">
        <v>2</v>
      </c>
      <c r="F57" s="15" t="str">
        <f t="shared" si="1"/>
        <v>Female</v>
      </c>
      <c r="G57" s="18" t="s">
        <v>426</v>
      </c>
      <c r="H57" s="18" t="s">
        <v>427</v>
      </c>
      <c r="I57" s="18">
        <v>56</v>
      </c>
      <c r="J57" s="18">
        <v>56</v>
      </c>
      <c r="K57" s="18" t="s">
        <v>32</v>
      </c>
      <c r="L57" s="18" t="s">
        <v>428</v>
      </c>
      <c r="M57" s="18" t="s">
        <v>429</v>
      </c>
      <c r="N57" s="18" t="s">
        <v>8033</v>
      </c>
      <c r="O57" s="18" t="s">
        <v>8033</v>
      </c>
      <c r="P57" s="18" t="s">
        <v>8033</v>
      </c>
      <c r="Q57" s="22">
        <f t="shared" si="2"/>
        <v>0</v>
      </c>
      <c r="R57" s="18">
        <v>61.73</v>
      </c>
      <c r="S57" s="19">
        <v>-4.68</v>
      </c>
      <c r="T57" s="18">
        <v>98835364</v>
      </c>
      <c r="U57" s="20">
        <v>44804</v>
      </c>
      <c r="V57" s="18" t="str">
        <f t="shared" si="0"/>
        <v>Missing</v>
      </c>
    </row>
    <row r="58" spans="1:22" ht="14.5" customHeight="1" x14ac:dyDescent="0.35">
      <c r="A58" s="15" t="s">
        <v>6697</v>
      </c>
      <c r="B58" s="15" t="s">
        <v>6698</v>
      </c>
      <c r="C58" s="15" t="s">
        <v>430</v>
      </c>
      <c r="D58" s="15" t="s">
        <v>431</v>
      </c>
      <c r="E58" s="15" t="s">
        <v>13</v>
      </c>
      <c r="F58" s="15" t="str">
        <f t="shared" si="1"/>
        <v>Male</v>
      </c>
      <c r="G58" s="15" t="s">
        <v>432</v>
      </c>
      <c r="H58" s="15" t="s">
        <v>433</v>
      </c>
      <c r="I58" s="15">
        <v>57</v>
      </c>
      <c r="J58" s="15">
        <v>57</v>
      </c>
      <c r="K58" s="15" t="s">
        <v>5</v>
      </c>
      <c r="L58" s="15" t="s">
        <v>434</v>
      </c>
      <c r="M58" s="15" t="s">
        <v>435</v>
      </c>
      <c r="N58" s="15" t="s">
        <v>48</v>
      </c>
      <c r="O58" s="15" t="s">
        <v>204</v>
      </c>
      <c r="P58" s="15" t="s">
        <v>436</v>
      </c>
      <c r="Q58" s="22">
        <f t="shared" si="2"/>
        <v>14980000000</v>
      </c>
      <c r="R58" s="15">
        <v>197.86</v>
      </c>
      <c r="S58" s="16">
        <v>14.86</v>
      </c>
      <c r="T58" s="15">
        <v>2375423</v>
      </c>
      <c r="U58" s="17">
        <v>45375</v>
      </c>
      <c r="V58" s="15" t="str">
        <f t="shared" si="0"/>
        <v>Complete</v>
      </c>
    </row>
    <row r="59" spans="1:22" ht="14.5" customHeight="1" x14ac:dyDescent="0.35">
      <c r="A59" s="18" t="s">
        <v>6699</v>
      </c>
      <c r="B59" s="18" t="s">
        <v>6700</v>
      </c>
      <c r="C59" s="18" t="s">
        <v>437</v>
      </c>
      <c r="D59" s="18" t="s">
        <v>438</v>
      </c>
      <c r="E59" s="18" t="s">
        <v>2</v>
      </c>
      <c r="F59" s="15" t="str">
        <f t="shared" si="1"/>
        <v>Female</v>
      </c>
      <c r="G59" s="18" t="s">
        <v>439</v>
      </c>
      <c r="H59" s="18" t="s">
        <v>440</v>
      </c>
      <c r="I59" s="18">
        <v>58</v>
      </c>
      <c r="J59" s="18">
        <v>58</v>
      </c>
      <c r="K59" s="18" t="s">
        <v>5</v>
      </c>
      <c r="L59" s="18" t="s">
        <v>441</v>
      </c>
      <c r="M59" s="18" t="s">
        <v>442</v>
      </c>
      <c r="N59" s="18" t="s">
        <v>48</v>
      </c>
      <c r="O59" s="18" t="s">
        <v>57</v>
      </c>
      <c r="P59" s="18" t="s">
        <v>443</v>
      </c>
      <c r="Q59" s="22">
        <f t="shared" si="2"/>
        <v>543150000</v>
      </c>
      <c r="R59" s="18">
        <v>1811.05</v>
      </c>
      <c r="S59" s="19">
        <v>-18.079999999999998</v>
      </c>
      <c r="T59" s="18">
        <v>188371461</v>
      </c>
      <c r="U59" s="20">
        <v>44888</v>
      </c>
      <c r="V59" s="18" t="str">
        <f t="shared" si="0"/>
        <v>Complete</v>
      </c>
    </row>
    <row r="60" spans="1:22" ht="14.5" customHeight="1" x14ac:dyDescent="0.35">
      <c r="A60" s="15" t="s">
        <v>6701</v>
      </c>
      <c r="B60" s="15" t="s">
        <v>6702</v>
      </c>
      <c r="C60" s="15" t="s">
        <v>444</v>
      </c>
      <c r="D60" s="15" t="s">
        <v>445</v>
      </c>
      <c r="E60" s="15" t="s">
        <v>13</v>
      </c>
      <c r="F60" s="15" t="str">
        <f t="shared" si="1"/>
        <v>Male</v>
      </c>
      <c r="G60" s="15" t="s">
        <v>446</v>
      </c>
      <c r="H60" s="15" t="s">
        <v>447</v>
      </c>
      <c r="I60" s="15">
        <v>59</v>
      </c>
      <c r="J60" s="15">
        <v>59</v>
      </c>
      <c r="K60" s="15" t="s">
        <v>32</v>
      </c>
      <c r="L60" s="15" t="s">
        <v>448</v>
      </c>
      <c r="M60" s="15" t="s">
        <v>449</v>
      </c>
      <c r="N60" s="15" t="s">
        <v>48</v>
      </c>
      <c r="O60" s="15" t="s">
        <v>364</v>
      </c>
      <c r="P60" s="15" t="s">
        <v>450</v>
      </c>
      <c r="Q60" s="22">
        <f t="shared" si="2"/>
        <v>3910000000</v>
      </c>
      <c r="R60" s="15">
        <v>1010.92</v>
      </c>
      <c r="S60" s="16">
        <v>13.8</v>
      </c>
      <c r="T60" s="15">
        <v>132129358</v>
      </c>
      <c r="U60" s="17">
        <v>45781</v>
      </c>
      <c r="V60" s="15" t="str">
        <f t="shared" si="0"/>
        <v>Complete</v>
      </c>
    </row>
    <row r="61" spans="1:22" ht="14.5" customHeight="1" x14ac:dyDescent="0.35">
      <c r="A61" s="18" t="s">
        <v>6703</v>
      </c>
      <c r="B61" s="18" t="s">
        <v>6704</v>
      </c>
      <c r="C61" s="18" t="s">
        <v>451</v>
      </c>
      <c r="D61" s="18" t="s">
        <v>452</v>
      </c>
      <c r="E61" s="18" t="s">
        <v>13</v>
      </c>
      <c r="F61" s="15" t="str">
        <f t="shared" si="1"/>
        <v>Male</v>
      </c>
      <c r="G61" s="18" t="s">
        <v>453</v>
      </c>
      <c r="H61" s="18" t="s">
        <v>454</v>
      </c>
      <c r="I61" s="18">
        <v>60</v>
      </c>
      <c r="J61" s="18">
        <v>60</v>
      </c>
      <c r="K61" s="18" t="s">
        <v>32</v>
      </c>
      <c r="L61" s="18" t="s">
        <v>455</v>
      </c>
      <c r="M61" s="18" t="s">
        <v>456</v>
      </c>
      <c r="N61" s="18" t="s">
        <v>8033</v>
      </c>
      <c r="O61" s="18" t="s">
        <v>8033</v>
      </c>
      <c r="P61" s="18" t="s">
        <v>457</v>
      </c>
      <c r="Q61" s="22">
        <f t="shared" si="2"/>
        <v>713380000</v>
      </c>
      <c r="R61" s="18">
        <v>1370.52</v>
      </c>
      <c r="S61" s="19">
        <v>-13.4</v>
      </c>
      <c r="T61" s="18">
        <v>60185377</v>
      </c>
      <c r="U61" s="20">
        <v>45860</v>
      </c>
      <c r="V61" s="18" t="str">
        <f t="shared" si="0"/>
        <v>Missing</v>
      </c>
    </row>
    <row r="62" spans="1:22" ht="14.5" customHeight="1" x14ac:dyDescent="0.35">
      <c r="A62" s="15" t="s">
        <v>6705</v>
      </c>
      <c r="B62" s="15" t="s">
        <v>6706</v>
      </c>
      <c r="C62" s="15" t="s">
        <v>458</v>
      </c>
      <c r="D62" s="15" t="s">
        <v>459</v>
      </c>
      <c r="E62" s="15" t="s">
        <v>13</v>
      </c>
      <c r="F62" s="15" t="str">
        <f t="shared" si="1"/>
        <v>Male</v>
      </c>
      <c r="G62" s="15" t="s">
        <v>460</v>
      </c>
      <c r="H62" s="15" t="s">
        <v>461</v>
      </c>
      <c r="I62" s="15">
        <v>61</v>
      </c>
      <c r="J62" s="15">
        <v>61</v>
      </c>
      <c r="K62" s="15" t="s">
        <v>32</v>
      </c>
      <c r="L62" s="15" t="s">
        <v>462</v>
      </c>
      <c r="M62" s="15" t="s">
        <v>463</v>
      </c>
      <c r="N62" s="15" t="s">
        <v>8033</v>
      </c>
      <c r="O62" s="15" t="s">
        <v>8033</v>
      </c>
      <c r="P62" s="15" t="s">
        <v>8033</v>
      </c>
      <c r="Q62" s="22">
        <f t="shared" si="2"/>
        <v>0</v>
      </c>
      <c r="R62" s="15">
        <v>736.92</v>
      </c>
      <c r="S62" s="16">
        <v>-7.52</v>
      </c>
      <c r="T62" s="15">
        <v>173261648</v>
      </c>
      <c r="U62" s="17">
        <v>45323</v>
      </c>
      <c r="V62" s="15" t="str">
        <f t="shared" si="0"/>
        <v>Missing</v>
      </c>
    </row>
    <row r="63" spans="1:22" ht="14.5" customHeight="1" x14ac:dyDescent="0.35">
      <c r="A63" s="18" t="s">
        <v>6707</v>
      </c>
      <c r="B63" s="18" t="s">
        <v>6708</v>
      </c>
      <c r="C63" s="18" t="s">
        <v>464</v>
      </c>
      <c r="D63" s="18" t="s">
        <v>465</v>
      </c>
      <c r="E63" s="18" t="s">
        <v>13</v>
      </c>
      <c r="F63" s="15" t="str">
        <f t="shared" si="1"/>
        <v>Male</v>
      </c>
      <c r="G63" s="18" t="s">
        <v>466</v>
      </c>
      <c r="H63" s="18" t="s">
        <v>467</v>
      </c>
      <c r="I63" s="18">
        <v>62</v>
      </c>
      <c r="J63" s="18">
        <v>62</v>
      </c>
      <c r="K63" s="18" t="s">
        <v>32</v>
      </c>
      <c r="L63" s="18" t="s">
        <v>468</v>
      </c>
      <c r="M63" s="18" t="s">
        <v>469</v>
      </c>
      <c r="N63" s="18" t="s">
        <v>48</v>
      </c>
      <c r="O63" s="18" t="s">
        <v>364</v>
      </c>
      <c r="P63" s="18" t="s">
        <v>470</v>
      </c>
      <c r="Q63" s="22">
        <f t="shared" si="2"/>
        <v>23390000000</v>
      </c>
      <c r="R63" s="18">
        <v>785.18</v>
      </c>
      <c r="S63" s="19">
        <v>9.23</v>
      </c>
      <c r="T63" s="18">
        <v>142169489</v>
      </c>
      <c r="U63" s="20">
        <v>45398</v>
      </c>
      <c r="V63" s="18" t="str">
        <f t="shared" si="0"/>
        <v>Complete</v>
      </c>
    </row>
    <row r="64" spans="1:22" ht="14.5" customHeight="1" x14ac:dyDescent="0.35">
      <c r="A64" s="15" t="s">
        <v>6709</v>
      </c>
      <c r="B64" s="15" t="s">
        <v>6710</v>
      </c>
      <c r="C64" s="15" t="s">
        <v>471</v>
      </c>
      <c r="D64" s="15" t="s">
        <v>472</v>
      </c>
      <c r="E64" s="15" t="s">
        <v>2</v>
      </c>
      <c r="F64" s="15" t="str">
        <f t="shared" si="1"/>
        <v>Female</v>
      </c>
      <c r="G64" s="15" t="s">
        <v>473</v>
      </c>
      <c r="H64" s="15" t="s">
        <v>474</v>
      </c>
      <c r="I64" s="15">
        <v>63</v>
      </c>
      <c r="J64" s="15">
        <v>63</v>
      </c>
      <c r="K64" s="15" t="s">
        <v>5</v>
      </c>
      <c r="L64" s="15" t="s">
        <v>475</v>
      </c>
      <c r="M64" s="15" t="s">
        <v>476</v>
      </c>
      <c r="N64" s="15" t="s">
        <v>48</v>
      </c>
      <c r="O64" s="15" t="s">
        <v>204</v>
      </c>
      <c r="P64" s="15" t="s">
        <v>477</v>
      </c>
      <c r="Q64" s="22">
        <f t="shared" si="2"/>
        <v>126290000</v>
      </c>
      <c r="R64" s="15">
        <v>1676.63</v>
      </c>
      <c r="S64" s="16">
        <v>-3.6</v>
      </c>
      <c r="T64" s="15">
        <v>18557893</v>
      </c>
      <c r="U64" s="17">
        <v>46024</v>
      </c>
      <c r="V64" s="15" t="str">
        <f t="shared" si="0"/>
        <v>Complete</v>
      </c>
    </row>
    <row r="65" spans="1:22" ht="14.5" customHeight="1" x14ac:dyDescent="0.35">
      <c r="A65" s="18" t="s">
        <v>6711</v>
      </c>
      <c r="B65" s="18" t="s">
        <v>6712</v>
      </c>
      <c r="C65" s="18" t="s">
        <v>478</v>
      </c>
      <c r="D65" s="18" t="s">
        <v>479</v>
      </c>
      <c r="E65" s="18" t="s">
        <v>13</v>
      </c>
      <c r="F65" s="15" t="str">
        <f t="shared" si="1"/>
        <v>Male</v>
      </c>
      <c r="G65" s="18" t="s">
        <v>480</v>
      </c>
      <c r="H65" s="18" t="s">
        <v>481</v>
      </c>
      <c r="I65" s="18">
        <v>64</v>
      </c>
      <c r="J65" s="18">
        <v>64</v>
      </c>
      <c r="K65" s="18" t="s">
        <v>5</v>
      </c>
      <c r="L65" s="18" t="s">
        <v>482</v>
      </c>
      <c r="M65" s="18" t="s">
        <v>483</v>
      </c>
      <c r="N65" s="18" t="s">
        <v>48</v>
      </c>
      <c r="O65" s="18" t="s">
        <v>484</v>
      </c>
      <c r="P65" s="18" t="s">
        <v>485</v>
      </c>
      <c r="Q65" s="22">
        <f t="shared" si="2"/>
        <v>174420000</v>
      </c>
      <c r="R65" s="18">
        <v>561.39</v>
      </c>
      <c r="S65" s="19">
        <v>-7.01</v>
      </c>
      <c r="T65" s="18">
        <v>3288981</v>
      </c>
      <c r="U65" s="20">
        <v>45587</v>
      </c>
      <c r="V65" s="18" t="str">
        <f t="shared" si="0"/>
        <v>Complete</v>
      </c>
    </row>
    <row r="66" spans="1:22" ht="14.5" customHeight="1" x14ac:dyDescent="0.35">
      <c r="A66" s="15" t="s">
        <v>6713</v>
      </c>
      <c r="B66" s="15" t="s">
        <v>6674</v>
      </c>
      <c r="C66" s="15" t="s">
        <v>486</v>
      </c>
      <c r="D66" s="15" t="s">
        <v>487</v>
      </c>
      <c r="E66" s="15" t="s">
        <v>13</v>
      </c>
      <c r="F66" s="15" t="str">
        <f t="shared" si="1"/>
        <v>Male</v>
      </c>
      <c r="G66" s="15" t="s">
        <v>488</v>
      </c>
      <c r="H66" s="15" t="s">
        <v>489</v>
      </c>
      <c r="I66" s="15">
        <v>65</v>
      </c>
      <c r="J66" s="15">
        <v>65</v>
      </c>
      <c r="K66" s="15" t="s">
        <v>5</v>
      </c>
      <c r="L66" s="15" t="s">
        <v>490</v>
      </c>
      <c r="M66" s="15" t="s">
        <v>491</v>
      </c>
      <c r="N66" s="15" t="s">
        <v>66</v>
      </c>
      <c r="O66" s="15" t="s">
        <v>492</v>
      </c>
      <c r="P66" s="15" t="s">
        <v>493</v>
      </c>
      <c r="Q66" s="22">
        <f t="shared" si="2"/>
        <v>73170000</v>
      </c>
      <c r="R66" s="15">
        <v>613.75</v>
      </c>
      <c r="S66" s="16">
        <v>-9.98</v>
      </c>
      <c r="T66" s="15">
        <v>126755075</v>
      </c>
      <c r="U66" s="17">
        <v>45237</v>
      </c>
      <c r="V66" s="15" t="str">
        <f t="shared" ref="V66:V129" si="3">IF(OR(N:N="n/a", O:O="n/a", P:P="n/a"), "Missing", "Complete")</f>
        <v>Complete</v>
      </c>
    </row>
    <row r="67" spans="1:22" ht="14.5" customHeight="1" x14ac:dyDescent="0.35">
      <c r="A67" s="18" t="s">
        <v>6714</v>
      </c>
      <c r="B67" s="18" t="s">
        <v>6715</v>
      </c>
      <c r="C67" s="18" t="s">
        <v>494</v>
      </c>
      <c r="D67" s="18" t="s">
        <v>495</v>
      </c>
      <c r="E67" s="18" t="s">
        <v>2</v>
      </c>
      <c r="F67" s="15" t="str">
        <f t="shared" ref="F67:F130" si="4">IF(OR(E67="female", E67="male"), PROPER(E67), "Other")</f>
        <v>Female</v>
      </c>
      <c r="G67" s="18" t="s">
        <v>496</v>
      </c>
      <c r="H67" s="18" t="s">
        <v>497</v>
      </c>
      <c r="I67" s="18">
        <v>66</v>
      </c>
      <c r="J67" s="18">
        <v>66</v>
      </c>
      <c r="K67" s="18" t="s">
        <v>32</v>
      </c>
      <c r="L67" s="18" t="s">
        <v>498</v>
      </c>
      <c r="M67" s="18" t="s">
        <v>337</v>
      </c>
      <c r="N67" s="18" t="s">
        <v>8033</v>
      </c>
      <c r="O67" s="18" t="s">
        <v>8033</v>
      </c>
      <c r="P67" s="18" t="s">
        <v>8033</v>
      </c>
      <c r="Q67" s="22">
        <f t="shared" ref="Q67:Q130" si="5">IF(P67="n/a", 0, IF(RIGHT(P67, 1)="B", VALUE(MID(P67, 2, LEN(P67)-2)*1000000000), VALUE(MID(P67, 2, LEN(P67)-2)*1000000)))</f>
        <v>0</v>
      </c>
      <c r="R67" s="18">
        <v>1023.08</v>
      </c>
      <c r="S67" s="19">
        <v>18.670000000000002</v>
      </c>
      <c r="T67" s="18">
        <v>57346495</v>
      </c>
      <c r="U67" s="20">
        <v>44323</v>
      </c>
      <c r="V67" s="18" t="str">
        <f t="shared" si="3"/>
        <v>Missing</v>
      </c>
    </row>
    <row r="68" spans="1:22" ht="14.5" customHeight="1" x14ac:dyDescent="0.35">
      <c r="A68" s="15" t="s">
        <v>6716</v>
      </c>
      <c r="B68" s="15" t="s">
        <v>6717</v>
      </c>
      <c r="C68" s="15" t="s">
        <v>499</v>
      </c>
      <c r="D68" s="15" t="s">
        <v>500</v>
      </c>
      <c r="E68" s="15" t="s">
        <v>2</v>
      </c>
      <c r="F68" s="15" t="str">
        <f t="shared" si="4"/>
        <v>Female</v>
      </c>
      <c r="G68" s="15" t="s">
        <v>501</v>
      </c>
      <c r="H68" s="15" t="s">
        <v>502</v>
      </c>
      <c r="I68" s="15">
        <v>67</v>
      </c>
      <c r="J68" s="15">
        <v>67</v>
      </c>
      <c r="K68" s="15" t="s">
        <v>32</v>
      </c>
      <c r="L68" s="15" t="s">
        <v>503</v>
      </c>
      <c r="M68" s="15" t="s">
        <v>504</v>
      </c>
      <c r="N68" s="15" t="s">
        <v>142</v>
      </c>
      <c r="O68" s="15" t="s">
        <v>143</v>
      </c>
      <c r="P68" s="15" t="s">
        <v>505</v>
      </c>
      <c r="Q68" s="22">
        <f t="shared" si="5"/>
        <v>441260000</v>
      </c>
      <c r="R68" s="15">
        <v>953.79</v>
      </c>
      <c r="S68" s="16">
        <v>-7</v>
      </c>
      <c r="T68" s="15">
        <v>82271495</v>
      </c>
      <c r="U68" s="17">
        <v>44225</v>
      </c>
      <c r="V68" s="15" t="str">
        <f t="shared" si="3"/>
        <v>Complete</v>
      </c>
    </row>
    <row r="69" spans="1:22" ht="14.5" customHeight="1" x14ac:dyDescent="0.35">
      <c r="A69" s="18" t="s">
        <v>6718</v>
      </c>
      <c r="B69" s="18" t="s">
        <v>6719</v>
      </c>
      <c r="C69" s="18" t="s">
        <v>506</v>
      </c>
      <c r="D69" s="18" t="s">
        <v>507</v>
      </c>
      <c r="E69" s="18" t="s">
        <v>13</v>
      </c>
      <c r="F69" s="15" t="str">
        <f t="shared" si="4"/>
        <v>Male</v>
      </c>
      <c r="G69" s="18" t="s">
        <v>508</v>
      </c>
      <c r="H69" s="18" t="s">
        <v>509</v>
      </c>
      <c r="I69" s="18">
        <v>68</v>
      </c>
      <c r="J69" s="18">
        <v>68</v>
      </c>
      <c r="K69" s="18" t="s">
        <v>32</v>
      </c>
      <c r="L69" s="18" t="s">
        <v>164</v>
      </c>
      <c r="M69" s="18" t="s">
        <v>165</v>
      </c>
      <c r="N69" s="18" t="s">
        <v>8</v>
      </c>
      <c r="O69" s="18" t="s">
        <v>18</v>
      </c>
      <c r="P69" s="18" t="s">
        <v>166</v>
      </c>
      <c r="Q69" s="22">
        <f t="shared" si="5"/>
        <v>43490000000</v>
      </c>
      <c r="R69" s="18">
        <v>75.34</v>
      </c>
      <c r="S69" s="19">
        <v>18.89</v>
      </c>
      <c r="T69" s="18">
        <v>157125033</v>
      </c>
      <c r="U69" s="20">
        <v>44879</v>
      </c>
      <c r="V69" s="18" t="str">
        <f t="shared" si="3"/>
        <v>Complete</v>
      </c>
    </row>
    <row r="70" spans="1:22" ht="14.5" customHeight="1" x14ac:dyDescent="0.35">
      <c r="A70" s="15" t="s">
        <v>6720</v>
      </c>
      <c r="B70" s="15" t="s">
        <v>6721</v>
      </c>
      <c r="C70" s="15" t="s">
        <v>510</v>
      </c>
      <c r="D70" s="15" t="s">
        <v>511</v>
      </c>
      <c r="E70" s="15" t="s">
        <v>13</v>
      </c>
      <c r="F70" s="15" t="str">
        <f t="shared" si="4"/>
        <v>Male</v>
      </c>
      <c r="G70" s="15" t="s">
        <v>512</v>
      </c>
      <c r="H70" s="15" t="s">
        <v>513</v>
      </c>
      <c r="I70" s="15">
        <v>69</v>
      </c>
      <c r="J70" s="15">
        <v>69</v>
      </c>
      <c r="K70" s="15" t="s">
        <v>32</v>
      </c>
      <c r="L70" s="15" t="s">
        <v>514</v>
      </c>
      <c r="M70" s="15" t="s">
        <v>515</v>
      </c>
      <c r="N70" s="15" t="s">
        <v>8033</v>
      </c>
      <c r="O70" s="15" t="s">
        <v>8033</v>
      </c>
      <c r="P70" s="15" t="s">
        <v>8033</v>
      </c>
      <c r="Q70" s="22">
        <f t="shared" si="5"/>
        <v>0</v>
      </c>
      <c r="R70" s="15">
        <v>1389.33</v>
      </c>
      <c r="S70" s="16">
        <v>17.86</v>
      </c>
      <c r="T70" s="15">
        <v>187657309</v>
      </c>
      <c r="U70" s="17">
        <v>44203</v>
      </c>
      <c r="V70" s="15" t="str">
        <f t="shared" si="3"/>
        <v>Missing</v>
      </c>
    </row>
    <row r="71" spans="1:22" ht="14.5" customHeight="1" x14ac:dyDescent="0.35">
      <c r="A71" s="18" t="s">
        <v>6722</v>
      </c>
      <c r="B71" s="18" t="s">
        <v>6723</v>
      </c>
      <c r="C71" s="18" t="s">
        <v>516</v>
      </c>
      <c r="D71" s="18" t="s">
        <v>517</v>
      </c>
      <c r="E71" s="18" t="s">
        <v>13</v>
      </c>
      <c r="F71" s="15" t="str">
        <f t="shared" si="4"/>
        <v>Male</v>
      </c>
      <c r="G71" s="18" t="s">
        <v>518</v>
      </c>
      <c r="H71" s="18" t="s">
        <v>519</v>
      </c>
      <c r="I71" s="18">
        <v>70</v>
      </c>
      <c r="J71" s="18">
        <v>70</v>
      </c>
      <c r="K71" s="18" t="s">
        <v>5</v>
      </c>
      <c r="L71" s="18" t="s">
        <v>520</v>
      </c>
      <c r="M71" s="18" t="s">
        <v>521</v>
      </c>
      <c r="N71" s="18" t="s">
        <v>48</v>
      </c>
      <c r="O71" s="18" t="s">
        <v>57</v>
      </c>
      <c r="P71" s="18" t="s">
        <v>522</v>
      </c>
      <c r="Q71" s="22">
        <f t="shared" si="5"/>
        <v>180400000</v>
      </c>
      <c r="R71" s="18">
        <v>957.53</v>
      </c>
      <c r="S71" s="19">
        <v>-14.32</v>
      </c>
      <c r="T71" s="18">
        <v>45479048</v>
      </c>
      <c r="U71" s="20">
        <v>46235</v>
      </c>
      <c r="V71" s="18" t="str">
        <f t="shared" si="3"/>
        <v>Complete</v>
      </c>
    </row>
    <row r="72" spans="1:22" ht="14.5" customHeight="1" x14ac:dyDescent="0.35">
      <c r="A72" s="15" t="s">
        <v>6724</v>
      </c>
      <c r="B72" s="15" t="s">
        <v>6725</v>
      </c>
      <c r="C72" s="15" t="s">
        <v>523</v>
      </c>
      <c r="D72" s="15" t="s">
        <v>524</v>
      </c>
      <c r="E72" s="15" t="s">
        <v>13</v>
      </c>
      <c r="F72" s="15" t="str">
        <f t="shared" si="4"/>
        <v>Male</v>
      </c>
      <c r="G72" s="15" t="s">
        <v>525</v>
      </c>
      <c r="H72" s="15" t="s">
        <v>526</v>
      </c>
      <c r="I72" s="15">
        <v>71</v>
      </c>
      <c r="J72" s="15">
        <v>71</v>
      </c>
      <c r="K72" s="15" t="s">
        <v>5</v>
      </c>
      <c r="L72" s="15" t="s">
        <v>527</v>
      </c>
      <c r="M72" s="15" t="s">
        <v>528</v>
      </c>
      <c r="N72" s="15" t="s">
        <v>8033</v>
      </c>
      <c r="O72" s="15" t="s">
        <v>8033</v>
      </c>
      <c r="P72" s="15" t="s">
        <v>8033</v>
      </c>
      <c r="Q72" s="22">
        <f t="shared" si="5"/>
        <v>0</v>
      </c>
      <c r="R72" s="15">
        <v>1463.97</v>
      </c>
      <c r="S72" s="16">
        <v>6.08</v>
      </c>
      <c r="T72" s="15">
        <v>171622545</v>
      </c>
      <c r="U72" s="17">
        <v>46275</v>
      </c>
      <c r="V72" s="15" t="str">
        <f t="shared" si="3"/>
        <v>Missing</v>
      </c>
    </row>
    <row r="73" spans="1:22" ht="14.5" customHeight="1" x14ac:dyDescent="0.35">
      <c r="A73" s="18" t="s">
        <v>6726</v>
      </c>
      <c r="B73" s="18" t="s">
        <v>6727</v>
      </c>
      <c r="C73" s="18" t="s">
        <v>529</v>
      </c>
      <c r="D73" s="18" t="s">
        <v>530</v>
      </c>
      <c r="E73" s="18" t="s">
        <v>13</v>
      </c>
      <c r="F73" s="15" t="str">
        <f t="shared" si="4"/>
        <v>Male</v>
      </c>
      <c r="G73" s="18" t="s">
        <v>531</v>
      </c>
      <c r="H73" s="18" t="s">
        <v>532</v>
      </c>
      <c r="I73" s="18">
        <v>72</v>
      </c>
      <c r="J73" s="18">
        <v>72</v>
      </c>
      <c r="K73" s="18" t="s">
        <v>32</v>
      </c>
      <c r="L73" s="18" t="s">
        <v>533</v>
      </c>
      <c r="M73" s="18" t="s">
        <v>534</v>
      </c>
      <c r="N73" s="18" t="s">
        <v>8033</v>
      </c>
      <c r="O73" s="18" t="s">
        <v>8033</v>
      </c>
      <c r="P73" s="18" t="s">
        <v>535</v>
      </c>
      <c r="Q73" s="22">
        <f t="shared" si="5"/>
        <v>156370000</v>
      </c>
      <c r="R73" s="18">
        <v>1301.98</v>
      </c>
      <c r="S73" s="19">
        <v>5.13</v>
      </c>
      <c r="T73" s="18">
        <v>99605384</v>
      </c>
      <c r="U73" s="20">
        <v>45045</v>
      </c>
      <c r="V73" s="18" t="str">
        <f t="shared" si="3"/>
        <v>Missing</v>
      </c>
    </row>
    <row r="74" spans="1:22" ht="14.5" customHeight="1" x14ac:dyDescent="0.35">
      <c r="A74" s="15" t="s">
        <v>6728</v>
      </c>
      <c r="B74" s="15" t="s">
        <v>6729</v>
      </c>
      <c r="C74" s="15" t="s">
        <v>536</v>
      </c>
      <c r="D74" s="15" t="s">
        <v>537</v>
      </c>
      <c r="E74" s="15" t="s">
        <v>2</v>
      </c>
      <c r="F74" s="15" t="str">
        <f t="shared" si="4"/>
        <v>Female</v>
      </c>
      <c r="G74" s="15" t="s">
        <v>538</v>
      </c>
      <c r="H74" s="15" t="s">
        <v>539</v>
      </c>
      <c r="I74" s="15">
        <v>73</v>
      </c>
      <c r="J74" s="15">
        <v>73</v>
      </c>
      <c r="K74" s="15" t="s">
        <v>32</v>
      </c>
      <c r="L74" s="15" t="s">
        <v>540</v>
      </c>
      <c r="M74" s="15" t="s">
        <v>541</v>
      </c>
      <c r="N74" s="15" t="s">
        <v>8033</v>
      </c>
      <c r="O74" s="15" t="s">
        <v>8033</v>
      </c>
      <c r="P74" s="15" t="s">
        <v>8033</v>
      </c>
      <c r="Q74" s="22">
        <f t="shared" si="5"/>
        <v>0</v>
      </c>
      <c r="R74" s="15">
        <v>1975.3</v>
      </c>
      <c r="S74" s="16">
        <v>-6.07</v>
      </c>
      <c r="T74" s="15">
        <v>108921333</v>
      </c>
      <c r="U74" s="17">
        <v>45374</v>
      </c>
      <c r="V74" s="15" t="str">
        <f t="shared" si="3"/>
        <v>Missing</v>
      </c>
    </row>
    <row r="75" spans="1:22" ht="14.5" customHeight="1" x14ac:dyDescent="0.35">
      <c r="A75" s="18" t="s">
        <v>6730</v>
      </c>
      <c r="B75" s="18" t="s">
        <v>6731</v>
      </c>
      <c r="C75" s="18" t="s">
        <v>542</v>
      </c>
      <c r="D75" s="18" t="s">
        <v>543</v>
      </c>
      <c r="E75" s="18" t="s">
        <v>2</v>
      </c>
      <c r="F75" s="15" t="str">
        <f t="shared" si="4"/>
        <v>Female</v>
      </c>
      <c r="G75" s="18" t="s">
        <v>544</v>
      </c>
      <c r="H75" s="18" t="s">
        <v>545</v>
      </c>
      <c r="I75" s="18">
        <v>74</v>
      </c>
      <c r="J75" s="18">
        <v>74</v>
      </c>
      <c r="K75" s="18" t="s">
        <v>5</v>
      </c>
      <c r="L75" s="18" t="s">
        <v>546</v>
      </c>
      <c r="M75" s="18" t="s">
        <v>547</v>
      </c>
      <c r="N75" s="18" t="s">
        <v>8</v>
      </c>
      <c r="O75" s="18" t="s">
        <v>9</v>
      </c>
      <c r="P75" s="18" t="s">
        <v>548</v>
      </c>
      <c r="Q75" s="22">
        <f t="shared" si="5"/>
        <v>345310000</v>
      </c>
      <c r="R75" s="18">
        <v>563.24</v>
      </c>
      <c r="S75" s="19">
        <v>-0.5</v>
      </c>
      <c r="T75" s="18">
        <v>122889349</v>
      </c>
      <c r="U75" s="20">
        <v>44624</v>
      </c>
      <c r="V75" s="18" t="str">
        <f t="shared" si="3"/>
        <v>Complete</v>
      </c>
    </row>
    <row r="76" spans="1:22" ht="14.5" customHeight="1" x14ac:dyDescent="0.35">
      <c r="A76" s="15" t="s">
        <v>6732</v>
      </c>
      <c r="B76" s="15" t="s">
        <v>6733</v>
      </c>
      <c r="C76" s="15" t="s">
        <v>549</v>
      </c>
      <c r="D76" s="15" t="s">
        <v>550</v>
      </c>
      <c r="E76" s="15" t="s">
        <v>2</v>
      </c>
      <c r="F76" s="15" t="str">
        <f t="shared" si="4"/>
        <v>Female</v>
      </c>
      <c r="G76" s="15" t="s">
        <v>551</v>
      </c>
      <c r="H76" s="15" t="s">
        <v>552</v>
      </c>
      <c r="I76" s="15">
        <v>75</v>
      </c>
      <c r="J76" s="15">
        <v>75</v>
      </c>
      <c r="K76" s="15" t="s">
        <v>5</v>
      </c>
      <c r="L76" s="15" t="s">
        <v>553</v>
      </c>
      <c r="M76" s="15" t="s">
        <v>554</v>
      </c>
      <c r="N76" s="15" t="s">
        <v>48</v>
      </c>
      <c r="O76" s="15" t="s">
        <v>57</v>
      </c>
      <c r="P76" s="15" t="s">
        <v>555</v>
      </c>
      <c r="Q76" s="22">
        <f t="shared" si="5"/>
        <v>1940000000</v>
      </c>
      <c r="R76" s="15">
        <v>1136.01</v>
      </c>
      <c r="S76" s="16">
        <v>-1.36</v>
      </c>
      <c r="T76" s="15">
        <v>126397315</v>
      </c>
      <c r="U76" s="17">
        <v>44924</v>
      </c>
      <c r="V76" s="15" t="str">
        <f t="shared" si="3"/>
        <v>Complete</v>
      </c>
    </row>
    <row r="77" spans="1:22" ht="14.5" customHeight="1" x14ac:dyDescent="0.35">
      <c r="A77" s="18" t="s">
        <v>6734</v>
      </c>
      <c r="B77" s="18" t="s">
        <v>6735</v>
      </c>
      <c r="C77" s="18" t="s">
        <v>556</v>
      </c>
      <c r="D77" s="18" t="s">
        <v>557</v>
      </c>
      <c r="E77" s="18" t="s">
        <v>13</v>
      </c>
      <c r="F77" s="15" t="str">
        <f t="shared" si="4"/>
        <v>Male</v>
      </c>
      <c r="G77" s="18" t="s">
        <v>558</v>
      </c>
      <c r="H77" s="18" t="s">
        <v>559</v>
      </c>
      <c r="I77" s="18">
        <v>76</v>
      </c>
      <c r="J77" s="18">
        <v>76</v>
      </c>
      <c r="K77" s="18" t="s">
        <v>32</v>
      </c>
      <c r="L77" s="18" t="s">
        <v>560</v>
      </c>
      <c r="M77" s="18" t="s">
        <v>561</v>
      </c>
      <c r="N77" s="18" t="s">
        <v>90</v>
      </c>
      <c r="O77" s="18" t="s">
        <v>562</v>
      </c>
      <c r="P77" s="18" t="s">
        <v>563</v>
      </c>
      <c r="Q77" s="22">
        <f t="shared" si="5"/>
        <v>34210000</v>
      </c>
      <c r="R77" s="18">
        <v>1916.04</v>
      </c>
      <c r="S77" s="19">
        <v>9.65</v>
      </c>
      <c r="T77" s="18">
        <v>62335111</v>
      </c>
      <c r="U77" s="20">
        <v>43951</v>
      </c>
      <c r="V77" s="18" t="str">
        <f t="shared" si="3"/>
        <v>Complete</v>
      </c>
    </row>
    <row r="78" spans="1:22" ht="14.5" customHeight="1" x14ac:dyDescent="0.35">
      <c r="A78" s="15" t="s">
        <v>6736</v>
      </c>
      <c r="B78" s="15" t="s">
        <v>6737</v>
      </c>
      <c r="C78" s="15" t="s">
        <v>564</v>
      </c>
      <c r="D78" s="15" t="s">
        <v>565</v>
      </c>
      <c r="E78" s="15" t="s">
        <v>2</v>
      </c>
      <c r="F78" s="15" t="str">
        <f t="shared" si="4"/>
        <v>Female</v>
      </c>
      <c r="G78" s="15" t="s">
        <v>566</v>
      </c>
      <c r="H78" s="15" t="s">
        <v>567</v>
      </c>
      <c r="I78" s="15">
        <v>77</v>
      </c>
      <c r="J78" s="15">
        <v>77</v>
      </c>
      <c r="K78" s="15" t="s">
        <v>32</v>
      </c>
      <c r="L78" s="15" t="s">
        <v>568</v>
      </c>
      <c r="M78" s="15" t="s">
        <v>569</v>
      </c>
      <c r="N78" s="15" t="s">
        <v>8033</v>
      </c>
      <c r="O78" s="15" t="s">
        <v>8033</v>
      </c>
      <c r="P78" s="15" t="s">
        <v>8033</v>
      </c>
      <c r="Q78" s="22">
        <f t="shared" si="5"/>
        <v>0</v>
      </c>
      <c r="R78" s="15">
        <v>1968.73</v>
      </c>
      <c r="S78" s="16">
        <v>19.059999999999999</v>
      </c>
      <c r="T78" s="15">
        <v>194101242</v>
      </c>
      <c r="U78" s="17">
        <v>44461</v>
      </c>
      <c r="V78" s="15" t="str">
        <f t="shared" si="3"/>
        <v>Missing</v>
      </c>
    </row>
    <row r="79" spans="1:22" ht="14.5" customHeight="1" x14ac:dyDescent="0.35">
      <c r="A79" s="18" t="s">
        <v>6738</v>
      </c>
      <c r="B79" s="18" t="s">
        <v>6739</v>
      </c>
      <c r="C79" s="18" t="s">
        <v>570</v>
      </c>
      <c r="D79" s="18" t="s">
        <v>571</v>
      </c>
      <c r="E79" s="18" t="s">
        <v>13</v>
      </c>
      <c r="F79" s="15" t="str">
        <f t="shared" si="4"/>
        <v>Male</v>
      </c>
      <c r="G79" s="18" t="s">
        <v>572</v>
      </c>
      <c r="H79" s="18" t="s">
        <v>573</v>
      </c>
      <c r="I79" s="18">
        <v>78</v>
      </c>
      <c r="J79" s="18">
        <v>78</v>
      </c>
      <c r="K79" s="18" t="s">
        <v>32</v>
      </c>
      <c r="L79" s="18" t="s">
        <v>574</v>
      </c>
      <c r="M79" s="18" t="s">
        <v>575</v>
      </c>
      <c r="N79" s="18" t="s">
        <v>8033</v>
      </c>
      <c r="O79" s="18" t="s">
        <v>8033</v>
      </c>
      <c r="P79" s="18" t="s">
        <v>8033</v>
      </c>
      <c r="Q79" s="22">
        <f t="shared" si="5"/>
        <v>0</v>
      </c>
      <c r="R79" s="18">
        <v>1430.46</v>
      </c>
      <c r="S79" s="19">
        <v>-6.23</v>
      </c>
      <c r="T79" s="18">
        <v>16264152</v>
      </c>
      <c r="U79" s="20">
        <v>45761</v>
      </c>
      <c r="V79" s="18" t="str">
        <f t="shared" si="3"/>
        <v>Missing</v>
      </c>
    </row>
    <row r="80" spans="1:22" ht="14.5" customHeight="1" x14ac:dyDescent="0.35">
      <c r="A80" s="15" t="s">
        <v>6740</v>
      </c>
      <c r="B80" s="15" t="s">
        <v>6741</v>
      </c>
      <c r="C80" s="15" t="s">
        <v>576</v>
      </c>
      <c r="D80" s="15" t="s">
        <v>577</v>
      </c>
      <c r="E80" s="15" t="s">
        <v>13</v>
      </c>
      <c r="F80" s="15" t="str">
        <f t="shared" si="4"/>
        <v>Male</v>
      </c>
      <c r="G80" s="15" t="s">
        <v>578</v>
      </c>
      <c r="H80" s="15" t="s">
        <v>579</v>
      </c>
      <c r="I80" s="15">
        <v>79</v>
      </c>
      <c r="J80" s="15">
        <v>79</v>
      </c>
      <c r="K80" s="15" t="s">
        <v>32</v>
      </c>
      <c r="L80" s="15" t="s">
        <v>580</v>
      </c>
      <c r="M80" s="15" t="s">
        <v>357</v>
      </c>
      <c r="N80" s="15" t="s">
        <v>8033</v>
      </c>
      <c r="O80" s="15" t="s">
        <v>8033</v>
      </c>
      <c r="P80" s="15" t="s">
        <v>8033</v>
      </c>
      <c r="Q80" s="22">
        <f t="shared" si="5"/>
        <v>0</v>
      </c>
      <c r="R80" s="15">
        <v>1250.4000000000001</v>
      </c>
      <c r="S80" s="16">
        <v>16.73</v>
      </c>
      <c r="T80" s="15">
        <v>35591014</v>
      </c>
      <c r="U80" s="17">
        <v>46333</v>
      </c>
      <c r="V80" s="15" t="str">
        <f t="shared" si="3"/>
        <v>Missing</v>
      </c>
    </row>
    <row r="81" spans="1:22" ht="14.5" customHeight="1" x14ac:dyDescent="0.35">
      <c r="A81" s="18" t="s">
        <v>6742</v>
      </c>
      <c r="B81" s="18" t="s">
        <v>6743</v>
      </c>
      <c r="C81" s="18" t="s">
        <v>581</v>
      </c>
      <c r="D81" s="18" t="s">
        <v>582</v>
      </c>
      <c r="E81" s="18" t="s">
        <v>13</v>
      </c>
      <c r="F81" s="15" t="str">
        <f t="shared" si="4"/>
        <v>Male</v>
      </c>
      <c r="G81" s="18" t="s">
        <v>583</v>
      </c>
      <c r="H81" s="18" t="s">
        <v>584</v>
      </c>
      <c r="I81" s="18">
        <v>80</v>
      </c>
      <c r="J81" s="18">
        <v>80</v>
      </c>
      <c r="K81" s="18" t="s">
        <v>32</v>
      </c>
      <c r="L81" s="18" t="s">
        <v>585</v>
      </c>
      <c r="M81" s="18" t="s">
        <v>586</v>
      </c>
      <c r="N81" s="18" t="s">
        <v>8033</v>
      </c>
      <c r="O81" s="18" t="s">
        <v>8033</v>
      </c>
      <c r="P81" s="18" t="s">
        <v>8033</v>
      </c>
      <c r="Q81" s="22">
        <f t="shared" si="5"/>
        <v>0</v>
      </c>
      <c r="R81" s="18">
        <v>1370.69</v>
      </c>
      <c r="S81" s="19">
        <v>-0.99</v>
      </c>
      <c r="T81" s="18">
        <v>94442945</v>
      </c>
      <c r="U81" s="20">
        <v>45703</v>
      </c>
      <c r="V81" s="18" t="str">
        <f t="shared" si="3"/>
        <v>Missing</v>
      </c>
    </row>
    <row r="82" spans="1:22" ht="14.5" customHeight="1" x14ac:dyDescent="0.35">
      <c r="A82" s="15" t="s">
        <v>6744</v>
      </c>
      <c r="B82" s="15" t="s">
        <v>6745</v>
      </c>
      <c r="C82" s="15" t="s">
        <v>587</v>
      </c>
      <c r="D82" s="15" t="s">
        <v>588</v>
      </c>
      <c r="E82" s="15" t="s">
        <v>13</v>
      </c>
      <c r="F82" s="15" t="str">
        <f t="shared" si="4"/>
        <v>Male</v>
      </c>
      <c r="G82" s="15" t="s">
        <v>589</v>
      </c>
      <c r="H82" s="15" t="s">
        <v>590</v>
      </c>
      <c r="I82" s="15">
        <v>81</v>
      </c>
      <c r="J82" s="15">
        <v>81</v>
      </c>
      <c r="K82" s="15" t="s">
        <v>32</v>
      </c>
      <c r="L82" s="15" t="s">
        <v>591</v>
      </c>
      <c r="M82" s="15" t="s">
        <v>592</v>
      </c>
      <c r="N82" s="15" t="s">
        <v>117</v>
      </c>
      <c r="O82" s="15" t="s">
        <v>118</v>
      </c>
      <c r="P82" s="15" t="s">
        <v>593</v>
      </c>
      <c r="Q82" s="22">
        <f t="shared" si="5"/>
        <v>1630000000</v>
      </c>
      <c r="R82" s="15">
        <v>1241.76</v>
      </c>
      <c r="S82" s="16">
        <v>-0.04</v>
      </c>
      <c r="T82" s="15">
        <v>62090166</v>
      </c>
      <c r="U82" s="17">
        <v>44832</v>
      </c>
      <c r="V82" s="15" t="str">
        <f t="shared" si="3"/>
        <v>Complete</v>
      </c>
    </row>
    <row r="83" spans="1:22" ht="14.5" customHeight="1" x14ac:dyDescent="0.35">
      <c r="A83" s="18" t="s">
        <v>6746</v>
      </c>
      <c r="B83" s="18" t="s">
        <v>6719</v>
      </c>
      <c r="C83" s="18" t="s">
        <v>594</v>
      </c>
      <c r="D83" s="18" t="s">
        <v>595</v>
      </c>
      <c r="E83" s="18" t="s">
        <v>161</v>
      </c>
      <c r="F83" s="15" t="str">
        <f t="shared" si="4"/>
        <v>Other</v>
      </c>
      <c r="G83" s="18" t="s">
        <v>596</v>
      </c>
      <c r="H83" s="18" t="s">
        <v>597</v>
      </c>
      <c r="I83" s="18">
        <v>82</v>
      </c>
      <c r="J83" s="18">
        <v>82</v>
      </c>
      <c r="K83" s="18" t="s">
        <v>32</v>
      </c>
      <c r="L83" s="18" t="s">
        <v>598</v>
      </c>
      <c r="M83" s="18" t="s">
        <v>599</v>
      </c>
      <c r="N83" s="18" t="s">
        <v>8</v>
      </c>
      <c r="O83" s="18" t="s">
        <v>600</v>
      </c>
      <c r="P83" s="18" t="s">
        <v>601</v>
      </c>
      <c r="Q83" s="22">
        <f t="shared" si="5"/>
        <v>395640000</v>
      </c>
      <c r="R83" s="18">
        <v>1778.93</v>
      </c>
      <c r="S83" s="19">
        <v>-5.26</v>
      </c>
      <c r="T83" s="18">
        <v>85225275</v>
      </c>
      <c r="U83" s="20">
        <v>45573</v>
      </c>
      <c r="V83" s="18" t="str">
        <f t="shared" si="3"/>
        <v>Complete</v>
      </c>
    </row>
    <row r="84" spans="1:22" ht="14.5" customHeight="1" x14ac:dyDescent="0.35">
      <c r="A84" s="15" t="s">
        <v>6747</v>
      </c>
      <c r="B84" s="15" t="s">
        <v>6748</v>
      </c>
      <c r="C84" s="15" t="s">
        <v>602</v>
      </c>
      <c r="D84" s="15" t="s">
        <v>603</v>
      </c>
      <c r="E84" s="15" t="s">
        <v>13</v>
      </c>
      <c r="F84" s="15" t="str">
        <f t="shared" si="4"/>
        <v>Male</v>
      </c>
      <c r="G84" s="15" t="s">
        <v>604</v>
      </c>
      <c r="H84" s="15" t="s">
        <v>605</v>
      </c>
      <c r="I84" s="15">
        <v>83</v>
      </c>
      <c r="J84" s="15">
        <v>83</v>
      </c>
      <c r="K84" s="15" t="s">
        <v>32</v>
      </c>
      <c r="L84" s="15" t="s">
        <v>606</v>
      </c>
      <c r="M84" s="15" t="s">
        <v>133</v>
      </c>
      <c r="N84" s="15" t="s">
        <v>134</v>
      </c>
      <c r="O84" s="15" t="s">
        <v>135</v>
      </c>
      <c r="P84" s="15" t="s">
        <v>8033</v>
      </c>
      <c r="Q84" s="22">
        <f t="shared" si="5"/>
        <v>0</v>
      </c>
      <c r="R84" s="15">
        <v>1455.13</v>
      </c>
      <c r="S84" s="16">
        <v>8.1300000000000008</v>
      </c>
      <c r="T84" s="15">
        <v>198030859</v>
      </c>
      <c r="U84" s="17">
        <v>46374</v>
      </c>
      <c r="V84" s="15" t="str">
        <f t="shared" si="3"/>
        <v>Missing</v>
      </c>
    </row>
    <row r="85" spans="1:22" ht="14.5" customHeight="1" x14ac:dyDescent="0.35">
      <c r="A85" s="18" t="s">
        <v>6749</v>
      </c>
      <c r="B85" s="18" t="s">
        <v>6750</v>
      </c>
      <c r="C85" s="18" t="s">
        <v>607</v>
      </c>
      <c r="D85" s="18" t="s">
        <v>608</v>
      </c>
      <c r="E85" s="18" t="s">
        <v>13</v>
      </c>
      <c r="F85" s="15" t="str">
        <f t="shared" si="4"/>
        <v>Male</v>
      </c>
      <c r="G85" s="18" t="s">
        <v>609</v>
      </c>
      <c r="H85" s="18" t="s">
        <v>610</v>
      </c>
      <c r="I85" s="18">
        <v>84</v>
      </c>
      <c r="J85" s="18">
        <v>84</v>
      </c>
      <c r="K85" s="18" t="s">
        <v>32</v>
      </c>
      <c r="L85" s="18" t="s">
        <v>611</v>
      </c>
      <c r="M85" s="18" t="s">
        <v>612</v>
      </c>
      <c r="N85" s="18" t="s">
        <v>25</v>
      </c>
      <c r="O85" s="18" t="s">
        <v>613</v>
      </c>
      <c r="P85" s="18" t="s">
        <v>614</v>
      </c>
      <c r="Q85" s="22">
        <f t="shared" si="5"/>
        <v>4720000000</v>
      </c>
      <c r="R85" s="18">
        <v>1536.17</v>
      </c>
      <c r="S85" s="19">
        <v>7.55</v>
      </c>
      <c r="T85" s="18">
        <v>21651288</v>
      </c>
      <c r="U85" s="20">
        <v>44313</v>
      </c>
      <c r="V85" s="18" t="str">
        <f t="shared" si="3"/>
        <v>Complete</v>
      </c>
    </row>
    <row r="86" spans="1:22" ht="14.5" customHeight="1" x14ac:dyDescent="0.35">
      <c r="A86" s="15" t="s">
        <v>6751</v>
      </c>
      <c r="B86" s="15" t="s">
        <v>6752</v>
      </c>
      <c r="C86" s="15" t="s">
        <v>615</v>
      </c>
      <c r="D86" s="15" t="s">
        <v>616</v>
      </c>
      <c r="E86" s="15" t="s">
        <v>13</v>
      </c>
      <c r="F86" s="15" t="str">
        <f t="shared" si="4"/>
        <v>Male</v>
      </c>
      <c r="G86" s="15" t="s">
        <v>617</v>
      </c>
      <c r="H86" s="15" t="s">
        <v>618</v>
      </c>
      <c r="I86" s="15">
        <v>85</v>
      </c>
      <c r="J86" s="15">
        <v>85</v>
      </c>
      <c r="K86" s="15" t="s">
        <v>5</v>
      </c>
      <c r="L86" s="15" t="s">
        <v>619</v>
      </c>
      <c r="M86" s="15" t="s">
        <v>620</v>
      </c>
      <c r="N86" s="15" t="s">
        <v>8033</v>
      </c>
      <c r="O86" s="15" t="s">
        <v>8033</v>
      </c>
      <c r="P86" s="15" t="s">
        <v>8033</v>
      </c>
      <c r="Q86" s="22">
        <f t="shared" si="5"/>
        <v>0</v>
      </c>
      <c r="R86" s="15">
        <v>1128.0899999999999</v>
      </c>
      <c r="S86" s="16">
        <v>-7.76</v>
      </c>
      <c r="T86" s="15">
        <v>74481238</v>
      </c>
      <c r="U86" s="17">
        <v>44568</v>
      </c>
      <c r="V86" s="15" t="str">
        <f t="shared" si="3"/>
        <v>Missing</v>
      </c>
    </row>
    <row r="87" spans="1:22" ht="14.5" customHeight="1" x14ac:dyDescent="0.35">
      <c r="A87" s="18" t="s">
        <v>6753</v>
      </c>
      <c r="B87" s="18" t="s">
        <v>6754</v>
      </c>
      <c r="C87" s="18" t="s">
        <v>621</v>
      </c>
      <c r="D87" s="18" t="s">
        <v>622</v>
      </c>
      <c r="E87" s="18" t="s">
        <v>13</v>
      </c>
      <c r="F87" s="15" t="str">
        <f t="shared" si="4"/>
        <v>Male</v>
      </c>
      <c r="G87" s="18" t="s">
        <v>623</v>
      </c>
      <c r="H87" s="18" t="s">
        <v>624</v>
      </c>
      <c r="I87" s="18">
        <v>86</v>
      </c>
      <c r="J87" s="18">
        <v>86</v>
      </c>
      <c r="K87" s="18" t="s">
        <v>32</v>
      </c>
      <c r="L87" s="18" t="s">
        <v>625</v>
      </c>
      <c r="M87" s="18" t="s">
        <v>626</v>
      </c>
      <c r="N87" s="18" t="s">
        <v>142</v>
      </c>
      <c r="O87" s="18" t="s">
        <v>143</v>
      </c>
      <c r="P87" s="18" t="s">
        <v>627</v>
      </c>
      <c r="Q87" s="22">
        <f t="shared" si="5"/>
        <v>2180000000</v>
      </c>
      <c r="R87" s="18">
        <v>188.68</v>
      </c>
      <c r="S87" s="19">
        <v>9.1300000000000008</v>
      </c>
      <c r="T87" s="18">
        <v>32426784</v>
      </c>
      <c r="U87" s="20">
        <v>45436</v>
      </c>
      <c r="V87" s="18" t="str">
        <f t="shared" si="3"/>
        <v>Complete</v>
      </c>
    </row>
    <row r="88" spans="1:22" ht="14.5" customHeight="1" x14ac:dyDescent="0.35">
      <c r="A88" s="15" t="s">
        <v>6755</v>
      </c>
      <c r="B88" s="15" t="s">
        <v>6756</v>
      </c>
      <c r="C88" s="15" t="s">
        <v>628</v>
      </c>
      <c r="D88" s="15" t="s">
        <v>629</v>
      </c>
      <c r="E88" s="15" t="s">
        <v>13</v>
      </c>
      <c r="F88" s="15" t="str">
        <f t="shared" si="4"/>
        <v>Male</v>
      </c>
      <c r="G88" s="15" t="s">
        <v>630</v>
      </c>
      <c r="H88" s="15" t="s">
        <v>631</v>
      </c>
      <c r="I88" s="15">
        <v>87</v>
      </c>
      <c r="J88" s="15">
        <v>87</v>
      </c>
      <c r="K88" s="15" t="s">
        <v>32</v>
      </c>
      <c r="L88" s="15" t="s">
        <v>632</v>
      </c>
      <c r="M88" s="15" t="s">
        <v>633</v>
      </c>
      <c r="N88" s="15" t="s">
        <v>8033</v>
      </c>
      <c r="O88" s="15" t="s">
        <v>8033</v>
      </c>
      <c r="P88" s="15" t="s">
        <v>634</v>
      </c>
      <c r="Q88" s="22">
        <f t="shared" si="5"/>
        <v>184470000</v>
      </c>
      <c r="R88" s="15">
        <v>540.97</v>
      </c>
      <c r="S88" s="16">
        <v>-15.14</v>
      </c>
      <c r="T88" s="15">
        <v>78581562</v>
      </c>
      <c r="U88" s="17">
        <v>45488</v>
      </c>
      <c r="V88" s="15" t="str">
        <f t="shared" si="3"/>
        <v>Missing</v>
      </c>
    </row>
    <row r="89" spans="1:22" ht="14.5" customHeight="1" x14ac:dyDescent="0.35">
      <c r="A89" s="18" t="s">
        <v>6757</v>
      </c>
      <c r="B89" s="18" t="s">
        <v>6758</v>
      </c>
      <c r="C89" s="18" t="s">
        <v>635</v>
      </c>
      <c r="D89" s="18" t="s">
        <v>636</v>
      </c>
      <c r="E89" s="18" t="s">
        <v>2</v>
      </c>
      <c r="F89" s="15" t="str">
        <f t="shared" si="4"/>
        <v>Female</v>
      </c>
      <c r="G89" s="18" t="s">
        <v>637</v>
      </c>
      <c r="H89" s="18" t="s">
        <v>638</v>
      </c>
      <c r="I89" s="18">
        <v>88</v>
      </c>
      <c r="J89" s="18">
        <v>88</v>
      </c>
      <c r="K89" s="18" t="s">
        <v>5</v>
      </c>
      <c r="L89" s="18" t="s">
        <v>639</v>
      </c>
      <c r="M89" s="18" t="s">
        <v>640</v>
      </c>
      <c r="N89" s="18" t="s">
        <v>8</v>
      </c>
      <c r="O89" s="18" t="s">
        <v>18</v>
      </c>
      <c r="P89" s="18" t="s">
        <v>641</v>
      </c>
      <c r="Q89" s="22">
        <f t="shared" si="5"/>
        <v>69130000</v>
      </c>
      <c r="R89" s="18">
        <v>1289.3399999999999</v>
      </c>
      <c r="S89" s="19">
        <v>11.87</v>
      </c>
      <c r="T89" s="18">
        <v>62169079</v>
      </c>
      <c r="U89" s="20">
        <v>44648</v>
      </c>
      <c r="V89" s="18" t="str">
        <f t="shared" si="3"/>
        <v>Complete</v>
      </c>
    </row>
    <row r="90" spans="1:22" ht="14.5" customHeight="1" x14ac:dyDescent="0.35">
      <c r="A90" s="15" t="s">
        <v>6759</v>
      </c>
      <c r="B90" s="15" t="s">
        <v>6760</v>
      </c>
      <c r="C90" s="15" t="s">
        <v>642</v>
      </c>
      <c r="D90" s="15" t="s">
        <v>643</v>
      </c>
      <c r="E90" s="15" t="s">
        <v>2</v>
      </c>
      <c r="F90" s="15" t="str">
        <f t="shared" si="4"/>
        <v>Female</v>
      </c>
      <c r="G90" s="15" t="s">
        <v>644</v>
      </c>
      <c r="H90" s="15" t="s">
        <v>645</v>
      </c>
      <c r="I90" s="15">
        <v>89</v>
      </c>
      <c r="J90" s="15">
        <v>89</v>
      </c>
      <c r="K90" s="15" t="s">
        <v>5</v>
      </c>
      <c r="L90" s="15" t="s">
        <v>646</v>
      </c>
      <c r="M90" s="15" t="s">
        <v>647</v>
      </c>
      <c r="N90" s="15" t="s">
        <v>25</v>
      </c>
      <c r="O90" s="15" t="s">
        <v>344</v>
      </c>
      <c r="P90" s="15" t="s">
        <v>648</v>
      </c>
      <c r="Q90" s="22">
        <f t="shared" si="5"/>
        <v>49220000</v>
      </c>
      <c r="R90" s="15">
        <v>1033.4000000000001</v>
      </c>
      <c r="S90" s="16">
        <v>16.79</v>
      </c>
      <c r="T90" s="15">
        <v>38465455</v>
      </c>
      <c r="U90" s="17">
        <v>45227</v>
      </c>
      <c r="V90" s="15" t="str">
        <f t="shared" si="3"/>
        <v>Complete</v>
      </c>
    </row>
    <row r="91" spans="1:22" ht="14.5" customHeight="1" x14ac:dyDescent="0.35">
      <c r="A91" s="18" t="s">
        <v>6761</v>
      </c>
      <c r="B91" s="18" t="s">
        <v>6762</v>
      </c>
      <c r="C91" s="18" t="s">
        <v>649</v>
      </c>
      <c r="D91" s="18" t="s">
        <v>650</v>
      </c>
      <c r="E91" s="18" t="s">
        <v>2</v>
      </c>
      <c r="F91" s="15" t="str">
        <f t="shared" si="4"/>
        <v>Female</v>
      </c>
      <c r="G91" s="18" t="s">
        <v>651</v>
      </c>
      <c r="H91" s="18" t="s">
        <v>652</v>
      </c>
      <c r="I91" s="18">
        <v>90</v>
      </c>
      <c r="J91" s="18">
        <v>90</v>
      </c>
      <c r="K91" s="18" t="s">
        <v>5</v>
      </c>
      <c r="L91" s="18" t="s">
        <v>653</v>
      </c>
      <c r="M91" s="18" t="s">
        <v>654</v>
      </c>
      <c r="N91" s="18" t="s">
        <v>323</v>
      </c>
      <c r="O91" s="18" t="s">
        <v>135</v>
      </c>
      <c r="P91" s="18" t="s">
        <v>655</v>
      </c>
      <c r="Q91" s="22">
        <f t="shared" si="5"/>
        <v>182940000</v>
      </c>
      <c r="R91" s="18">
        <v>872.08</v>
      </c>
      <c r="S91" s="19">
        <v>9.77</v>
      </c>
      <c r="T91" s="18">
        <v>31234104</v>
      </c>
      <c r="U91" s="20">
        <v>45179</v>
      </c>
      <c r="V91" s="18" t="str">
        <f t="shared" si="3"/>
        <v>Complete</v>
      </c>
    </row>
    <row r="92" spans="1:22" ht="14.5" customHeight="1" x14ac:dyDescent="0.35">
      <c r="A92" s="15" t="s">
        <v>6763</v>
      </c>
      <c r="B92" s="15" t="s">
        <v>6764</v>
      </c>
      <c r="C92" s="15" t="s">
        <v>656</v>
      </c>
      <c r="D92" s="15" t="s">
        <v>657</v>
      </c>
      <c r="E92" s="15" t="s">
        <v>2</v>
      </c>
      <c r="F92" s="15" t="str">
        <f t="shared" si="4"/>
        <v>Female</v>
      </c>
      <c r="G92" s="15" t="s">
        <v>658</v>
      </c>
      <c r="H92" s="15" t="s">
        <v>659</v>
      </c>
      <c r="I92" s="15">
        <v>91</v>
      </c>
      <c r="J92" s="15">
        <v>91</v>
      </c>
      <c r="K92" s="15" t="s">
        <v>32</v>
      </c>
      <c r="L92" s="15" t="s">
        <v>660</v>
      </c>
      <c r="M92" s="15" t="s">
        <v>661</v>
      </c>
      <c r="N92" s="15" t="s">
        <v>90</v>
      </c>
      <c r="O92" s="15" t="s">
        <v>562</v>
      </c>
      <c r="P92" s="15" t="s">
        <v>662</v>
      </c>
      <c r="Q92" s="22">
        <f t="shared" si="5"/>
        <v>1970000000</v>
      </c>
      <c r="R92" s="15">
        <v>497.37</v>
      </c>
      <c r="S92" s="16">
        <v>-4.12</v>
      </c>
      <c r="T92" s="15">
        <v>124374862</v>
      </c>
      <c r="U92" s="17">
        <v>44942</v>
      </c>
      <c r="V92" s="15" t="str">
        <f t="shared" si="3"/>
        <v>Complete</v>
      </c>
    </row>
    <row r="93" spans="1:22" ht="14.5" customHeight="1" x14ac:dyDescent="0.35">
      <c r="A93" s="18" t="s">
        <v>6765</v>
      </c>
      <c r="B93" s="18" t="s">
        <v>6665</v>
      </c>
      <c r="C93" s="18" t="s">
        <v>663</v>
      </c>
      <c r="D93" s="18" t="s">
        <v>664</v>
      </c>
      <c r="E93" s="18" t="s">
        <v>13</v>
      </c>
      <c r="F93" s="15" t="str">
        <f t="shared" si="4"/>
        <v>Male</v>
      </c>
      <c r="G93" s="18" t="s">
        <v>665</v>
      </c>
      <c r="H93" s="18" t="s">
        <v>666</v>
      </c>
      <c r="I93" s="18">
        <v>92</v>
      </c>
      <c r="J93" s="18">
        <v>92</v>
      </c>
      <c r="K93" s="18" t="s">
        <v>32</v>
      </c>
      <c r="L93" s="18" t="s">
        <v>667</v>
      </c>
      <c r="M93" s="18" t="s">
        <v>668</v>
      </c>
      <c r="N93" s="18" t="s">
        <v>48</v>
      </c>
      <c r="O93" s="18" t="s">
        <v>669</v>
      </c>
      <c r="P93" s="18" t="s">
        <v>670</v>
      </c>
      <c r="Q93" s="22">
        <f t="shared" si="5"/>
        <v>4139999999.9999995</v>
      </c>
      <c r="R93" s="18">
        <v>233.08</v>
      </c>
      <c r="S93" s="19">
        <v>-11.03</v>
      </c>
      <c r="T93" s="18">
        <v>4356642</v>
      </c>
      <c r="U93" s="20">
        <v>45064</v>
      </c>
      <c r="V93" s="18" t="str">
        <f t="shared" si="3"/>
        <v>Complete</v>
      </c>
    </row>
    <row r="94" spans="1:22" ht="14.5" customHeight="1" x14ac:dyDescent="0.35">
      <c r="A94" s="15" t="s">
        <v>6766</v>
      </c>
      <c r="B94" s="15" t="s">
        <v>6767</v>
      </c>
      <c r="C94" s="15" t="s">
        <v>671</v>
      </c>
      <c r="D94" s="15" t="s">
        <v>672</v>
      </c>
      <c r="E94" s="15" t="s">
        <v>2</v>
      </c>
      <c r="F94" s="15" t="str">
        <f t="shared" si="4"/>
        <v>Female</v>
      </c>
      <c r="G94" s="15" t="s">
        <v>673</v>
      </c>
      <c r="H94" s="15" t="s">
        <v>674</v>
      </c>
      <c r="I94" s="15">
        <v>93</v>
      </c>
      <c r="J94" s="15">
        <v>93</v>
      </c>
      <c r="K94" s="15" t="s">
        <v>5</v>
      </c>
      <c r="L94" s="15" t="s">
        <v>675</v>
      </c>
      <c r="M94" s="15" t="s">
        <v>676</v>
      </c>
      <c r="N94" s="15" t="s">
        <v>48</v>
      </c>
      <c r="O94" s="15" t="s">
        <v>57</v>
      </c>
      <c r="P94" s="15" t="s">
        <v>677</v>
      </c>
      <c r="Q94" s="22">
        <f t="shared" si="5"/>
        <v>655780000</v>
      </c>
      <c r="R94" s="15">
        <v>573.25</v>
      </c>
      <c r="S94" s="16">
        <v>12.55</v>
      </c>
      <c r="T94" s="15">
        <v>121898054</v>
      </c>
      <c r="U94" s="17">
        <v>46051</v>
      </c>
      <c r="V94" s="15" t="str">
        <f t="shared" si="3"/>
        <v>Complete</v>
      </c>
    </row>
    <row r="95" spans="1:22" ht="14.5" customHeight="1" x14ac:dyDescent="0.35">
      <c r="A95" s="18" t="s">
        <v>6768</v>
      </c>
      <c r="B95" s="18" t="s">
        <v>6613</v>
      </c>
      <c r="C95" s="18" t="s">
        <v>678</v>
      </c>
      <c r="D95" s="18" t="s">
        <v>679</v>
      </c>
      <c r="E95" s="18" t="s">
        <v>13</v>
      </c>
      <c r="F95" s="15" t="str">
        <f t="shared" si="4"/>
        <v>Male</v>
      </c>
      <c r="G95" s="18" t="s">
        <v>680</v>
      </c>
      <c r="H95" s="18" t="s">
        <v>681</v>
      </c>
      <c r="I95" s="18">
        <v>94</v>
      </c>
      <c r="J95" s="18">
        <v>94</v>
      </c>
      <c r="K95" s="18" t="s">
        <v>32</v>
      </c>
      <c r="L95" s="18" t="s">
        <v>682</v>
      </c>
      <c r="M95" s="18" t="s">
        <v>683</v>
      </c>
      <c r="N95" s="18" t="s">
        <v>25</v>
      </c>
      <c r="O95" s="18" t="s">
        <v>684</v>
      </c>
      <c r="P95" s="18" t="s">
        <v>685</v>
      </c>
      <c r="Q95" s="22">
        <f t="shared" si="5"/>
        <v>1920000000</v>
      </c>
      <c r="R95" s="18">
        <v>1020.42</v>
      </c>
      <c r="S95" s="19">
        <v>7.22</v>
      </c>
      <c r="T95" s="18">
        <v>25429401</v>
      </c>
      <c r="U95" s="20">
        <v>45925</v>
      </c>
      <c r="V95" s="18" t="str">
        <f t="shared" si="3"/>
        <v>Complete</v>
      </c>
    </row>
    <row r="96" spans="1:22" ht="14.5" customHeight="1" x14ac:dyDescent="0.35">
      <c r="A96" s="15" t="s">
        <v>6769</v>
      </c>
      <c r="B96" s="15" t="s">
        <v>6770</v>
      </c>
      <c r="C96" s="15" t="s">
        <v>686</v>
      </c>
      <c r="D96" s="15" t="s">
        <v>687</v>
      </c>
      <c r="E96" s="15" t="s">
        <v>13</v>
      </c>
      <c r="F96" s="15" t="str">
        <f t="shared" si="4"/>
        <v>Male</v>
      </c>
      <c r="G96" s="15" t="s">
        <v>688</v>
      </c>
      <c r="H96" s="15" t="s">
        <v>689</v>
      </c>
      <c r="I96" s="15">
        <v>95</v>
      </c>
      <c r="J96" s="15">
        <v>95</v>
      </c>
      <c r="K96" s="15" t="s">
        <v>5</v>
      </c>
      <c r="L96" s="15" t="s">
        <v>690</v>
      </c>
      <c r="M96" s="15" t="s">
        <v>691</v>
      </c>
      <c r="N96" s="15" t="s">
        <v>134</v>
      </c>
      <c r="O96" s="15" t="s">
        <v>135</v>
      </c>
      <c r="P96" s="15" t="s">
        <v>692</v>
      </c>
      <c r="Q96" s="22">
        <f t="shared" si="5"/>
        <v>427400000</v>
      </c>
      <c r="R96" s="15">
        <v>32.270000000000003</v>
      </c>
      <c r="S96" s="16">
        <v>13.11</v>
      </c>
      <c r="T96" s="15">
        <v>26218439</v>
      </c>
      <c r="U96" s="17">
        <v>44301</v>
      </c>
      <c r="V96" s="15" t="str">
        <f t="shared" si="3"/>
        <v>Complete</v>
      </c>
    </row>
    <row r="97" spans="1:22" ht="14.5" customHeight="1" x14ac:dyDescent="0.35">
      <c r="A97" s="18" t="s">
        <v>6771</v>
      </c>
      <c r="B97" s="18" t="s">
        <v>6710</v>
      </c>
      <c r="C97" s="18" t="s">
        <v>693</v>
      </c>
      <c r="D97" s="18" t="s">
        <v>694</v>
      </c>
      <c r="E97" s="18" t="s">
        <v>13</v>
      </c>
      <c r="F97" s="15" t="str">
        <f t="shared" si="4"/>
        <v>Male</v>
      </c>
      <c r="G97" s="18" t="s">
        <v>695</v>
      </c>
      <c r="H97" s="18" t="s">
        <v>696</v>
      </c>
      <c r="I97" s="18">
        <v>96</v>
      </c>
      <c r="J97" s="18">
        <v>96</v>
      </c>
      <c r="K97" s="18" t="s">
        <v>32</v>
      </c>
      <c r="L97" s="18" t="s">
        <v>697</v>
      </c>
      <c r="M97" s="18" t="s">
        <v>698</v>
      </c>
      <c r="N97" s="18" t="s">
        <v>8033</v>
      </c>
      <c r="O97" s="18" t="s">
        <v>8033</v>
      </c>
      <c r="P97" s="18" t="s">
        <v>699</v>
      </c>
      <c r="Q97" s="22">
        <f t="shared" si="5"/>
        <v>133169999.99999999</v>
      </c>
      <c r="R97" s="18">
        <v>447.9</v>
      </c>
      <c r="S97" s="19">
        <v>-8.0299999999999994</v>
      </c>
      <c r="T97" s="18">
        <v>136116150</v>
      </c>
      <c r="U97" s="20">
        <v>44034</v>
      </c>
      <c r="V97" s="18" t="str">
        <f t="shared" si="3"/>
        <v>Missing</v>
      </c>
    </row>
    <row r="98" spans="1:22" ht="14.5" customHeight="1" x14ac:dyDescent="0.35">
      <c r="A98" s="15" t="s">
        <v>6772</v>
      </c>
      <c r="B98" s="15" t="s">
        <v>6773</v>
      </c>
      <c r="C98" s="15" t="s">
        <v>700</v>
      </c>
      <c r="D98" s="15" t="s">
        <v>701</v>
      </c>
      <c r="E98" s="15" t="s">
        <v>2</v>
      </c>
      <c r="F98" s="15" t="str">
        <f t="shared" si="4"/>
        <v>Female</v>
      </c>
      <c r="G98" s="15" t="s">
        <v>702</v>
      </c>
      <c r="H98" s="15" t="s">
        <v>703</v>
      </c>
      <c r="I98" s="15">
        <v>97</v>
      </c>
      <c r="J98" s="15">
        <v>97</v>
      </c>
      <c r="K98" s="15" t="s">
        <v>5</v>
      </c>
      <c r="L98" s="15" t="s">
        <v>704</v>
      </c>
      <c r="M98" s="15" t="s">
        <v>705</v>
      </c>
      <c r="N98" s="15" t="s">
        <v>99</v>
      </c>
      <c r="O98" s="15" t="s">
        <v>109</v>
      </c>
      <c r="P98" s="15" t="s">
        <v>706</v>
      </c>
      <c r="Q98" s="22">
        <f t="shared" si="5"/>
        <v>2830000000</v>
      </c>
      <c r="R98" s="15">
        <v>599.4</v>
      </c>
      <c r="S98" s="16">
        <v>16.170000000000002</v>
      </c>
      <c r="T98" s="15">
        <v>28100951</v>
      </c>
      <c r="U98" s="17">
        <v>44607</v>
      </c>
      <c r="V98" s="15" t="str">
        <f t="shared" si="3"/>
        <v>Complete</v>
      </c>
    </row>
    <row r="99" spans="1:22" ht="14.5" customHeight="1" x14ac:dyDescent="0.35">
      <c r="A99" s="18" t="s">
        <v>6774</v>
      </c>
      <c r="B99" s="18" t="s">
        <v>6775</v>
      </c>
      <c r="C99" s="18" t="s">
        <v>707</v>
      </c>
      <c r="D99" s="18" t="s">
        <v>708</v>
      </c>
      <c r="E99" s="18" t="s">
        <v>2</v>
      </c>
      <c r="F99" s="15" t="str">
        <f t="shared" si="4"/>
        <v>Female</v>
      </c>
      <c r="G99" s="18" t="s">
        <v>709</v>
      </c>
      <c r="H99" s="18" t="s">
        <v>710</v>
      </c>
      <c r="I99" s="18">
        <v>98</v>
      </c>
      <c r="J99" s="18">
        <v>98</v>
      </c>
      <c r="K99" s="18" t="s">
        <v>32</v>
      </c>
      <c r="L99" s="18" t="s">
        <v>711</v>
      </c>
      <c r="M99" s="18" t="s">
        <v>712</v>
      </c>
      <c r="N99" s="18" t="s">
        <v>25</v>
      </c>
      <c r="O99" s="18" t="s">
        <v>344</v>
      </c>
      <c r="P99" s="18" t="s">
        <v>713</v>
      </c>
      <c r="Q99" s="22">
        <f t="shared" si="5"/>
        <v>8050000000.000001</v>
      </c>
      <c r="R99" s="18">
        <v>794.34</v>
      </c>
      <c r="S99" s="19">
        <v>16.86</v>
      </c>
      <c r="T99" s="18">
        <v>149411695</v>
      </c>
      <c r="U99" s="20">
        <v>44596</v>
      </c>
      <c r="V99" s="18" t="str">
        <f t="shared" si="3"/>
        <v>Complete</v>
      </c>
    </row>
    <row r="100" spans="1:22" ht="14.5" customHeight="1" x14ac:dyDescent="0.35">
      <c r="A100" s="15" t="s">
        <v>6776</v>
      </c>
      <c r="B100" s="15" t="s">
        <v>6777</v>
      </c>
      <c r="C100" s="15" t="s">
        <v>714</v>
      </c>
      <c r="D100" s="15" t="s">
        <v>715</v>
      </c>
      <c r="E100" s="15" t="s">
        <v>61</v>
      </c>
      <c r="F100" s="15" t="str">
        <f t="shared" si="4"/>
        <v>Other</v>
      </c>
      <c r="G100" s="15" t="s">
        <v>716</v>
      </c>
      <c r="H100" s="15" t="s">
        <v>717</v>
      </c>
      <c r="I100" s="15">
        <v>99</v>
      </c>
      <c r="J100" s="15">
        <v>99</v>
      </c>
      <c r="K100" s="15" t="s">
        <v>5</v>
      </c>
      <c r="L100" s="15" t="s">
        <v>718</v>
      </c>
      <c r="M100" s="15" t="s">
        <v>719</v>
      </c>
      <c r="N100" s="15" t="s">
        <v>99</v>
      </c>
      <c r="O100" s="15" t="s">
        <v>720</v>
      </c>
      <c r="P100" s="15" t="s">
        <v>721</v>
      </c>
      <c r="Q100" s="22">
        <f t="shared" si="5"/>
        <v>9730000000</v>
      </c>
      <c r="R100" s="15">
        <v>1988.92</v>
      </c>
      <c r="S100" s="16">
        <v>19.670000000000002</v>
      </c>
      <c r="T100" s="15">
        <v>168609941</v>
      </c>
      <c r="U100" s="17">
        <v>44339</v>
      </c>
      <c r="V100" s="15" t="str">
        <f t="shared" si="3"/>
        <v>Complete</v>
      </c>
    </row>
    <row r="101" spans="1:22" ht="14.5" customHeight="1" x14ac:dyDescent="0.35">
      <c r="A101" s="18" t="s">
        <v>6778</v>
      </c>
      <c r="B101" s="18" t="s">
        <v>6665</v>
      </c>
      <c r="C101" s="18" t="s">
        <v>722</v>
      </c>
      <c r="D101" s="18" t="s">
        <v>723</v>
      </c>
      <c r="E101" s="18" t="s">
        <v>2</v>
      </c>
      <c r="F101" s="15" t="str">
        <f t="shared" si="4"/>
        <v>Female</v>
      </c>
      <c r="G101" s="18" t="s">
        <v>724</v>
      </c>
      <c r="H101" s="18" t="s">
        <v>725</v>
      </c>
      <c r="I101" s="18">
        <v>100</v>
      </c>
      <c r="J101" s="18">
        <v>100</v>
      </c>
      <c r="K101" s="18" t="s">
        <v>5</v>
      </c>
      <c r="L101" s="18" t="s">
        <v>726</v>
      </c>
      <c r="M101" s="18" t="s">
        <v>727</v>
      </c>
      <c r="N101" s="18" t="s">
        <v>134</v>
      </c>
      <c r="O101" s="18" t="s">
        <v>728</v>
      </c>
      <c r="P101" s="18" t="s">
        <v>729</v>
      </c>
      <c r="Q101" s="22">
        <f t="shared" si="5"/>
        <v>188850000</v>
      </c>
      <c r="R101" s="18">
        <v>157.22</v>
      </c>
      <c r="S101" s="19">
        <v>-7.62</v>
      </c>
      <c r="T101" s="18">
        <v>129723433</v>
      </c>
      <c r="U101" s="20">
        <v>45196</v>
      </c>
      <c r="V101" s="18" t="str">
        <f t="shared" si="3"/>
        <v>Complete</v>
      </c>
    </row>
    <row r="102" spans="1:22" ht="14.5" customHeight="1" x14ac:dyDescent="0.35">
      <c r="A102" s="15" t="s">
        <v>6779</v>
      </c>
      <c r="B102" s="15" t="s">
        <v>6780</v>
      </c>
      <c r="C102" s="15" t="s">
        <v>730</v>
      </c>
      <c r="D102" s="15" t="s">
        <v>731</v>
      </c>
      <c r="E102" s="15" t="s">
        <v>13</v>
      </c>
      <c r="F102" s="15" t="str">
        <f t="shared" si="4"/>
        <v>Male</v>
      </c>
      <c r="G102" s="15" t="s">
        <v>732</v>
      </c>
      <c r="H102" s="15" t="s">
        <v>733</v>
      </c>
      <c r="I102" s="15">
        <v>101</v>
      </c>
      <c r="J102" s="15">
        <v>101</v>
      </c>
      <c r="K102" s="15" t="s">
        <v>5</v>
      </c>
      <c r="L102" s="15" t="s">
        <v>734</v>
      </c>
      <c r="M102" s="15" t="s">
        <v>735</v>
      </c>
      <c r="N102" s="15" t="s">
        <v>48</v>
      </c>
      <c r="O102" s="15" t="s">
        <v>118</v>
      </c>
      <c r="P102" s="15" t="s">
        <v>8033</v>
      </c>
      <c r="Q102" s="22">
        <f t="shared" si="5"/>
        <v>0</v>
      </c>
      <c r="R102" s="15">
        <v>1219.6500000000001</v>
      </c>
      <c r="S102" s="16">
        <v>9.35</v>
      </c>
      <c r="T102" s="15">
        <v>109620162</v>
      </c>
      <c r="U102" s="17">
        <v>45247</v>
      </c>
      <c r="V102" s="15" t="str">
        <f t="shared" si="3"/>
        <v>Missing</v>
      </c>
    </row>
    <row r="103" spans="1:22" ht="14.5" customHeight="1" x14ac:dyDescent="0.35">
      <c r="A103" s="18" t="s">
        <v>6781</v>
      </c>
      <c r="B103" s="18" t="s">
        <v>6782</v>
      </c>
      <c r="C103" s="18" t="s">
        <v>736</v>
      </c>
      <c r="D103" s="18" t="s">
        <v>737</v>
      </c>
      <c r="E103" s="18" t="s">
        <v>2</v>
      </c>
      <c r="F103" s="15" t="str">
        <f t="shared" si="4"/>
        <v>Female</v>
      </c>
      <c r="G103" s="18" t="s">
        <v>738</v>
      </c>
      <c r="H103" s="18" t="s">
        <v>739</v>
      </c>
      <c r="I103" s="18">
        <v>102</v>
      </c>
      <c r="J103" s="18">
        <v>102</v>
      </c>
      <c r="K103" s="18" t="s">
        <v>32</v>
      </c>
      <c r="L103" s="18" t="s">
        <v>740</v>
      </c>
      <c r="M103" s="18" t="s">
        <v>741</v>
      </c>
      <c r="N103" s="18" t="s">
        <v>8033</v>
      </c>
      <c r="O103" s="18" t="s">
        <v>8033</v>
      </c>
      <c r="P103" s="18" t="s">
        <v>8033</v>
      </c>
      <c r="Q103" s="22">
        <f t="shared" si="5"/>
        <v>0</v>
      </c>
      <c r="R103" s="18">
        <v>127.01</v>
      </c>
      <c r="S103" s="19">
        <v>-2.17</v>
      </c>
      <c r="T103" s="18">
        <v>188106513</v>
      </c>
      <c r="U103" s="20">
        <v>44850</v>
      </c>
      <c r="V103" s="18" t="str">
        <f t="shared" si="3"/>
        <v>Missing</v>
      </c>
    </row>
    <row r="104" spans="1:22" ht="14.5" customHeight="1" x14ac:dyDescent="0.35">
      <c r="A104" s="15" t="s">
        <v>6783</v>
      </c>
      <c r="B104" s="15" t="s">
        <v>6784</v>
      </c>
      <c r="C104" s="15" t="s">
        <v>742</v>
      </c>
      <c r="D104" s="15" t="s">
        <v>743</v>
      </c>
      <c r="E104" s="15" t="s">
        <v>161</v>
      </c>
      <c r="F104" s="15" t="str">
        <f t="shared" si="4"/>
        <v>Other</v>
      </c>
      <c r="G104" s="15" t="s">
        <v>744</v>
      </c>
      <c r="H104" s="15" t="s">
        <v>745</v>
      </c>
      <c r="I104" s="15">
        <v>103</v>
      </c>
      <c r="J104" s="15">
        <v>103</v>
      </c>
      <c r="K104" s="15" t="s">
        <v>5</v>
      </c>
      <c r="L104" s="15" t="s">
        <v>746</v>
      </c>
      <c r="M104" s="15" t="s">
        <v>747</v>
      </c>
      <c r="N104" s="15" t="s">
        <v>134</v>
      </c>
      <c r="O104" s="15" t="s">
        <v>135</v>
      </c>
      <c r="P104" s="15" t="s">
        <v>748</v>
      </c>
      <c r="Q104" s="22">
        <f t="shared" si="5"/>
        <v>51950000000</v>
      </c>
      <c r="R104" s="15">
        <v>1300.58</v>
      </c>
      <c r="S104" s="16">
        <v>-12.57</v>
      </c>
      <c r="T104" s="15">
        <v>1096096</v>
      </c>
      <c r="U104" s="17">
        <v>44307</v>
      </c>
      <c r="V104" s="15" t="str">
        <f t="shared" si="3"/>
        <v>Complete</v>
      </c>
    </row>
    <row r="105" spans="1:22" ht="14.5" customHeight="1" x14ac:dyDescent="0.35">
      <c r="A105" s="18" t="s">
        <v>6785</v>
      </c>
      <c r="B105" s="18" t="s">
        <v>6786</v>
      </c>
      <c r="C105" s="18" t="s">
        <v>749</v>
      </c>
      <c r="D105" s="18" t="s">
        <v>750</v>
      </c>
      <c r="E105" s="18" t="s">
        <v>13</v>
      </c>
      <c r="F105" s="15" t="str">
        <f t="shared" si="4"/>
        <v>Male</v>
      </c>
      <c r="G105" s="18" t="s">
        <v>751</v>
      </c>
      <c r="H105" s="18" t="s">
        <v>752</v>
      </c>
      <c r="I105" s="18">
        <v>104</v>
      </c>
      <c r="J105" s="18">
        <v>104</v>
      </c>
      <c r="K105" s="18" t="s">
        <v>5</v>
      </c>
      <c r="L105" s="18" t="s">
        <v>753</v>
      </c>
      <c r="M105" s="18" t="s">
        <v>754</v>
      </c>
      <c r="N105" s="18" t="s">
        <v>48</v>
      </c>
      <c r="O105" s="18" t="s">
        <v>57</v>
      </c>
      <c r="P105" s="18" t="s">
        <v>755</v>
      </c>
      <c r="Q105" s="22">
        <f t="shared" si="5"/>
        <v>21710000000</v>
      </c>
      <c r="R105" s="18">
        <v>1363.41</v>
      </c>
      <c r="S105" s="19">
        <v>-1.84</v>
      </c>
      <c r="T105" s="18">
        <v>155653743</v>
      </c>
      <c r="U105" s="20">
        <v>45258</v>
      </c>
      <c r="V105" s="18" t="str">
        <f t="shared" si="3"/>
        <v>Complete</v>
      </c>
    </row>
    <row r="106" spans="1:22" ht="14.5" customHeight="1" x14ac:dyDescent="0.35">
      <c r="A106" s="15" t="s">
        <v>6787</v>
      </c>
      <c r="B106" s="15" t="s">
        <v>6788</v>
      </c>
      <c r="C106" s="15" t="s">
        <v>756</v>
      </c>
      <c r="D106" s="15" t="s">
        <v>757</v>
      </c>
      <c r="E106" s="15" t="s">
        <v>13</v>
      </c>
      <c r="F106" s="15" t="str">
        <f t="shared" si="4"/>
        <v>Male</v>
      </c>
      <c r="G106" s="15" t="s">
        <v>758</v>
      </c>
      <c r="H106" s="15" t="s">
        <v>759</v>
      </c>
      <c r="I106" s="15">
        <v>105</v>
      </c>
      <c r="J106" s="15">
        <v>105</v>
      </c>
      <c r="K106" s="15" t="s">
        <v>5</v>
      </c>
      <c r="L106" s="15" t="s">
        <v>760</v>
      </c>
      <c r="M106" s="15" t="s">
        <v>761</v>
      </c>
      <c r="N106" s="15" t="s">
        <v>66</v>
      </c>
      <c r="O106" s="15" t="s">
        <v>762</v>
      </c>
      <c r="P106" s="15" t="s">
        <v>763</v>
      </c>
      <c r="Q106" s="22">
        <f t="shared" si="5"/>
        <v>125850000</v>
      </c>
      <c r="R106" s="15">
        <v>1756.48</v>
      </c>
      <c r="S106" s="16">
        <v>6.85</v>
      </c>
      <c r="T106" s="15">
        <v>49961408</v>
      </c>
      <c r="U106" s="17">
        <v>43942</v>
      </c>
      <c r="V106" s="15" t="str">
        <f t="shared" si="3"/>
        <v>Complete</v>
      </c>
    </row>
    <row r="107" spans="1:22" ht="14.5" customHeight="1" x14ac:dyDescent="0.35">
      <c r="A107" s="18" t="s">
        <v>6789</v>
      </c>
      <c r="B107" s="18" t="s">
        <v>6790</v>
      </c>
      <c r="C107" s="18" t="s">
        <v>764</v>
      </c>
      <c r="D107" s="18" t="s">
        <v>765</v>
      </c>
      <c r="E107" s="18" t="s">
        <v>2</v>
      </c>
      <c r="F107" s="15" t="str">
        <f t="shared" si="4"/>
        <v>Female</v>
      </c>
      <c r="G107" s="18" t="s">
        <v>766</v>
      </c>
      <c r="H107" s="18" t="s">
        <v>767</v>
      </c>
      <c r="I107" s="18">
        <v>106</v>
      </c>
      <c r="J107" s="18">
        <v>106</v>
      </c>
      <c r="K107" s="18" t="s">
        <v>32</v>
      </c>
      <c r="L107" s="18" t="s">
        <v>768</v>
      </c>
      <c r="M107" s="18" t="s">
        <v>769</v>
      </c>
      <c r="N107" s="18" t="s">
        <v>8033</v>
      </c>
      <c r="O107" s="18" t="s">
        <v>8033</v>
      </c>
      <c r="P107" s="18" t="s">
        <v>8033</v>
      </c>
      <c r="Q107" s="22">
        <f t="shared" si="5"/>
        <v>0</v>
      </c>
      <c r="R107" s="18">
        <v>828.02</v>
      </c>
      <c r="S107" s="19">
        <v>-5.55</v>
      </c>
      <c r="T107" s="18">
        <v>34730067</v>
      </c>
      <c r="U107" s="20">
        <v>46060</v>
      </c>
      <c r="V107" s="18" t="str">
        <f t="shared" si="3"/>
        <v>Missing</v>
      </c>
    </row>
    <row r="108" spans="1:22" ht="14.5" customHeight="1" x14ac:dyDescent="0.35">
      <c r="A108" s="15" t="s">
        <v>6791</v>
      </c>
      <c r="B108" s="15" t="s">
        <v>6712</v>
      </c>
      <c r="C108" s="15" t="s">
        <v>770</v>
      </c>
      <c r="D108" s="15" t="s">
        <v>771</v>
      </c>
      <c r="E108" s="15" t="s">
        <v>52</v>
      </c>
      <c r="F108" s="15" t="str">
        <f t="shared" si="4"/>
        <v>Other</v>
      </c>
      <c r="G108" s="15" t="s">
        <v>772</v>
      </c>
      <c r="H108" s="15" t="s">
        <v>773</v>
      </c>
      <c r="I108" s="15">
        <v>107</v>
      </c>
      <c r="J108" s="15">
        <v>107</v>
      </c>
      <c r="K108" s="15" t="s">
        <v>32</v>
      </c>
      <c r="L108" s="15" t="s">
        <v>774</v>
      </c>
      <c r="M108" s="15" t="s">
        <v>775</v>
      </c>
      <c r="N108" s="15" t="s">
        <v>189</v>
      </c>
      <c r="O108" s="15" t="s">
        <v>776</v>
      </c>
      <c r="P108" s="15" t="s">
        <v>777</v>
      </c>
      <c r="Q108" s="22">
        <f t="shared" si="5"/>
        <v>12970000000</v>
      </c>
      <c r="R108" s="15">
        <v>1496.85</v>
      </c>
      <c r="S108" s="16">
        <v>-14.41</v>
      </c>
      <c r="T108" s="15">
        <v>15627245</v>
      </c>
      <c r="U108" s="17">
        <v>44275</v>
      </c>
      <c r="V108" s="15" t="str">
        <f t="shared" si="3"/>
        <v>Complete</v>
      </c>
    </row>
    <row r="109" spans="1:22" ht="14.5" customHeight="1" x14ac:dyDescent="0.35">
      <c r="A109" s="18" t="s">
        <v>6792</v>
      </c>
      <c r="B109" s="18" t="s">
        <v>6793</v>
      </c>
      <c r="C109" s="18" t="s">
        <v>778</v>
      </c>
      <c r="D109" s="18" t="s">
        <v>779</v>
      </c>
      <c r="E109" s="18" t="s">
        <v>2</v>
      </c>
      <c r="F109" s="15" t="str">
        <f t="shared" si="4"/>
        <v>Female</v>
      </c>
      <c r="G109" s="18" t="s">
        <v>780</v>
      </c>
      <c r="H109" s="18" t="s">
        <v>781</v>
      </c>
      <c r="I109" s="18">
        <v>108</v>
      </c>
      <c r="J109" s="18">
        <v>108</v>
      </c>
      <c r="K109" s="18" t="s">
        <v>5</v>
      </c>
      <c r="L109" s="18" t="s">
        <v>782</v>
      </c>
      <c r="M109" s="18" t="s">
        <v>783</v>
      </c>
      <c r="N109" s="18" t="s">
        <v>8</v>
      </c>
      <c r="O109" s="18" t="s">
        <v>784</v>
      </c>
      <c r="P109" s="18" t="s">
        <v>8033</v>
      </c>
      <c r="Q109" s="22">
        <f t="shared" si="5"/>
        <v>0</v>
      </c>
      <c r="R109" s="18">
        <v>236.92</v>
      </c>
      <c r="S109" s="19">
        <v>12.69</v>
      </c>
      <c r="T109" s="18">
        <v>89130586</v>
      </c>
      <c r="U109" s="20">
        <v>46118</v>
      </c>
      <c r="V109" s="18" t="str">
        <f t="shared" si="3"/>
        <v>Missing</v>
      </c>
    </row>
    <row r="110" spans="1:22" ht="14.5" customHeight="1" x14ac:dyDescent="0.35">
      <c r="A110" s="15" t="s">
        <v>6794</v>
      </c>
      <c r="B110" s="15" t="s">
        <v>6795</v>
      </c>
      <c r="C110" s="15" t="s">
        <v>785</v>
      </c>
      <c r="D110" s="15" t="s">
        <v>786</v>
      </c>
      <c r="E110" s="15" t="s">
        <v>13</v>
      </c>
      <c r="F110" s="15" t="str">
        <f t="shared" si="4"/>
        <v>Male</v>
      </c>
      <c r="G110" s="15" t="s">
        <v>787</v>
      </c>
      <c r="H110" s="15" t="s">
        <v>788</v>
      </c>
      <c r="I110" s="15">
        <v>109</v>
      </c>
      <c r="J110" s="15">
        <v>109</v>
      </c>
      <c r="K110" s="15" t="s">
        <v>32</v>
      </c>
      <c r="L110" s="15" t="s">
        <v>789</v>
      </c>
      <c r="M110" s="15" t="s">
        <v>790</v>
      </c>
      <c r="N110" s="15" t="s">
        <v>8033</v>
      </c>
      <c r="O110" s="15" t="s">
        <v>8033</v>
      </c>
      <c r="P110" s="15" t="s">
        <v>791</v>
      </c>
      <c r="Q110" s="22">
        <f t="shared" si="5"/>
        <v>266899999.99999997</v>
      </c>
      <c r="R110" s="15">
        <v>698.93</v>
      </c>
      <c r="S110" s="16">
        <v>-0.68</v>
      </c>
      <c r="T110" s="15">
        <v>126127031</v>
      </c>
      <c r="U110" s="17">
        <v>45178</v>
      </c>
      <c r="V110" s="15" t="str">
        <f t="shared" si="3"/>
        <v>Missing</v>
      </c>
    </row>
    <row r="111" spans="1:22" ht="14.5" customHeight="1" x14ac:dyDescent="0.35">
      <c r="A111" s="18" t="s">
        <v>6796</v>
      </c>
      <c r="B111" s="18" t="s">
        <v>6797</v>
      </c>
      <c r="C111" s="18" t="s">
        <v>792</v>
      </c>
      <c r="D111" s="18" t="s">
        <v>793</v>
      </c>
      <c r="E111" s="18" t="s">
        <v>13</v>
      </c>
      <c r="F111" s="15" t="str">
        <f t="shared" si="4"/>
        <v>Male</v>
      </c>
      <c r="G111" s="18" t="s">
        <v>794</v>
      </c>
      <c r="H111" s="18" t="s">
        <v>795</v>
      </c>
      <c r="I111" s="18">
        <v>110</v>
      </c>
      <c r="J111" s="18">
        <v>110</v>
      </c>
      <c r="K111" s="18" t="s">
        <v>32</v>
      </c>
      <c r="L111" s="18" t="s">
        <v>796</v>
      </c>
      <c r="M111" s="18" t="s">
        <v>797</v>
      </c>
      <c r="N111" s="18" t="s">
        <v>142</v>
      </c>
      <c r="O111" s="18" t="s">
        <v>143</v>
      </c>
      <c r="P111" s="18" t="s">
        <v>798</v>
      </c>
      <c r="Q111" s="22">
        <f t="shared" si="5"/>
        <v>592540000</v>
      </c>
      <c r="R111" s="18">
        <v>589.23</v>
      </c>
      <c r="S111" s="19">
        <v>-0.2</v>
      </c>
      <c r="T111" s="18">
        <v>149528143</v>
      </c>
      <c r="U111" s="20">
        <v>44657</v>
      </c>
      <c r="V111" s="18" t="str">
        <f t="shared" si="3"/>
        <v>Complete</v>
      </c>
    </row>
    <row r="112" spans="1:22" ht="14.5" customHeight="1" x14ac:dyDescent="0.35">
      <c r="A112" s="15" t="s">
        <v>6798</v>
      </c>
      <c r="B112" s="15" t="s">
        <v>6799</v>
      </c>
      <c r="C112" s="15" t="s">
        <v>799</v>
      </c>
      <c r="D112" s="15" t="s">
        <v>800</v>
      </c>
      <c r="E112" s="15" t="s">
        <v>13</v>
      </c>
      <c r="F112" s="15" t="str">
        <f t="shared" si="4"/>
        <v>Male</v>
      </c>
      <c r="G112" s="15" t="s">
        <v>801</v>
      </c>
      <c r="H112" s="15" t="s">
        <v>802</v>
      </c>
      <c r="I112" s="15">
        <v>111</v>
      </c>
      <c r="J112" s="15">
        <v>111</v>
      </c>
      <c r="K112" s="15" t="s">
        <v>5</v>
      </c>
      <c r="L112" s="15" t="s">
        <v>803</v>
      </c>
      <c r="M112" s="15" t="s">
        <v>804</v>
      </c>
      <c r="N112" s="15" t="s">
        <v>323</v>
      </c>
      <c r="O112" s="15" t="s">
        <v>805</v>
      </c>
      <c r="P112" s="15" t="s">
        <v>8033</v>
      </c>
      <c r="Q112" s="22">
        <f t="shared" si="5"/>
        <v>0</v>
      </c>
      <c r="R112" s="15">
        <v>1416.79</v>
      </c>
      <c r="S112" s="16">
        <v>-17</v>
      </c>
      <c r="T112" s="15">
        <v>183913102</v>
      </c>
      <c r="U112" s="17">
        <v>44872</v>
      </c>
      <c r="V112" s="15" t="str">
        <f t="shared" si="3"/>
        <v>Missing</v>
      </c>
    </row>
    <row r="113" spans="1:22" ht="14.5" customHeight="1" x14ac:dyDescent="0.35">
      <c r="A113" s="18" t="s">
        <v>6800</v>
      </c>
      <c r="B113" s="18" t="s">
        <v>6801</v>
      </c>
      <c r="C113" s="18" t="s">
        <v>806</v>
      </c>
      <c r="D113" s="18" t="s">
        <v>807</v>
      </c>
      <c r="E113" s="18" t="s">
        <v>13</v>
      </c>
      <c r="F113" s="15" t="str">
        <f t="shared" si="4"/>
        <v>Male</v>
      </c>
      <c r="G113" s="18" t="s">
        <v>808</v>
      </c>
      <c r="H113" s="18" t="s">
        <v>809</v>
      </c>
      <c r="I113" s="18">
        <v>112</v>
      </c>
      <c r="J113" s="18">
        <v>112</v>
      </c>
      <c r="K113" s="18" t="s">
        <v>32</v>
      </c>
      <c r="L113" s="18" t="s">
        <v>810</v>
      </c>
      <c r="M113" s="18" t="s">
        <v>811</v>
      </c>
      <c r="N113" s="18" t="s">
        <v>8033</v>
      </c>
      <c r="O113" s="18" t="s">
        <v>8033</v>
      </c>
      <c r="P113" s="18" t="s">
        <v>812</v>
      </c>
      <c r="Q113" s="22">
        <f t="shared" si="5"/>
        <v>86580000</v>
      </c>
      <c r="R113" s="18">
        <v>1727.54</v>
      </c>
      <c r="S113" s="19">
        <v>-12.45</v>
      </c>
      <c r="T113" s="18">
        <v>149095583</v>
      </c>
      <c r="U113" s="20">
        <v>46076</v>
      </c>
      <c r="V113" s="18" t="str">
        <f t="shared" si="3"/>
        <v>Missing</v>
      </c>
    </row>
    <row r="114" spans="1:22" ht="14.5" customHeight="1" x14ac:dyDescent="0.35">
      <c r="A114" s="15" t="s">
        <v>6802</v>
      </c>
      <c r="B114" s="15" t="s">
        <v>6803</v>
      </c>
      <c r="C114" s="15" t="s">
        <v>813</v>
      </c>
      <c r="D114" s="15" t="s">
        <v>814</v>
      </c>
      <c r="E114" s="15" t="s">
        <v>13</v>
      </c>
      <c r="F114" s="15" t="str">
        <f t="shared" si="4"/>
        <v>Male</v>
      </c>
      <c r="G114" s="15" t="s">
        <v>815</v>
      </c>
      <c r="H114" s="15" t="s">
        <v>816</v>
      </c>
      <c r="I114" s="15">
        <v>113</v>
      </c>
      <c r="J114" s="15">
        <v>113</v>
      </c>
      <c r="K114" s="15" t="s">
        <v>32</v>
      </c>
      <c r="L114" s="15" t="s">
        <v>817</v>
      </c>
      <c r="M114" s="15" t="s">
        <v>818</v>
      </c>
      <c r="N114" s="15" t="s">
        <v>25</v>
      </c>
      <c r="O114" s="15" t="s">
        <v>613</v>
      </c>
      <c r="P114" s="15" t="s">
        <v>819</v>
      </c>
      <c r="Q114" s="22">
        <f t="shared" si="5"/>
        <v>11650000000</v>
      </c>
      <c r="R114" s="15">
        <v>1034.51</v>
      </c>
      <c r="S114" s="16">
        <v>-4.7</v>
      </c>
      <c r="T114" s="15">
        <v>143392427</v>
      </c>
      <c r="U114" s="17">
        <v>44040</v>
      </c>
      <c r="V114" s="15" t="str">
        <f t="shared" si="3"/>
        <v>Complete</v>
      </c>
    </row>
    <row r="115" spans="1:22" ht="14.5" customHeight="1" x14ac:dyDescent="0.35">
      <c r="A115" s="18" t="s">
        <v>6804</v>
      </c>
      <c r="B115" s="18" t="s">
        <v>6805</v>
      </c>
      <c r="C115" s="18" t="s">
        <v>820</v>
      </c>
      <c r="D115" s="18" t="s">
        <v>821</v>
      </c>
      <c r="E115" s="18" t="s">
        <v>13</v>
      </c>
      <c r="F115" s="15" t="str">
        <f t="shared" si="4"/>
        <v>Male</v>
      </c>
      <c r="G115" s="18" t="s">
        <v>822</v>
      </c>
      <c r="H115" s="18" t="s">
        <v>823</v>
      </c>
      <c r="I115" s="18">
        <v>114</v>
      </c>
      <c r="J115" s="18">
        <v>114</v>
      </c>
      <c r="K115" s="18" t="s">
        <v>32</v>
      </c>
      <c r="L115" s="18" t="s">
        <v>824</v>
      </c>
      <c r="M115" s="18" t="s">
        <v>825</v>
      </c>
      <c r="N115" s="18" t="s">
        <v>99</v>
      </c>
      <c r="O115" s="18" t="s">
        <v>285</v>
      </c>
      <c r="P115" s="18" t="s">
        <v>826</v>
      </c>
      <c r="Q115" s="22">
        <f t="shared" si="5"/>
        <v>4820000000</v>
      </c>
      <c r="R115" s="18">
        <v>102.89</v>
      </c>
      <c r="S115" s="19">
        <v>-9.7100000000000009</v>
      </c>
      <c r="T115" s="18">
        <v>48554099</v>
      </c>
      <c r="U115" s="20">
        <v>45231</v>
      </c>
      <c r="V115" s="18" t="str">
        <f t="shared" si="3"/>
        <v>Complete</v>
      </c>
    </row>
    <row r="116" spans="1:22" ht="14.5" customHeight="1" x14ac:dyDescent="0.35">
      <c r="A116" s="15" t="s">
        <v>6806</v>
      </c>
      <c r="B116" s="15" t="s">
        <v>6807</v>
      </c>
      <c r="C116" s="15" t="s">
        <v>827</v>
      </c>
      <c r="D116" s="15" t="s">
        <v>828</v>
      </c>
      <c r="E116" s="15" t="s">
        <v>2</v>
      </c>
      <c r="F116" s="15" t="str">
        <f t="shared" si="4"/>
        <v>Female</v>
      </c>
      <c r="G116" s="15" t="s">
        <v>829</v>
      </c>
      <c r="H116" s="15" t="s">
        <v>830</v>
      </c>
      <c r="I116" s="15">
        <v>115</v>
      </c>
      <c r="J116" s="15">
        <v>115</v>
      </c>
      <c r="K116" s="15" t="s">
        <v>32</v>
      </c>
      <c r="L116" s="15" t="s">
        <v>831</v>
      </c>
      <c r="M116" s="15" t="s">
        <v>832</v>
      </c>
      <c r="N116" s="15" t="s">
        <v>8033</v>
      </c>
      <c r="O116" s="15" t="s">
        <v>8033</v>
      </c>
      <c r="P116" s="15" t="s">
        <v>833</v>
      </c>
      <c r="Q116" s="22">
        <f t="shared" si="5"/>
        <v>888390000</v>
      </c>
      <c r="R116" s="15">
        <v>746.37</v>
      </c>
      <c r="S116" s="16">
        <v>-11.33</v>
      </c>
      <c r="T116" s="15">
        <v>2828427</v>
      </c>
      <c r="U116" s="17">
        <v>44118</v>
      </c>
      <c r="V116" s="15" t="str">
        <f t="shared" si="3"/>
        <v>Missing</v>
      </c>
    </row>
    <row r="117" spans="1:22" ht="14.5" customHeight="1" x14ac:dyDescent="0.35">
      <c r="A117" s="18" t="s">
        <v>6808</v>
      </c>
      <c r="B117" s="18" t="s">
        <v>6809</v>
      </c>
      <c r="C117" s="18" t="s">
        <v>834</v>
      </c>
      <c r="D117" s="18" t="s">
        <v>835</v>
      </c>
      <c r="E117" s="18" t="s">
        <v>13</v>
      </c>
      <c r="F117" s="15" t="str">
        <f t="shared" si="4"/>
        <v>Male</v>
      </c>
      <c r="G117" s="18" t="s">
        <v>836</v>
      </c>
      <c r="H117" s="18" t="s">
        <v>837</v>
      </c>
      <c r="I117" s="18">
        <v>116</v>
      </c>
      <c r="J117" s="18">
        <v>116</v>
      </c>
      <c r="K117" s="18" t="s">
        <v>5</v>
      </c>
      <c r="L117" s="18" t="s">
        <v>838</v>
      </c>
      <c r="M117" s="18" t="s">
        <v>839</v>
      </c>
      <c r="N117" s="18" t="s">
        <v>8</v>
      </c>
      <c r="O117" s="18" t="s">
        <v>840</v>
      </c>
      <c r="P117" s="18" t="s">
        <v>841</v>
      </c>
      <c r="Q117" s="22">
        <f t="shared" si="5"/>
        <v>55380000</v>
      </c>
      <c r="R117" s="18">
        <v>557.53</v>
      </c>
      <c r="S117" s="19">
        <v>19.899999999999999</v>
      </c>
      <c r="T117" s="18">
        <v>37183396</v>
      </c>
      <c r="U117" s="20">
        <v>45515</v>
      </c>
      <c r="V117" s="18" t="str">
        <f t="shared" si="3"/>
        <v>Complete</v>
      </c>
    </row>
    <row r="118" spans="1:22" ht="14.5" customHeight="1" x14ac:dyDescent="0.35">
      <c r="A118" s="15" t="s">
        <v>6810</v>
      </c>
      <c r="B118" s="15" t="s">
        <v>6811</v>
      </c>
      <c r="C118" s="15" t="s">
        <v>842</v>
      </c>
      <c r="D118" s="15" t="s">
        <v>843</v>
      </c>
      <c r="E118" s="15" t="s">
        <v>13</v>
      </c>
      <c r="F118" s="15" t="str">
        <f t="shared" si="4"/>
        <v>Male</v>
      </c>
      <c r="G118" s="15" t="s">
        <v>844</v>
      </c>
      <c r="H118" s="15" t="s">
        <v>845</v>
      </c>
      <c r="I118" s="15">
        <v>117</v>
      </c>
      <c r="J118" s="15">
        <v>117</v>
      </c>
      <c r="K118" s="15" t="s">
        <v>5</v>
      </c>
      <c r="L118" s="15" t="s">
        <v>846</v>
      </c>
      <c r="M118" s="15" t="s">
        <v>847</v>
      </c>
      <c r="N118" s="15" t="s">
        <v>117</v>
      </c>
      <c r="O118" s="15" t="s">
        <v>118</v>
      </c>
      <c r="P118" s="15" t="s">
        <v>848</v>
      </c>
      <c r="Q118" s="22">
        <f t="shared" si="5"/>
        <v>288200000</v>
      </c>
      <c r="R118" s="15">
        <v>47.28</v>
      </c>
      <c r="S118" s="16">
        <v>18.649999999999999</v>
      </c>
      <c r="T118" s="15">
        <v>80058295</v>
      </c>
      <c r="U118" s="17">
        <v>44493</v>
      </c>
      <c r="V118" s="15" t="str">
        <f t="shared" si="3"/>
        <v>Complete</v>
      </c>
    </row>
    <row r="119" spans="1:22" ht="14.5" customHeight="1" x14ac:dyDescent="0.35">
      <c r="A119" s="18" t="s">
        <v>6812</v>
      </c>
      <c r="B119" s="18" t="s">
        <v>6674</v>
      </c>
      <c r="C119" s="18" t="s">
        <v>849</v>
      </c>
      <c r="D119" s="18" t="s">
        <v>850</v>
      </c>
      <c r="E119" s="18" t="s">
        <v>13</v>
      </c>
      <c r="F119" s="15" t="str">
        <f t="shared" si="4"/>
        <v>Male</v>
      </c>
      <c r="G119" s="18" t="s">
        <v>851</v>
      </c>
      <c r="H119" s="18" t="s">
        <v>852</v>
      </c>
      <c r="I119" s="18">
        <v>118</v>
      </c>
      <c r="J119" s="18">
        <v>118</v>
      </c>
      <c r="K119" s="18" t="s">
        <v>5</v>
      </c>
      <c r="L119" s="18" t="s">
        <v>853</v>
      </c>
      <c r="M119" s="18" t="s">
        <v>854</v>
      </c>
      <c r="N119" s="18" t="s">
        <v>117</v>
      </c>
      <c r="O119" s="18" t="s">
        <v>118</v>
      </c>
      <c r="P119" s="18" t="s">
        <v>855</v>
      </c>
      <c r="Q119" s="22">
        <f t="shared" si="5"/>
        <v>3070000000</v>
      </c>
      <c r="R119" s="18">
        <v>850.36</v>
      </c>
      <c r="S119" s="19">
        <v>-3.83</v>
      </c>
      <c r="T119" s="18">
        <v>48593368</v>
      </c>
      <c r="U119" s="20">
        <v>45778</v>
      </c>
      <c r="V119" s="18" t="str">
        <f t="shared" si="3"/>
        <v>Complete</v>
      </c>
    </row>
    <row r="120" spans="1:22" ht="14.5" customHeight="1" x14ac:dyDescent="0.35">
      <c r="A120" s="15" t="s">
        <v>6813</v>
      </c>
      <c r="B120" s="15" t="s">
        <v>6773</v>
      </c>
      <c r="C120" s="15" t="s">
        <v>856</v>
      </c>
      <c r="D120" s="15" t="s">
        <v>857</v>
      </c>
      <c r="E120" s="15" t="s">
        <v>13</v>
      </c>
      <c r="F120" s="15" t="str">
        <f t="shared" si="4"/>
        <v>Male</v>
      </c>
      <c r="G120" s="15" t="s">
        <v>858</v>
      </c>
      <c r="H120" s="15" t="s">
        <v>859</v>
      </c>
      <c r="I120" s="15">
        <v>119</v>
      </c>
      <c r="J120" s="15">
        <v>119</v>
      </c>
      <c r="K120" s="15" t="s">
        <v>5</v>
      </c>
      <c r="L120" s="15" t="s">
        <v>860</v>
      </c>
      <c r="M120" s="15" t="s">
        <v>861</v>
      </c>
      <c r="N120" s="15" t="s">
        <v>8</v>
      </c>
      <c r="O120" s="15" t="s">
        <v>9</v>
      </c>
      <c r="P120" s="15" t="s">
        <v>862</v>
      </c>
      <c r="Q120" s="22">
        <f t="shared" si="5"/>
        <v>574740000</v>
      </c>
      <c r="R120" s="15">
        <v>629.96</v>
      </c>
      <c r="S120" s="16">
        <v>-2.3199999999999998</v>
      </c>
      <c r="T120" s="15">
        <v>188531613</v>
      </c>
      <c r="U120" s="17">
        <v>44965</v>
      </c>
      <c r="V120" s="15" t="str">
        <f t="shared" si="3"/>
        <v>Complete</v>
      </c>
    </row>
    <row r="121" spans="1:22" ht="14.5" customHeight="1" x14ac:dyDescent="0.35">
      <c r="A121" s="18" t="s">
        <v>6814</v>
      </c>
      <c r="B121" s="18" t="s">
        <v>6815</v>
      </c>
      <c r="C121" s="18" t="s">
        <v>50</v>
      </c>
      <c r="D121" s="18" t="s">
        <v>863</v>
      </c>
      <c r="E121" s="18" t="s">
        <v>13</v>
      </c>
      <c r="F121" s="15" t="str">
        <f t="shared" si="4"/>
        <v>Male</v>
      </c>
      <c r="G121" s="18" t="s">
        <v>864</v>
      </c>
      <c r="H121" s="18" t="s">
        <v>865</v>
      </c>
      <c r="I121" s="18">
        <v>120</v>
      </c>
      <c r="J121" s="18">
        <v>120</v>
      </c>
      <c r="K121" s="18" t="s">
        <v>5</v>
      </c>
      <c r="L121" s="18" t="s">
        <v>866</v>
      </c>
      <c r="M121" s="18" t="s">
        <v>867</v>
      </c>
      <c r="N121" s="18" t="s">
        <v>48</v>
      </c>
      <c r="O121" s="18" t="s">
        <v>57</v>
      </c>
      <c r="P121" s="18" t="s">
        <v>868</v>
      </c>
      <c r="Q121" s="22">
        <f t="shared" si="5"/>
        <v>200830000</v>
      </c>
      <c r="R121" s="18">
        <v>78.489999999999995</v>
      </c>
      <c r="S121" s="19">
        <v>-18.829999999999998</v>
      </c>
      <c r="T121" s="18">
        <v>170086056</v>
      </c>
      <c r="U121" s="20">
        <v>44843</v>
      </c>
      <c r="V121" s="18" t="str">
        <f t="shared" si="3"/>
        <v>Complete</v>
      </c>
    </row>
    <row r="122" spans="1:22" ht="14.5" customHeight="1" x14ac:dyDescent="0.35">
      <c r="A122" s="15" t="s">
        <v>6816</v>
      </c>
      <c r="B122" s="15" t="s">
        <v>6817</v>
      </c>
      <c r="C122" s="15" t="s">
        <v>869</v>
      </c>
      <c r="D122" s="15" t="s">
        <v>870</v>
      </c>
      <c r="E122" s="15" t="s">
        <v>2</v>
      </c>
      <c r="F122" s="15" t="str">
        <f t="shared" si="4"/>
        <v>Female</v>
      </c>
      <c r="G122" s="15" t="s">
        <v>871</v>
      </c>
      <c r="H122" s="15" t="s">
        <v>872</v>
      </c>
      <c r="I122" s="15">
        <v>121</v>
      </c>
      <c r="J122" s="15">
        <v>121</v>
      </c>
      <c r="K122" s="15" t="s">
        <v>32</v>
      </c>
      <c r="L122" s="15" t="s">
        <v>873</v>
      </c>
      <c r="M122" s="15" t="s">
        <v>874</v>
      </c>
      <c r="N122" s="15" t="s">
        <v>8033</v>
      </c>
      <c r="O122" s="15" t="s">
        <v>8033</v>
      </c>
      <c r="P122" s="15" t="s">
        <v>8033</v>
      </c>
      <c r="Q122" s="22">
        <f t="shared" si="5"/>
        <v>0</v>
      </c>
      <c r="R122" s="15">
        <v>753.6</v>
      </c>
      <c r="S122" s="16">
        <v>-2.2599999999999998</v>
      </c>
      <c r="T122" s="15">
        <v>179370937</v>
      </c>
      <c r="U122" s="17">
        <v>45416</v>
      </c>
      <c r="V122" s="15" t="str">
        <f t="shared" si="3"/>
        <v>Missing</v>
      </c>
    </row>
    <row r="123" spans="1:22" ht="14.5" customHeight="1" x14ac:dyDescent="0.35">
      <c r="A123" s="18" t="s">
        <v>6818</v>
      </c>
      <c r="B123" s="18" t="s">
        <v>6819</v>
      </c>
      <c r="C123" s="18" t="s">
        <v>875</v>
      </c>
      <c r="D123" s="18" t="s">
        <v>876</v>
      </c>
      <c r="E123" s="18" t="s">
        <v>2</v>
      </c>
      <c r="F123" s="15" t="str">
        <f t="shared" si="4"/>
        <v>Female</v>
      </c>
      <c r="G123" s="18" t="s">
        <v>877</v>
      </c>
      <c r="H123" s="18" t="s">
        <v>878</v>
      </c>
      <c r="I123" s="18">
        <v>122</v>
      </c>
      <c r="J123" s="18">
        <v>122</v>
      </c>
      <c r="K123" s="18" t="s">
        <v>5</v>
      </c>
      <c r="L123" s="18" t="s">
        <v>879</v>
      </c>
      <c r="M123" s="18" t="s">
        <v>880</v>
      </c>
      <c r="N123" s="18" t="s">
        <v>48</v>
      </c>
      <c r="O123" s="18" t="s">
        <v>57</v>
      </c>
      <c r="P123" s="18" t="s">
        <v>881</v>
      </c>
      <c r="Q123" s="22">
        <f t="shared" si="5"/>
        <v>2130000000</v>
      </c>
      <c r="R123" s="18">
        <v>402.82</v>
      </c>
      <c r="S123" s="19">
        <v>-10.74</v>
      </c>
      <c r="T123" s="18">
        <v>188336918</v>
      </c>
      <c r="U123" s="20">
        <v>44340</v>
      </c>
      <c r="V123" s="18" t="str">
        <f t="shared" si="3"/>
        <v>Complete</v>
      </c>
    </row>
    <row r="124" spans="1:22" ht="14.5" customHeight="1" x14ac:dyDescent="0.35">
      <c r="A124" s="15" t="s">
        <v>6820</v>
      </c>
      <c r="B124" s="15" t="s">
        <v>6821</v>
      </c>
      <c r="C124" s="15" t="s">
        <v>882</v>
      </c>
      <c r="D124" s="15" t="s">
        <v>883</v>
      </c>
      <c r="E124" s="15" t="s">
        <v>13</v>
      </c>
      <c r="F124" s="15" t="str">
        <f t="shared" si="4"/>
        <v>Male</v>
      </c>
      <c r="G124" s="15" t="s">
        <v>884</v>
      </c>
      <c r="H124" s="15" t="s">
        <v>885</v>
      </c>
      <c r="I124" s="15">
        <v>123</v>
      </c>
      <c r="J124" s="15">
        <v>123</v>
      </c>
      <c r="K124" s="15" t="s">
        <v>32</v>
      </c>
      <c r="L124" s="15" t="s">
        <v>886</v>
      </c>
      <c r="M124" s="15" t="s">
        <v>887</v>
      </c>
      <c r="N124" s="15" t="s">
        <v>134</v>
      </c>
      <c r="O124" s="15" t="s">
        <v>728</v>
      </c>
      <c r="P124" s="15" t="s">
        <v>888</v>
      </c>
      <c r="Q124" s="22">
        <f t="shared" si="5"/>
        <v>1830000000</v>
      </c>
      <c r="R124" s="15">
        <v>1989.1</v>
      </c>
      <c r="S124" s="16">
        <v>-19.2</v>
      </c>
      <c r="T124" s="15">
        <v>120909502</v>
      </c>
      <c r="U124" s="17">
        <v>44787</v>
      </c>
      <c r="V124" s="15" t="str">
        <f t="shared" si="3"/>
        <v>Complete</v>
      </c>
    </row>
    <row r="125" spans="1:22" ht="14.5" customHeight="1" x14ac:dyDescent="0.35">
      <c r="A125" s="18" t="s">
        <v>6822</v>
      </c>
      <c r="B125" s="18" t="s">
        <v>6823</v>
      </c>
      <c r="C125" s="18" t="s">
        <v>889</v>
      </c>
      <c r="D125" s="18" t="s">
        <v>890</v>
      </c>
      <c r="E125" s="18" t="s">
        <v>13</v>
      </c>
      <c r="F125" s="15" t="str">
        <f t="shared" si="4"/>
        <v>Male</v>
      </c>
      <c r="G125" s="18" t="s">
        <v>891</v>
      </c>
      <c r="H125" s="18" t="s">
        <v>892</v>
      </c>
      <c r="I125" s="18">
        <v>124</v>
      </c>
      <c r="J125" s="18">
        <v>124</v>
      </c>
      <c r="K125" s="18" t="s">
        <v>32</v>
      </c>
      <c r="L125" s="18" t="s">
        <v>893</v>
      </c>
      <c r="M125" s="18" t="s">
        <v>894</v>
      </c>
      <c r="N125" s="18" t="s">
        <v>142</v>
      </c>
      <c r="O125" s="18" t="s">
        <v>143</v>
      </c>
      <c r="P125" s="18" t="s">
        <v>895</v>
      </c>
      <c r="Q125" s="22">
        <f t="shared" si="5"/>
        <v>5970000000</v>
      </c>
      <c r="R125" s="18">
        <v>1816.25</v>
      </c>
      <c r="S125" s="19">
        <v>-13.9</v>
      </c>
      <c r="T125" s="18">
        <v>140544936</v>
      </c>
      <c r="U125" s="20">
        <v>45933</v>
      </c>
      <c r="V125" s="18" t="str">
        <f t="shared" si="3"/>
        <v>Complete</v>
      </c>
    </row>
    <row r="126" spans="1:22" ht="14.5" customHeight="1" x14ac:dyDescent="0.35">
      <c r="A126" s="15" t="s">
        <v>6824</v>
      </c>
      <c r="B126" s="15" t="s">
        <v>6795</v>
      </c>
      <c r="C126" s="15" t="s">
        <v>896</v>
      </c>
      <c r="D126" s="15" t="s">
        <v>897</v>
      </c>
      <c r="E126" s="15" t="s">
        <v>2</v>
      </c>
      <c r="F126" s="15" t="str">
        <f t="shared" si="4"/>
        <v>Female</v>
      </c>
      <c r="G126" s="15" t="s">
        <v>898</v>
      </c>
      <c r="H126" s="15" t="s">
        <v>899</v>
      </c>
      <c r="I126" s="15">
        <v>125</v>
      </c>
      <c r="J126" s="15">
        <v>125</v>
      </c>
      <c r="K126" s="15" t="s">
        <v>32</v>
      </c>
      <c r="L126" s="15" t="s">
        <v>900</v>
      </c>
      <c r="M126" s="15" t="s">
        <v>901</v>
      </c>
      <c r="N126" s="15" t="s">
        <v>99</v>
      </c>
      <c r="O126" s="15" t="s">
        <v>902</v>
      </c>
      <c r="P126" s="15" t="s">
        <v>903</v>
      </c>
      <c r="Q126" s="22">
        <f t="shared" si="5"/>
        <v>1300000000</v>
      </c>
      <c r="R126" s="15">
        <v>971.6</v>
      </c>
      <c r="S126" s="16">
        <v>12.28</v>
      </c>
      <c r="T126" s="15">
        <v>38486599</v>
      </c>
      <c r="U126" s="17">
        <v>46354</v>
      </c>
      <c r="V126" s="15" t="str">
        <f t="shared" si="3"/>
        <v>Complete</v>
      </c>
    </row>
    <row r="127" spans="1:22" ht="14.5" customHeight="1" x14ac:dyDescent="0.35">
      <c r="A127" s="18" t="s">
        <v>6825</v>
      </c>
      <c r="B127" s="18" t="s">
        <v>6674</v>
      </c>
      <c r="C127" s="18" t="s">
        <v>904</v>
      </c>
      <c r="D127" s="18" t="s">
        <v>905</v>
      </c>
      <c r="E127" s="18" t="s">
        <v>13</v>
      </c>
      <c r="F127" s="15" t="str">
        <f t="shared" si="4"/>
        <v>Male</v>
      </c>
      <c r="G127" s="18" t="s">
        <v>906</v>
      </c>
      <c r="H127" s="18" t="s">
        <v>907</v>
      </c>
      <c r="I127" s="18">
        <v>126</v>
      </c>
      <c r="J127" s="18">
        <v>126</v>
      </c>
      <c r="K127" s="18" t="s">
        <v>5</v>
      </c>
      <c r="L127" s="18" t="s">
        <v>908</v>
      </c>
      <c r="M127" s="18" t="s">
        <v>909</v>
      </c>
      <c r="N127" s="18" t="s">
        <v>66</v>
      </c>
      <c r="O127" s="18" t="s">
        <v>344</v>
      </c>
      <c r="P127" s="18" t="s">
        <v>910</v>
      </c>
      <c r="Q127" s="22">
        <f t="shared" si="5"/>
        <v>6350000000</v>
      </c>
      <c r="R127" s="18">
        <v>673.9</v>
      </c>
      <c r="S127" s="19">
        <v>-2.31</v>
      </c>
      <c r="T127" s="18">
        <v>123531873</v>
      </c>
      <c r="U127" s="20">
        <v>46333</v>
      </c>
      <c r="V127" s="18" t="str">
        <f t="shared" si="3"/>
        <v>Complete</v>
      </c>
    </row>
    <row r="128" spans="1:22" ht="14.5" customHeight="1" x14ac:dyDescent="0.35">
      <c r="A128" s="15" t="s">
        <v>6826</v>
      </c>
      <c r="B128" s="15" t="s">
        <v>6827</v>
      </c>
      <c r="C128" s="15" t="s">
        <v>911</v>
      </c>
      <c r="D128" s="15" t="s">
        <v>912</v>
      </c>
      <c r="E128" s="15" t="s">
        <v>2</v>
      </c>
      <c r="F128" s="15" t="str">
        <f t="shared" si="4"/>
        <v>Female</v>
      </c>
      <c r="G128" s="15" t="s">
        <v>913</v>
      </c>
      <c r="H128" s="15" t="s">
        <v>914</v>
      </c>
      <c r="I128" s="15">
        <v>127</v>
      </c>
      <c r="J128" s="15">
        <v>127</v>
      </c>
      <c r="K128" s="15" t="s">
        <v>5</v>
      </c>
      <c r="L128" s="15" t="s">
        <v>915</v>
      </c>
      <c r="M128" s="15" t="s">
        <v>916</v>
      </c>
      <c r="N128" s="15" t="s">
        <v>8033</v>
      </c>
      <c r="O128" s="15" t="s">
        <v>8033</v>
      </c>
      <c r="P128" s="15" t="s">
        <v>917</v>
      </c>
      <c r="Q128" s="22">
        <f t="shared" si="5"/>
        <v>371880000</v>
      </c>
      <c r="R128" s="15">
        <v>387.69</v>
      </c>
      <c r="S128" s="16">
        <v>7.87</v>
      </c>
      <c r="T128" s="15">
        <v>42785377</v>
      </c>
      <c r="U128" s="17">
        <v>44385</v>
      </c>
      <c r="V128" s="15" t="str">
        <f t="shared" si="3"/>
        <v>Missing</v>
      </c>
    </row>
    <row r="129" spans="1:22" ht="14.5" customHeight="1" x14ac:dyDescent="0.35">
      <c r="A129" s="18" t="s">
        <v>6828</v>
      </c>
      <c r="B129" s="18" t="s">
        <v>6827</v>
      </c>
      <c r="C129" s="18" t="s">
        <v>918</v>
      </c>
      <c r="D129" s="18" t="s">
        <v>919</v>
      </c>
      <c r="E129" s="18" t="s">
        <v>13</v>
      </c>
      <c r="F129" s="15" t="str">
        <f t="shared" si="4"/>
        <v>Male</v>
      </c>
      <c r="G129" s="18" t="s">
        <v>920</v>
      </c>
      <c r="H129" s="18" t="s">
        <v>921</v>
      </c>
      <c r="I129" s="18">
        <v>128</v>
      </c>
      <c r="J129" s="18">
        <v>128</v>
      </c>
      <c r="K129" s="18" t="s">
        <v>5</v>
      </c>
      <c r="L129" s="18" t="s">
        <v>922</v>
      </c>
      <c r="M129" s="18" t="s">
        <v>923</v>
      </c>
      <c r="N129" s="18" t="s">
        <v>8033</v>
      </c>
      <c r="O129" s="18" t="s">
        <v>8033</v>
      </c>
      <c r="P129" s="18" t="s">
        <v>924</v>
      </c>
      <c r="Q129" s="22">
        <f t="shared" si="5"/>
        <v>361900000</v>
      </c>
      <c r="R129" s="18">
        <v>1817.74</v>
      </c>
      <c r="S129" s="19">
        <v>-15.99</v>
      </c>
      <c r="T129" s="18">
        <v>122360752</v>
      </c>
      <c r="U129" s="20">
        <v>46202</v>
      </c>
      <c r="V129" s="18" t="str">
        <f t="shared" si="3"/>
        <v>Missing</v>
      </c>
    </row>
    <row r="130" spans="1:22" ht="14.5" customHeight="1" x14ac:dyDescent="0.35">
      <c r="A130" s="15" t="s">
        <v>6829</v>
      </c>
      <c r="B130" s="15" t="s">
        <v>6830</v>
      </c>
      <c r="C130" s="15" t="s">
        <v>925</v>
      </c>
      <c r="D130" s="15" t="s">
        <v>926</v>
      </c>
      <c r="E130" s="15" t="s">
        <v>2</v>
      </c>
      <c r="F130" s="15" t="str">
        <f t="shared" si="4"/>
        <v>Female</v>
      </c>
      <c r="G130" s="15" t="s">
        <v>927</v>
      </c>
      <c r="H130" s="15" t="s">
        <v>928</v>
      </c>
      <c r="I130" s="15">
        <v>129</v>
      </c>
      <c r="J130" s="15">
        <v>129</v>
      </c>
      <c r="K130" s="15" t="s">
        <v>32</v>
      </c>
      <c r="L130" s="15" t="s">
        <v>929</v>
      </c>
      <c r="M130" s="15" t="s">
        <v>930</v>
      </c>
      <c r="N130" s="15" t="s">
        <v>90</v>
      </c>
      <c r="O130" s="15" t="s">
        <v>931</v>
      </c>
      <c r="P130" s="15" t="s">
        <v>826</v>
      </c>
      <c r="Q130" s="22">
        <f t="shared" si="5"/>
        <v>4820000000</v>
      </c>
      <c r="R130" s="15">
        <v>38.130000000000003</v>
      </c>
      <c r="S130" s="16">
        <v>7.42</v>
      </c>
      <c r="T130" s="15">
        <v>121985755</v>
      </c>
      <c r="U130" s="17">
        <v>44311</v>
      </c>
      <c r="V130" s="15" t="str">
        <f t="shared" ref="V130:V193" si="6">IF(OR(N:N="n/a", O:O="n/a", P:P="n/a"), "Missing", "Complete")</f>
        <v>Complete</v>
      </c>
    </row>
    <row r="131" spans="1:22" ht="14.5" customHeight="1" x14ac:dyDescent="0.35">
      <c r="A131" s="18" t="s">
        <v>6831</v>
      </c>
      <c r="B131" s="18" t="s">
        <v>6832</v>
      </c>
      <c r="C131" s="18" t="s">
        <v>932</v>
      </c>
      <c r="D131" s="18" t="s">
        <v>933</v>
      </c>
      <c r="E131" s="18" t="s">
        <v>13</v>
      </c>
      <c r="F131" s="15" t="str">
        <f t="shared" ref="F131:F194" si="7">IF(OR(E131="female", E131="male"), PROPER(E131), "Other")</f>
        <v>Male</v>
      </c>
      <c r="G131" s="18" t="s">
        <v>934</v>
      </c>
      <c r="H131" s="18" t="s">
        <v>935</v>
      </c>
      <c r="I131" s="18">
        <v>130</v>
      </c>
      <c r="J131" s="18">
        <v>130</v>
      </c>
      <c r="K131" s="18" t="s">
        <v>32</v>
      </c>
      <c r="L131" s="18" t="s">
        <v>936</v>
      </c>
      <c r="M131" s="18" t="s">
        <v>937</v>
      </c>
      <c r="N131" s="18" t="s">
        <v>8033</v>
      </c>
      <c r="O131" s="18" t="s">
        <v>8033</v>
      </c>
      <c r="P131" s="18" t="s">
        <v>8033</v>
      </c>
      <c r="Q131" s="22">
        <f t="shared" ref="Q131:Q194" si="8">IF(P131="n/a", 0, IF(RIGHT(P131, 1)="B", VALUE(MID(P131, 2, LEN(P131)-2)*1000000000), VALUE(MID(P131, 2, LEN(P131)-2)*1000000)))</f>
        <v>0</v>
      </c>
      <c r="R131" s="18">
        <v>1803.55</v>
      </c>
      <c r="S131" s="19">
        <v>-8.9700000000000006</v>
      </c>
      <c r="T131" s="18">
        <v>196225609</v>
      </c>
      <c r="U131" s="20">
        <v>45941</v>
      </c>
      <c r="V131" s="18" t="str">
        <f t="shared" si="6"/>
        <v>Missing</v>
      </c>
    </row>
    <row r="132" spans="1:22" ht="14.5" customHeight="1" x14ac:dyDescent="0.35">
      <c r="A132" s="15" t="s">
        <v>6833</v>
      </c>
      <c r="B132" s="15" t="s">
        <v>6770</v>
      </c>
      <c r="C132" s="15" t="s">
        <v>938</v>
      </c>
      <c r="D132" s="15" t="s">
        <v>939</v>
      </c>
      <c r="E132" s="15" t="s">
        <v>2</v>
      </c>
      <c r="F132" s="15" t="str">
        <f t="shared" si="7"/>
        <v>Female</v>
      </c>
      <c r="G132" s="15" t="s">
        <v>940</v>
      </c>
      <c r="H132" s="15" t="s">
        <v>941</v>
      </c>
      <c r="I132" s="15">
        <v>131</v>
      </c>
      <c r="J132" s="15">
        <v>131</v>
      </c>
      <c r="K132" s="15" t="s">
        <v>5</v>
      </c>
      <c r="L132" s="15" t="s">
        <v>942</v>
      </c>
      <c r="M132" s="15" t="s">
        <v>943</v>
      </c>
      <c r="N132" s="15" t="s">
        <v>323</v>
      </c>
      <c r="O132" s="15" t="s">
        <v>944</v>
      </c>
      <c r="P132" s="15" t="s">
        <v>945</v>
      </c>
      <c r="Q132" s="22">
        <f t="shared" si="8"/>
        <v>71760000</v>
      </c>
      <c r="R132" s="15">
        <v>1061.3699999999999</v>
      </c>
      <c r="S132" s="16">
        <v>-8.76</v>
      </c>
      <c r="T132" s="15">
        <v>152594374</v>
      </c>
      <c r="U132" s="17">
        <v>46325</v>
      </c>
      <c r="V132" s="15" t="str">
        <f t="shared" si="6"/>
        <v>Complete</v>
      </c>
    </row>
    <row r="133" spans="1:22" ht="14.5" customHeight="1" x14ac:dyDescent="0.35">
      <c r="A133" s="18" t="s">
        <v>6834</v>
      </c>
      <c r="B133" s="18" t="s">
        <v>6835</v>
      </c>
      <c r="C133" s="18" t="s">
        <v>946</v>
      </c>
      <c r="D133" s="18" t="s">
        <v>947</v>
      </c>
      <c r="E133" s="18" t="s">
        <v>2</v>
      </c>
      <c r="F133" s="15" t="str">
        <f t="shared" si="7"/>
        <v>Female</v>
      </c>
      <c r="G133" s="18" t="s">
        <v>948</v>
      </c>
      <c r="H133" s="18" t="s">
        <v>949</v>
      </c>
      <c r="I133" s="18">
        <v>132</v>
      </c>
      <c r="J133" s="18">
        <v>132</v>
      </c>
      <c r="K133" s="18" t="s">
        <v>5</v>
      </c>
      <c r="L133" s="18" t="s">
        <v>950</v>
      </c>
      <c r="M133" s="18" t="s">
        <v>951</v>
      </c>
      <c r="N133" s="18" t="s">
        <v>8033</v>
      </c>
      <c r="O133" s="18" t="s">
        <v>8033</v>
      </c>
      <c r="P133" s="18" t="s">
        <v>8033</v>
      </c>
      <c r="Q133" s="22">
        <f t="shared" si="8"/>
        <v>0</v>
      </c>
      <c r="R133" s="18">
        <v>1036.01</v>
      </c>
      <c r="S133" s="19">
        <v>-11.41</v>
      </c>
      <c r="T133" s="18">
        <v>3309772</v>
      </c>
      <c r="U133" s="20">
        <v>45993</v>
      </c>
      <c r="V133" s="18" t="str">
        <f t="shared" si="6"/>
        <v>Missing</v>
      </c>
    </row>
    <row r="134" spans="1:22" ht="14.5" customHeight="1" x14ac:dyDescent="0.35">
      <c r="A134" s="15" t="s">
        <v>6836</v>
      </c>
      <c r="B134" s="15" t="s">
        <v>6784</v>
      </c>
      <c r="C134" s="15" t="s">
        <v>952</v>
      </c>
      <c r="D134" s="15" t="s">
        <v>953</v>
      </c>
      <c r="E134" s="15" t="s">
        <v>2</v>
      </c>
      <c r="F134" s="15" t="str">
        <f t="shared" si="7"/>
        <v>Female</v>
      </c>
      <c r="G134" s="15" t="s">
        <v>954</v>
      </c>
      <c r="H134" s="15" t="s">
        <v>955</v>
      </c>
      <c r="I134" s="15">
        <v>133</v>
      </c>
      <c r="J134" s="15">
        <v>133</v>
      </c>
      <c r="K134" s="15" t="s">
        <v>5</v>
      </c>
      <c r="L134" s="15" t="s">
        <v>956</v>
      </c>
      <c r="M134" s="15" t="s">
        <v>957</v>
      </c>
      <c r="N134" s="15" t="s">
        <v>99</v>
      </c>
      <c r="O134" s="15" t="s">
        <v>135</v>
      </c>
      <c r="P134" s="15" t="s">
        <v>958</v>
      </c>
      <c r="Q134" s="22">
        <f t="shared" si="8"/>
        <v>301170000</v>
      </c>
      <c r="R134" s="15">
        <v>1856.42</v>
      </c>
      <c r="S134" s="16">
        <v>0.18</v>
      </c>
      <c r="T134" s="15">
        <v>163734551</v>
      </c>
      <c r="U134" s="17">
        <v>44580</v>
      </c>
      <c r="V134" s="15" t="str">
        <f t="shared" si="6"/>
        <v>Complete</v>
      </c>
    </row>
    <row r="135" spans="1:22" ht="14.5" customHeight="1" x14ac:dyDescent="0.35">
      <c r="A135" s="18" t="s">
        <v>6837</v>
      </c>
      <c r="B135" s="18" t="s">
        <v>6838</v>
      </c>
      <c r="C135" s="18" t="s">
        <v>959</v>
      </c>
      <c r="D135" s="18" t="s">
        <v>960</v>
      </c>
      <c r="E135" s="18" t="s">
        <v>2</v>
      </c>
      <c r="F135" s="15" t="str">
        <f t="shared" si="7"/>
        <v>Female</v>
      </c>
      <c r="G135" s="18" t="s">
        <v>961</v>
      </c>
      <c r="H135" s="18" t="s">
        <v>962</v>
      </c>
      <c r="I135" s="18">
        <v>134</v>
      </c>
      <c r="J135" s="18">
        <v>134</v>
      </c>
      <c r="K135" s="18" t="s">
        <v>32</v>
      </c>
      <c r="L135" s="18" t="s">
        <v>963</v>
      </c>
      <c r="M135" s="18" t="s">
        <v>964</v>
      </c>
      <c r="N135" s="18" t="s">
        <v>142</v>
      </c>
      <c r="O135" s="18" t="s">
        <v>143</v>
      </c>
      <c r="P135" s="18" t="s">
        <v>119</v>
      </c>
      <c r="Q135" s="22">
        <f t="shared" si="8"/>
        <v>5790000000</v>
      </c>
      <c r="R135" s="18">
        <v>770.98</v>
      </c>
      <c r="S135" s="19">
        <v>-4.1900000000000004</v>
      </c>
      <c r="T135" s="18">
        <v>112856062</v>
      </c>
      <c r="U135" s="20">
        <v>44784</v>
      </c>
      <c r="V135" s="18" t="str">
        <f t="shared" si="6"/>
        <v>Complete</v>
      </c>
    </row>
    <row r="136" spans="1:22" ht="14.5" customHeight="1" x14ac:dyDescent="0.35">
      <c r="A136" s="15" t="s">
        <v>6839</v>
      </c>
      <c r="B136" s="15" t="s">
        <v>6817</v>
      </c>
      <c r="C136" s="15" t="s">
        <v>965</v>
      </c>
      <c r="D136" s="15" t="s">
        <v>966</v>
      </c>
      <c r="E136" s="15" t="s">
        <v>2</v>
      </c>
      <c r="F136" s="15" t="str">
        <f t="shared" si="7"/>
        <v>Female</v>
      </c>
      <c r="G136" s="15" t="s">
        <v>967</v>
      </c>
      <c r="H136" s="15" t="s">
        <v>968</v>
      </c>
      <c r="I136" s="15">
        <v>135</v>
      </c>
      <c r="J136" s="15">
        <v>135</v>
      </c>
      <c r="K136" s="15" t="s">
        <v>32</v>
      </c>
      <c r="L136" s="15" t="s">
        <v>969</v>
      </c>
      <c r="M136" s="15" t="s">
        <v>970</v>
      </c>
      <c r="N136" s="15" t="s">
        <v>25</v>
      </c>
      <c r="O136" s="15" t="s">
        <v>126</v>
      </c>
      <c r="P136" s="15" t="s">
        <v>971</v>
      </c>
      <c r="Q136" s="22">
        <f t="shared" si="8"/>
        <v>927580000</v>
      </c>
      <c r="R136" s="15">
        <v>321.08</v>
      </c>
      <c r="S136" s="16">
        <v>-7.53</v>
      </c>
      <c r="T136" s="15">
        <v>182058723</v>
      </c>
      <c r="U136" s="17">
        <v>45211</v>
      </c>
      <c r="V136" s="15" t="str">
        <f t="shared" si="6"/>
        <v>Complete</v>
      </c>
    </row>
    <row r="137" spans="1:22" ht="14.5" customHeight="1" x14ac:dyDescent="0.35">
      <c r="A137" s="18" t="s">
        <v>6840</v>
      </c>
      <c r="B137" s="18" t="s">
        <v>6841</v>
      </c>
      <c r="C137" s="18" t="s">
        <v>972</v>
      </c>
      <c r="D137" s="18" t="s">
        <v>973</v>
      </c>
      <c r="E137" s="18" t="s">
        <v>13</v>
      </c>
      <c r="F137" s="15" t="str">
        <f t="shared" si="7"/>
        <v>Male</v>
      </c>
      <c r="G137" s="18" t="s">
        <v>974</v>
      </c>
      <c r="H137" s="18" t="s">
        <v>975</v>
      </c>
      <c r="I137" s="18">
        <v>136</v>
      </c>
      <c r="J137" s="18">
        <v>136</v>
      </c>
      <c r="K137" s="18" t="s">
        <v>5</v>
      </c>
      <c r="L137" s="18" t="s">
        <v>976</v>
      </c>
      <c r="M137" s="18" t="s">
        <v>977</v>
      </c>
      <c r="N137" s="18" t="s">
        <v>117</v>
      </c>
      <c r="O137" s="18" t="s">
        <v>118</v>
      </c>
      <c r="P137" s="18" t="s">
        <v>978</v>
      </c>
      <c r="Q137" s="22">
        <f t="shared" si="8"/>
        <v>738700000</v>
      </c>
      <c r="R137" s="18">
        <v>583.66999999999996</v>
      </c>
      <c r="S137" s="19">
        <v>4.78</v>
      </c>
      <c r="T137" s="18">
        <v>147098482</v>
      </c>
      <c r="U137" s="20">
        <v>44942</v>
      </c>
      <c r="V137" s="18" t="str">
        <f t="shared" si="6"/>
        <v>Complete</v>
      </c>
    </row>
    <row r="138" spans="1:22" ht="14.5" customHeight="1" x14ac:dyDescent="0.35">
      <c r="A138" s="15" t="s">
        <v>6842</v>
      </c>
      <c r="B138" s="15" t="s">
        <v>6843</v>
      </c>
      <c r="C138" s="15" t="s">
        <v>979</v>
      </c>
      <c r="D138" s="15" t="s">
        <v>980</v>
      </c>
      <c r="E138" s="15" t="s">
        <v>2</v>
      </c>
      <c r="F138" s="15" t="str">
        <f t="shared" si="7"/>
        <v>Female</v>
      </c>
      <c r="G138" s="15" t="s">
        <v>981</v>
      </c>
      <c r="H138" s="15" t="s">
        <v>982</v>
      </c>
      <c r="I138" s="15">
        <v>137</v>
      </c>
      <c r="J138" s="15">
        <v>137</v>
      </c>
      <c r="K138" s="15" t="s">
        <v>32</v>
      </c>
      <c r="L138" s="15" t="s">
        <v>983</v>
      </c>
      <c r="M138" s="15" t="s">
        <v>984</v>
      </c>
      <c r="N138" s="15" t="s">
        <v>8033</v>
      </c>
      <c r="O138" s="15" t="s">
        <v>8033</v>
      </c>
      <c r="P138" s="15" t="s">
        <v>8033</v>
      </c>
      <c r="Q138" s="22">
        <f t="shared" si="8"/>
        <v>0</v>
      </c>
      <c r="R138" s="15">
        <v>1833.1</v>
      </c>
      <c r="S138" s="16">
        <v>1.77</v>
      </c>
      <c r="T138" s="15">
        <v>126724626</v>
      </c>
      <c r="U138" s="17">
        <v>45464</v>
      </c>
      <c r="V138" s="15" t="str">
        <f t="shared" si="6"/>
        <v>Missing</v>
      </c>
    </row>
    <row r="139" spans="1:22" ht="14.5" customHeight="1" x14ac:dyDescent="0.35">
      <c r="A139" s="18" t="s">
        <v>6844</v>
      </c>
      <c r="B139" s="18" t="s">
        <v>6845</v>
      </c>
      <c r="C139" s="18" t="s">
        <v>985</v>
      </c>
      <c r="D139" s="18" t="s">
        <v>986</v>
      </c>
      <c r="E139" s="18" t="s">
        <v>2</v>
      </c>
      <c r="F139" s="15" t="str">
        <f t="shared" si="7"/>
        <v>Female</v>
      </c>
      <c r="G139" s="18" t="s">
        <v>987</v>
      </c>
      <c r="H139" s="18" t="s">
        <v>988</v>
      </c>
      <c r="I139" s="18">
        <v>138</v>
      </c>
      <c r="J139" s="18">
        <v>138</v>
      </c>
      <c r="K139" s="18" t="s">
        <v>5</v>
      </c>
      <c r="L139" s="18" t="s">
        <v>989</v>
      </c>
      <c r="M139" s="18" t="s">
        <v>990</v>
      </c>
      <c r="N139" s="18" t="s">
        <v>8033</v>
      </c>
      <c r="O139" s="18" t="s">
        <v>8033</v>
      </c>
      <c r="P139" s="18" t="s">
        <v>991</v>
      </c>
      <c r="Q139" s="22">
        <f t="shared" si="8"/>
        <v>23970000</v>
      </c>
      <c r="R139" s="18">
        <v>818.89</v>
      </c>
      <c r="S139" s="19">
        <v>8.07</v>
      </c>
      <c r="T139" s="18">
        <v>84686987</v>
      </c>
      <c r="U139" s="20">
        <v>44613</v>
      </c>
      <c r="V139" s="18" t="str">
        <f t="shared" si="6"/>
        <v>Missing</v>
      </c>
    </row>
    <row r="140" spans="1:22" ht="14.5" customHeight="1" x14ac:dyDescent="0.35">
      <c r="A140" s="15" t="s">
        <v>6846</v>
      </c>
      <c r="B140" s="15" t="s">
        <v>6847</v>
      </c>
      <c r="C140" s="15" t="s">
        <v>992</v>
      </c>
      <c r="D140" s="15" t="s">
        <v>993</v>
      </c>
      <c r="E140" s="15" t="s">
        <v>13</v>
      </c>
      <c r="F140" s="15" t="str">
        <f t="shared" si="7"/>
        <v>Male</v>
      </c>
      <c r="G140" s="15" t="s">
        <v>994</v>
      </c>
      <c r="H140" s="15" t="s">
        <v>995</v>
      </c>
      <c r="I140" s="15">
        <v>139</v>
      </c>
      <c r="J140" s="15">
        <v>139</v>
      </c>
      <c r="K140" s="15" t="s">
        <v>32</v>
      </c>
      <c r="L140" s="15" t="s">
        <v>996</v>
      </c>
      <c r="M140" s="15" t="s">
        <v>997</v>
      </c>
      <c r="N140" s="15" t="s">
        <v>8033</v>
      </c>
      <c r="O140" s="15" t="s">
        <v>8033</v>
      </c>
      <c r="P140" s="15" t="s">
        <v>998</v>
      </c>
      <c r="Q140" s="22">
        <f t="shared" si="8"/>
        <v>114590000</v>
      </c>
      <c r="R140" s="15">
        <v>1862.42</v>
      </c>
      <c r="S140" s="16">
        <v>-10.35</v>
      </c>
      <c r="T140" s="15">
        <v>32932841</v>
      </c>
      <c r="U140" s="17">
        <v>45066</v>
      </c>
      <c r="V140" s="15" t="str">
        <f t="shared" si="6"/>
        <v>Missing</v>
      </c>
    </row>
    <row r="141" spans="1:22" ht="14.5" customHeight="1" x14ac:dyDescent="0.35">
      <c r="A141" s="18" t="s">
        <v>6848</v>
      </c>
      <c r="B141" s="18" t="s">
        <v>6849</v>
      </c>
      <c r="C141" s="18" t="s">
        <v>999</v>
      </c>
      <c r="D141" s="18" t="s">
        <v>1000</v>
      </c>
      <c r="E141" s="18" t="s">
        <v>13</v>
      </c>
      <c r="F141" s="15" t="str">
        <f t="shared" si="7"/>
        <v>Male</v>
      </c>
      <c r="G141" s="18" t="s">
        <v>1001</v>
      </c>
      <c r="H141" s="18" t="s">
        <v>1002</v>
      </c>
      <c r="I141" s="18">
        <v>140</v>
      </c>
      <c r="J141" s="18">
        <v>140</v>
      </c>
      <c r="K141" s="18" t="s">
        <v>5</v>
      </c>
      <c r="L141" s="18" t="s">
        <v>1003</v>
      </c>
      <c r="M141" s="18" t="s">
        <v>1004</v>
      </c>
      <c r="N141" s="18" t="s">
        <v>8033</v>
      </c>
      <c r="O141" s="18" t="s">
        <v>8033</v>
      </c>
      <c r="P141" s="18" t="s">
        <v>8033</v>
      </c>
      <c r="Q141" s="22">
        <f t="shared" si="8"/>
        <v>0</v>
      </c>
      <c r="R141" s="18">
        <v>573.91</v>
      </c>
      <c r="S141" s="19">
        <v>11.34</v>
      </c>
      <c r="T141" s="18">
        <v>55744992</v>
      </c>
      <c r="U141" s="20">
        <v>44628</v>
      </c>
      <c r="V141" s="18" t="str">
        <f t="shared" si="6"/>
        <v>Missing</v>
      </c>
    </row>
    <row r="142" spans="1:22" ht="14.5" customHeight="1" x14ac:dyDescent="0.35">
      <c r="A142" s="15" t="s">
        <v>6850</v>
      </c>
      <c r="B142" s="15" t="s">
        <v>6851</v>
      </c>
      <c r="C142" s="15" t="s">
        <v>1005</v>
      </c>
      <c r="D142" s="15" t="s">
        <v>1006</v>
      </c>
      <c r="E142" s="15" t="s">
        <v>2</v>
      </c>
      <c r="F142" s="15" t="str">
        <f t="shared" si="7"/>
        <v>Female</v>
      </c>
      <c r="G142" s="15" t="s">
        <v>1007</v>
      </c>
      <c r="H142" s="15" t="s">
        <v>1008</v>
      </c>
      <c r="I142" s="15">
        <v>141</v>
      </c>
      <c r="J142" s="15">
        <v>141</v>
      </c>
      <c r="K142" s="15" t="s">
        <v>5</v>
      </c>
      <c r="L142" s="15" t="s">
        <v>1009</v>
      </c>
      <c r="M142" s="15" t="s">
        <v>1010</v>
      </c>
      <c r="N142" s="15" t="s">
        <v>66</v>
      </c>
      <c r="O142" s="15" t="s">
        <v>422</v>
      </c>
      <c r="P142" s="15" t="s">
        <v>1011</v>
      </c>
      <c r="Q142" s="22">
        <f t="shared" si="8"/>
        <v>51370000</v>
      </c>
      <c r="R142" s="15">
        <v>40.74</v>
      </c>
      <c r="S142" s="16">
        <v>-7.38</v>
      </c>
      <c r="T142" s="15">
        <v>184965939</v>
      </c>
      <c r="U142" s="17">
        <v>45202</v>
      </c>
      <c r="V142" s="15" t="str">
        <f t="shared" si="6"/>
        <v>Complete</v>
      </c>
    </row>
    <row r="143" spans="1:22" ht="14.5" customHeight="1" x14ac:dyDescent="0.35">
      <c r="A143" s="18" t="s">
        <v>6852</v>
      </c>
      <c r="B143" s="18" t="s">
        <v>6715</v>
      </c>
      <c r="C143" s="18" t="s">
        <v>1012</v>
      </c>
      <c r="D143" s="18" t="s">
        <v>1013</v>
      </c>
      <c r="E143" s="18" t="s">
        <v>2</v>
      </c>
      <c r="F143" s="15" t="str">
        <f t="shared" si="7"/>
        <v>Female</v>
      </c>
      <c r="G143" s="18" t="s">
        <v>1014</v>
      </c>
      <c r="H143" s="18" t="s">
        <v>1015</v>
      </c>
      <c r="I143" s="18">
        <v>142</v>
      </c>
      <c r="J143" s="18">
        <v>142</v>
      </c>
      <c r="K143" s="18" t="s">
        <v>32</v>
      </c>
      <c r="L143" s="18" t="s">
        <v>1016</v>
      </c>
      <c r="M143" s="18" t="s">
        <v>1017</v>
      </c>
      <c r="N143" s="18" t="s">
        <v>8033</v>
      </c>
      <c r="O143" s="18" t="s">
        <v>8033</v>
      </c>
      <c r="P143" s="18" t="s">
        <v>1018</v>
      </c>
      <c r="Q143" s="22">
        <f t="shared" si="8"/>
        <v>328510000</v>
      </c>
      <c r="R143" s="18">
        <v>1969.03</v>
      </c>
      <c r="S143" s="19">
        <v>-9.2899999999999991</v>
      </c>
      <c r="T143" s="18">
        <v>72893855</v>
      </c>
      <c r="U143" s="20">
        <v>44940</v>
      </c>
      <c r="V143" s="18" t="str">
        <f t="shared" si="6"/>
        <v>Missing</v>
      </c>
    </row>
    <row r="144" spans="1:22" ht="14.5" customHeight="1" x14ac:dyDescent="0.35">
      <c r="A144" s="15" t="s">
        <v>6853</v>
      </c>
      <c r="B144" s="15" t="s">
        <v>6773</v>
      </c>
      <c r="C144" s="15" t="s">
        <v>1019</v>
      </c>
      <c r="D144" s="15" t="s">
        <v>1020</v>
      </c>
      <c r="E144" s="15" t="s">
        <v>13</v>
      </c>
      <c r="F144" s="15" t="str">
        <f t="shared" si="7"/>
        <v>Male</v>
      </c>
      <c r="G144" s="15" t="s">
        <v>1021</v>
      </c>
      <c r="H144" s="15" t="s">
        <v>1022</v>
      </c>
      <c r="I144" s="15">
        <v>143</v>
      </c>
      <c r="J144" s="15">
        <v>143</v>
      </c>
      <c r="K144" s="15" t="s">
        <v>5</v>
      </c>
      <c r="L144" s="15" t="s">
        <v>1023</v>
      </c>
      <c r="M144" s="15" t="s">
        <v>1024</v>
      </c>
      <c r="N144" s="15" t="s">
        <v>8</v>
      </c>
      <c r="O144" s="15" t="s">
        <v>1025</v>
      </c>
      <c r="P144" s="15" t="s">
        <v>1026</v>
      </c>
      <c r="Q144" s="22">
        <f t="shared" si="8"/>
        <v>488160000</v>
      </c>
      <c r="R144" s="15">
        <v>1533.82</v>
      </c>
      <c r="S144" s="16">
        <v>9.36</v>
      </c>
      <c r="T144" s="15">
        <v>86872522</v>
      </c>
      <c r="U144" s="17">
        <v>44109</v>
      </c>
      <c r="V144" s="15" t="str">
        <f t="shared" si="6"/>
        <v>Complete</v>
      </c>
    </row>
    <row r="145" spans="1:22" ht="14.5" customHeight="1" x14ac:dyDescent="0.35">
      <c r="A145" s="18" t="s">
        <v>6854</v>
      </c>
      <c r="B145" s="18" t="s">
        <v>6855</v>
      </c>
      <c r="C145" s="18" t="s">
        <v>1027</v>
      </c>
      <c r="D145" s="18" t="s">
        <v>1028</v>
      </c>
      <c r="E145" s="18" t="s">
        <v>13</v>
      </c>
      <c r="F145" s="15" t="str">
        <f t="shared" si="7"/>
        <v>Male</v>
      </c>
      <c r="G145" s="18" t="s">
        <v>1029</v>
      </c>
      <c r="H145" s="18" t="s">
        <v>1030</v>
      </c>
      <c r="I145" s="18">
        <v>144</v>
      </c>
      <c r="J145" s="18">
        <v>144</v>
      </c>
      <c r="K145" s="18" t="s">
        <v>5</v>
      </c>
      <c r="L145" s="18" t="s">
        <v>1031</v>
      </c>
      <c r="M145" s="18" t="s">
        <v>1032</v>
      </c>
      <c r="N145" s="18" t="s">
        <v>99</v>
      </c>
      <c r="O145" s="18" t="s">
        <v>380</v>
      </c>
      <c r="P145" s="18" t="s">
        <v>1033</v>
      </c>
      <c r="Q145" s="22">
        <f t="shared" si="8"/>
        <v>205600000</v>
      </c>
      <c r="R145" s="18">
        <v>14.1</v>
      </c>
      <c r="S145" s="19">
        <v>-5.74</v>
      </c>
      <c r="T145" s="18">
        <v>991184</v>
      </c>
      <c r="U145" s="20">
        <v>46291</v>
      </c>
      <c r="V145" s="18" t="str">
        <f t="shared" si="6"/>
        <v>Complete</v>
      </c>
    </row>
    <row r="146" spans="1:22" ht="14.5" customHeight="1" x14ac:dyDescent="0.35">
      <c r="A146" s="15" t="s">
        <v>6856</v>
      </c>
      <c r="B146" s="15" t="s">
        <v>6857</v>
      </c>
      <c r="C146" s="15" t="s">
        <v>1034</v>
      </c>
      <c r="D146" s="15" t="s">
        <v>1035</v>
      </c>
      <c r="E146" s="15" t="s">
        <v>13</v>
      </c>
      <c r="F146" s="15" t="str">
        <f t="shared" si="7"/>
        <v>Male</v>
      </c>
      <c r="G146" s="15" t="s">
        <v>1036</v>
      </c>
      <c r="H146" s="15" t="s">
        <v>1037</v>
      </c>
      <c r="I146" s="15">
        <v>145</v>
      </c>
      <c r="J146" s="15">
        <v>145</v>
      </c>
      <c r="K146" s="15" t="s">
        <v>32</v>
      </c>
      <c r="L146" s="15" t="s">
        <v>1038</v>
      </c>
      <c r="M146" s="15" t="s">
        <v>1039</v>
      </c>
      <c r="N146" s="15" t="s">
        <v>189</v>
      </c>
      <c r="O146" s="15" t="s">
        <v>308</v>
      </c>
      <c r="P146" s="15" t="s">
        <v>1040</v>
      </c>
      <c r="Q146" s="22">
        <f t="shared" si="8"/>
        <v>198430000</v>
      </c>
      <c r="R146" s="15">
        <v>1584.38</v>
      </c>
      <c r="S146" s="16">
        <v>0.12</v>
      </c>
      <c r="T146" s="15">
        <v>44677890</v>
      </c>
      <c r="U146" s="17">
        <v>44323</v>
      </c>
      <c r="V146" s="15" t="str">
        <f t="shared" si="6"/>
        <v>Complete</v>
      </c>
    </row>
    <row r="147" spans="1:22" ht="14.5" customHeight="1" x14ac:dyDescent="0.35">
      <c r="A147" s="18" t="s">
        <v>6858</v>
      </c>
      <c r="B147" s="18" t="s">
        <v>6859</v>
      </c>
      <c r="C147" s="18" t="s">
        <v>1041</v>
      </c>
      <c r="D147" s="18" t="s">
        <v>1042</v>
      </c>
      <c r="E147" s="18" t="s">
        <v>2</v>
      </c>
      <c r="F147" s="15" t="str">
        <f t="shared" si="7"/>
        <v>Female</v>
      </c>
      <c r="G147" s="18" t="s">
        <v>1043</v>
      </c>
      <c r="H147" s="18" t="s">
        <v>1044</v>
      </c>
      <c r="I147" s="18">
        <v>146</v>
      </c>
      <c r="J147" s="18">
        <v>146</v>
      </c>
      <c r="K147" s="18" t="s">
        <v>32</v>
      </c>
      <c r="L147" s="18" t="s">
        <v>1045</v>
      </c>
      <c r="M147" s="18" t="s">
        <v>1046</v>
      </c>
      <c r="N147" s="18" t="s">
        <v>90</v>
      </c>
      <c r="O147" s="18" t="s">
        <v>1047</v>
      </c>
      <c r="P147" s="18" t="s">
        <v>1048</v>
      </c>
      <c r="Q147" s="22">
        <f t="shared" si="8"/>
        <v>14240000000</v>
      </c>
      <c r="R147" s="18">
        <v>1038.8</v>
      </c>
      <c r="S147" s="19">
        <v>-6.1</v>
      </c>
      <c r="T147" s="18">
        <v>103606752</v>
      </c>
      <c r="U147" s="20">
        <v>45958</v>
      </c>
      <c r="V147" s="18" t="str">
        <f t="shared" si="6"/>
        <v>Complete</v>
      </c>
    </row>
    <row r="148" spans="1:22" ht="14.5" customHeight="1" x14ac:dyDescent="0.35">
      <c r="A148" s="15" t="s">
        <v>6860</v>
      </c>
      <c r="B148" s="15" t="s">
        <v>6843</v>
      </c>
      <c r="C148" s="15" t="s">
        <v>999</v>
      </c>
      <c r="D148" s="15" t="s">
        <v>1049</v>
      </c>
      <c r="E148" s="15" t="s">
        <v>13</v>
      </c>
      <c r="F148" s="15" t="str">
        <f t="shared" si="7"/>
        <v>Male</v>
      </c>
      <c r="G148" s="15" t="s">
        <v>1050</v>
      </c>
      <c r="H148" s="15" t="s">
        <v>1051</v>
      </c>
      <c r="I148" s="15">
        <v>147</v>
      </c>
      <c r="J148" s="15">
        <v>147</v>
      </c>
      <c r="K148" s="15" t="s">
        <v>32</v>
      </c>
      <c r="L148" s="15" t="s">
        <v>1052</v>
      </c>
      <c r="M148" s="15" t="s">
        <v>1053</v>
      </c>
      <c r="N148" s="15" t="s">
        <v>8033</v>
      </c>
      <c r="O148" s="15" t="s">
        <v>8033</v>
      </c>
      <c r="P148" s="15" t="s">
        <v>1054</v>
      </c>
      <c r="Q148" s="22">
        <f t="shared" si="8"/>
        <v>120080000</v>
      </c>
      <c r="R148" s="15">
        <v>1272.1500000000001</v>
      </c>
      <c r="S148" s="16">
        <v>6.82</v>
      </c>
      <c r="T148" s="15">
        <v>164794385</v>
      </c>
      <c r="U148" s="17">
        <v>46297</v>
      </c>
      <c r="V148" s="15" t="str">
        <f t="shared" si="6"/>
        <v>Missing</v>
      </c>
    </row>
    <row r="149" spans="1:22" ht="14.5" customHeight="1" x14ac:dyDescent="0.35">
      <c r="A149" s="18" t="s">
        <v>6861</v>
      </c>
      <c r="B149" s="18" t="s">
        <v>6862</v>
      </c>
      <c r="C149" s="18" t="s">
        <v>1055</v>
      </c>
      <c r="D149" s="18" t="s">
        <v>1056</v>
      </c>
      <c r="E149" s="18" t="s">
        <v>2</v>
      </c>
      <c r="F149" s="15" t="str">
        <f t="shared" si="7"/>
        <v>Female</v>
      </c>
      <c r="G149" s="18" t="s">
        <v>1057</v>
      </c>
      <c r="H149" s="18" t="s">
        <v>1058</v>
      </c>
      <c r="I149" s="18">
        <v>148</v>
      </c>
      <c r="J149" s="18">
        <v>148</v>
      </c>
      <c r="K149" s="18" t="s">
        <v>32</v>
      </c>
      <c r="L149" s="18" t="s">
        <v>1059</v>
      </c>
      <c r="M149" s="18" t="s">
        <v>1060</v>
      </c>
      <c r="N149" s="18" t="s">
        <v>117</v>
      </c>
      <c r="O149" s="18" t="s">
        <v>118</v>
      </c>
      <c r="P149" s="18" t="s">
        <v>1061</v>
      </c>
      <c r="Q149" s="22">
        <f t="shared" si="8"/>
        <v>13320000000</v>
      </c>
      <c r="R149" s="18">
        <v>636.5</v>
      </c>
      <c r="S149" s="19">
        <v>-0.85</v>
      </c>
      <c r="T149" s="18">
        <v>195028494</v>
      </c>
      <c r="U149" s="20">
        <v>45877</v>
      </c>
      <c r="V149" s="18" t="str">
        <f t="shared" si="6"/>
        <v>Complete</v>
      </c>
    </row>
    <row r="150" spans="1:22" ht="14.5" customHeight="1" x14ac:dyDescent="0.35">
      <c r="A150" s="15" t="s">
        <v>6863</v>
      </c>
      <c r="B150" s="15" t="s">
        <v>6647</v>
      </c>
      <c r="C150" s="15" t="s">
        <v>1062</v>
      </c>
      <c r="D150" s="15" t="s">
        <v>1063</v>
      </c>
      <c r="E150" s="15" t="s">
        <v>2</v>
      </c>
      <c r="F150" s="15" t="str">
        <f t="shared" si="7"/>
        <v>Female</v>
      </c>
      <c r="G150" s="15" t="s">
        <v>1064</v>
      </c>
      <c r="H150" s="15" t="s">
        <v>1065</v>
      </c>
      <c r="I150" s="15">
        <v>149</v>
      </c>
      <c r="J150" s="15">
        <v>149</v>
      </c>
      <c r="K150" s="15" t="s">
        <v>5</v>
      </c>
      <c r="L150" s="15" t="s">
        <v>1066</v>
      </c>
      <c r="M150" s="15" t="s">
        <v>1067</v>
      </c>
      <c r="N150" s="15" t="s">
        <v>66</v>
      </c>
      <c r="O150" s="15" t="s">
        <v>1068</v>
      </c>
      <c r="P150" s="15" t="s">
        <v>1069</v>
      </c>
      <c r="Q150" s="22">
        <f t="shared" si="8"/>
        <v>3900000000</v>
      </c>
      <c r="R150" s="15">
        <v>934.39</v>
      </c>
      <c r="S150" s="16">
        <v>1.38</v>
      </c>
      <c r="T150" s="15">
        <v>182176822</v>
      </c>
      <c r="U150" s="17">
        <v>46121</v>
      </c>
      <c r="V150" s="15" t="str">
        <f t="shared" si="6"/>
        <v>Complete</v>
      </c>
    </row>
    <row r="151" spans="1:22" ht="14.5" customHeight="1" x14ac:dyDescent="0.35">
      <c r="A151" s="18" t="s">
        <v>6864</v>
      </c>
      <c r="B151" s="18" t="s">
        <v>6865</v>
      </c>
      <c r="C151" s="18" t="s">
        <v>1070</v>
      </c>
      <c r="D151" s="18" t="s">
        <v>1071</v>
      </c>
      <c r="E151" s="18" t="s">
        <v>13</v>
      </c>
      <c r="F151" s="15" t="str">
        <f t="shared" si="7"/>
        <v>Male</v>
      </c>
      <c r="G151" s="18" t="s">
        <v>1072</v>
      </c>
      <c r="H151" s="18" t="s">
        <v>1073</v>
      </c>
      <c r="I151" s="18">
        <v>150</v>
      </c>
      <c r="J151" s="18">
        <v>150</v>
      </c>
      <c r="K151" s="18" t="s">
        <v>32</v>
      </c>
      <c r="L151" s="18" t="s">
        <v>1074</v>
      </c>
      <c r="M151" s="18" t="s">
        <v>1075</v>
      </c>
      <c r="N151" s="18" t="s">
        <v>8033</v>
      </c>
      <c r="O151" s="18" t="s">
        <v>8033</v>
      </c>
      <c r="P151" s="18" t="s">
        <v>8033</v>
      </c>
      <c r="Q151" s="22">
        <f t="shared" si="8"/>
        <v>0</v>
      </c>
      <c r="R151" s="18">
        <v>1077.69</v>
      </c>
      <c r="S151" s="19">
        <v>-5.6</v>
      </c>
      <c r="T151" s="18">
        <v>89734530</v>
      </c>
      <c r="U151" s="20">
        <v>44021</v>
      </c>
      <c r="V151" s="18" t="str">
        <f t="shared" si="6"/>
        <v>Missing</v>
      </c>
    </row>
    <row r="152" spans="1:22" ht="14.5" customHeight="1" x14ac:dyDescent="0.35">
      <c r="A152" s="15" t="s">
        <v>6866</v>
      </c>
      <c r="B152" s="15" t="s">
        <v>6867</v>
      </c>
      <c r="C152" s="15" t="s">
        <v>1076</v>
      </c>
      <c r="D152" s="15" t="s">
        <v>1077</v>
      </c>
      <c r="E152" s="15" t="s">
        <v>2</v>
      </c>
      <c r="F152" s="15" t="str">
        <f t="shared" si="7"/>
        <v>Female</v>
      </c>
      <c r="G152" s="15" t="s">
        <v>1078</v>
      </c>
      <c r="H152" s="15" t="s">
        <v>1079</v>
      </c>
      <c r="I152" s="15">
        <v>151</v>
      </c>
      <c r="J152" s="15">
        <v>151</v>
      </c>
      <c r="K152" s="15" t="s">
        <v>5</v>
      </c>
      <c r="L152" s="15" t="s">
        <v>1080</v>
      </c>
      <c r="M152" s="15" t="s">
        <v>1081</v>
      </c>
      <c r="N152" s="15" t="s">
        <v>66</v>
      </c>
      <c r="O152" s="15" t="s">
        <v>1082</v>
      </c>
      <c r="P152" s="15" t="s">
        <v>1083</v>
      </c>
      <c r="Q152" s="22">
        <f t="shared" si="8"/>
        <v>15510000000</v>
      </c>
      <c r="R152" s="15">
        <v>365.73</v>
      </c>
      <c r="S152" s="16">
        <v>-5.57</v>
      </c>
      <c r="T152" s="15">
        <v>28683693</v>
      </c>
      <c r="U152" s="17">
        <v>44528</v>
      </c>
      <c r="V152" s="15" t="str">
        <f t="shared" si="6"/>
        <v>Complete</v>
      </c>
    </row>
    <row r="153" spans="1:22" ht="14.5" customHeight="1" x14ac:dyDescent="0.35">
      <c r="A153" s="18" t="s">
        <v>6868</v>
      </c>
      <c r="B153" s="18" t="s">
        <v>6754</v>
      </c>
      <c r="C153" s="18" t="s">
        <v>1084</v>
      </c>
      <c r="D153" s="18" t="s">
        <v>1085</v>
      </c>
      <c r="E153" s="18" t="s">
        <v>13</v>
      </c>
      <c r="F153" s="15" t="str">
        <f t="shared" si="7"/>
        <v>Male</v>
      </c>
      <c r="G153" s="18" t="s">
        <v>1086</v>
      </c>
      <c r="H153" s="18" t="s">
        <v>1087</v>
      </c>
      <c r="I153" s="18">
        <v>152</v>
      </c>
      <c r="J153" s="18">
        <v>152</v>
      </c>
      <c r="K153" s="18" t="s">
        <v>5</v>
      </c>
      <c r="L153" s="18" t="s">
        <v>1088</v>
      </c>
      <c r="M153" s="18" t="s">
        <v>1089</v>
      </c>
      <c r="N153" s="18" t="s">
        <v>48</v>
      </c>
      <c r="O153" s="18" t="s">
        <v>118</v>
      </c>
      <c r="P153" s="18" t="s">
        <v>1090</v>
      </c>
      <c r="Q153" s="22">
        <f t="shared" si="8"/>
        <v>628130000</v>
      </c>
      <c r="R153" s="18">
        <v>204.67</v>
      </c>
      <c r="S153" s="19">
        <v>-8.64</v>
      </c>
      <c r="T153" s="18">
        <v>106999137</v>
      </c>
      <c r="U153" s="20">
        <v>44147</v>
      </c>
      <c r="V153" s="18" t="str">
        <f t="shared" si="6"/>
        <v>Complete</v>
      </c>
    </row>
    <row r="154" spans="1:22" ht="14.5" customHeight="1" x14ac:dyDescent="0.35">
      <c r="A154" s="15" t="s">
        <v>6869</v>
      </c>
      <c r="B154" s="15" t="s">
        <v>6870</v>
      </c>
      <c r="C154" s="15" t="s">
        <v>1091</v>
      </c>
      <c r="D154" s="15" t="s">
        <v>1092</v>
      </c>
      <c r="E154" s="15" t="s">
        <v>13</v>
      </c>
      <c r="F154" s="15" t="str">
        <f t="shared" si="7"/>
        <v>Male</v>
      </c>
      <c r="G154" s="15" t="s">
        <v>1093</v>
      </c>
      <c r="H154" s="15" t="s">
        <v>1094</v>
      </c>
      <c r="I154" s="15">
        <v>153</v>
      </c>
      <c r="J154" s="15">
        <v>153</v>
      </c>
      <c r="K154" s="15" t="s">
        <v>5</v>
      </c>
      <c r="L154" s="15" t="s">
        <v>1095</v>
      </c>
      <c r="M154" s="15" t="s">
        <v>1096</v>
      </c>
      <c r="N154" s="15" t="s">
        <v>323</v>
      </c>
      <c r="O154" s="15" t="s">
        <v>1097</v>
      </c>
      <c r="P154" s="15" t="s">
        <v>1098</v>
      </c>
      <c r="Q154" s="22">
        <f t="shared" si="8"/>
        <v>3490000000</v>
      </c>
      <c r="R154" s="15">
        <v>315.56</v>
      </c>
      <c r="S154" s="16">
        <v>-7.11</v>
      </c>
      <c r="T154" s="15">
        <v>192596129</v>
      </c>
      <c r="U154" s="17">
        <v>44508</v>
      </c>
      <c r="V154" s="15" t="str">
        <f t="shared" si="6"/>
        <v>Complete</v>
      </c>
    </row>
    <row r="155" spans="1:22" ht="14.5" customHeight="1" x14ac:dyDescent="0.35">
      <c r="A155" s="18" t="s">
        <v>6871</v>
      </c>
      <c r="B155" s="18" t="s">
        <v>6731</v>
      </c>
      <c r="C155" s="18" t="s">
        <v>1099</v>
      </c>
      <c r="D155" s="18" t="s">
        <v>1100</v>
      </c>
      <c r="E155" s="18" t="s">
        <v>208</v>
      </c>
      <c r="F155" s="15" t="str">
        <f t="shared" si="7"/>
        <v>Other</v>
      </c>
      <c r="G155" s="18" t="s">
        <v>1101</v>
      </c>
      <c r="H155" s="18" t="s">
        <v>1102</v>
      </c>
      <c r="I155" s="18">
        <v>154</v>
      </c>
      <c r="J155" s="18">
        <v>154</v>
      </c>
      <c r="K155" s="18" t="s">
        <v>5</v>
      </c>
      <c r="L155" s="18" t="s">
        <v>1103</v>
      </c>
      <c r="M155" s="18" t="s">
        <v>1104</v>
      </c>
      <c r="N155" s="18" t="s">
        <v>117</v>
      </c>
      <c r="O155" s="18" t="s">
        <v>118</v>
      </c>
      <c r="P155" s="18" t="s">
        <v>1105</v>
      </c>
      <c r="Q155" s="22">
        <f t="shared" si="8"/>
        <v>62270000000</v>
      </c>
      <c r="R155" s="18">
        <v>1206.28</v>
      </c>
      <c r="S155" s="19">
        <v>-11.48</v>
      </c>
      <c r="T155" s="18">
        <v>122500161</v>
      </c>
      <c r="U155" s="20">
        <v>46111</v>
      </c>
      <c r="V155" s="18" t="str">
        <f t="shared" si="6"/>
        <v>Complete</v>
      </c>
    </row>
    <row r="156" spans="1:22" ht="14.5" customHeight="1" x14ac:dyDescent="0.35">
      <c r="A156" s="15" t="s">
        <v>6872</v>
      </c>
      <c r="B156" s="15" t="s">
        <v>6873</v>
      </c>
      <c r="C156" s="15" t="s">
        <v>1106</v>
      </c>
      <c r="D156" s="15" t="s">
        <v>1107</v>
      </c>
      <c r="E156" s="15" t="s">
        <v>13</v>
      </c>
      <c r="F156" s="15" t="str">
        <f t="shared" si="7"/>
        <v>Male</v>
      </c>
      <c r="G156" s="15" t="s">
        <v>1108</v>
      </c>
      <c r="H156" s="15" t="s">
        <v>1109</v>
      </c>
      <c r="I156" s="15">
        <v>155</v>
      </c>
      <c r="J156" s="15">
        <v>155</v>
      </c>
      <c r="K156" s="15" t="s">
        <v>32</v>
      </c>
      <c r="L156" s="15" t="s">
        <v>1110</v>
      </c>
      <c r="M156" s="15" t="s">
        <v>1111</v>
      </c>
      <c r="N156" s="15" t="s">
        <v>8033</v>
      </c>
      <c r="O156" s="15" t="s">
        <v>8033</v>
      </c>
      <c r="P156" s="15" t="s">
        <v>8033</v>
      </c>
      <c r="Q156" s="22">
        <f t="shared" si="8"/>
        <v>0</v>
      </c>
      <c r="R156" s="15">
        <v>398.51</v>
      </c>
      <c r="S156" s="16">
        <v>-11.9</v>
      </c>
      <c r="T156" s="15">
        <v>199433499</v>
      </c>
      <c r="U156" s="17">
        <v>45571</v>
      </c>
      <c r="V156" s="15" t="str">
        <f t="shared" si="6"/>
        <v>Missing</v>
      </c>
    </row>
    <row r="157" spans="1:22" ht="14.5" customHeight="1" x14ac:dyDescent="0.35">
      <c r="A157" s="18" t="s">
        <v>6874</v>
      </c>
      <c r="B157" s="18" t="s">
        <v>6875</v>
      </c>
      <c r="C157" s="18" t="s">
        <v>1112</v>
      </c>
      <c r="D157" s="18" t="s">
        <v>1113</v>
      </c>
      <c r="E157" s="18" t="s">
        <v>13</v>
      </c>
      <c r="F157" s="15" t="str">
        <f t="shared" si="7"/>
        <v>Male</v>
      </c>
      <c r="G157" s="18" t="s">
        <v>1114</v>
      </c>
      <c r="H157" s="18" t="s">
        <v>1115</v>
      </c>
      <c r="I157" s="18">
        <v>156</v>
      </c>
      <c r="J157" s="18">
        <v>156</v>
      </c>
      <c r="K157" s="18" t="s">
        <v>32</v>
      </c>
      <c r="L157" s="18" t="s">
        <v>1116</v>
      </c>
      <c r="M157" s="18" t="s">
        <v>1117</v>
      </c>
      <c r="N157" s="18" t="s">
        <v>66</v>
      </c>
      <c r="O157" s="18" t="s">
        <v>1082</v>
      </c>
      <c r="P157" s="18" t="s">
        <v>1118</v>
      </c>
      <c r="Q157" s="22">
        <f t="shared" si="8"/>
        <v>15620000000</v>
      </c>
      <c r="R157" s="18">
        <v>99.45</v>
      </c>
      <c r="S157" s="19">
        <v>-8.74</v>
      </c>
      <c r="T157" s="18">
        <v>197494865</v>
      </c>
      <c r="U157" s="20">
        <v>46178</v>
      </c>
      <c r="V157" s="18" t="str">
        <f t="shared" si="6"/>
        <v>Complete</v>
      </c>
    </row>
    <row r="158" spans="1:22" ht="14.5" customHeight="1" x14ac:dyDescent="0.35">
      <c r="A158" s="15" t="s">
        <v>6876</v>
      </c>
      <c r="B158" s="15" t="s">
        <v>6754</v>
      </c>
      <c r="C158" s="15" t="s">
        <v>1119</v>
      </c>
      <c r="D158" s="15" t="s">
        <v>1120</v>
      </c>
      <c r="E158" s="15" t="s">
        <v>2</v>
      </c>
      <c r="F158" s="15" t="str">
        <f t="shared" si="7"/>
        <v>Female</v>
      </c>
      <c r="G158" s="15" t="s">
        <v>1121</v>
      </c>
      <c r="H158" s="15" t="s">
        <v>1122</v>
      </c>
      <c r="I158" s="15">
        <v>157</v>
      </c>
      <c r="J158" s="15">
        <v>157</v>
      </c>
      <c r="K158" s="15" t="s">
        <v>32</v>
      </c>
      <c r="L158" s="15" t="s">
        <v>1123</v>
      </c>
      <c r="M158" s="15" t="s">
        <v>1124</v>
      </c>
      <c r="N158" s="15" t="s">
        <v>8033</v>
      </c>
      <c r="O158" s="15" t="s">
        <v>8033</v>
      </c>
      <c r="P158" s="15" t="s">
        <v>8033</v>
      </c>
      <c r="Q158" s="22">
        <f t="shared" si="8"/>
        <v>0</v>
      </c>
      <c r="R158" s="15">
        <v>1295.82</v>
      </c>
      <c r="S158" s="16">
        <v>16.28</v>
      </c>
      <c r="T158" s="15">
        <v>161450373</v>
      </c>
      <c r="U158" s="17">
        <v>45934</v>
      </c>
      <c r="V158" s="15" t="str">
        <f t="shared" si="6"/>
        <v>Missing</v>
      </c>
    </row>
    <row r="159" spans="1:22" ht="14.5" customHeight="1" x14ac:dyDescent="0.35">
      <c r="A159" s="18" t="s">
        <v>6877</v>
      </c>
      <c r="B159" s="18" t="s">
        <v>6878</v>
      </c>
      <c r="C159" s="18" t="s">
        <v>1125</v>
      </c>
      <c r="D159" s="18" t="s">
        <v>1126</v>
      </c>
      <c r="E159" s="18" t="s">
        <v>2</v>
      </c>
      <c r="F159" s="15" t="str">
        <f t="shared" si="7"/>
        <v>Female</v>
      </c>
      <c r="G159" s="18" t="s">
        <v>1127</v>
      </c>
      <c r="H159" s="18" t="s">
        <v>1128</v>
      </c>
      <c r="I159" s="18">
        <v>158</v>
      </c>
      <c r="J159" s="18">
        <v>158</v>
      </c>
      <c r="K159" s="18" t="s">
        <v>5</v>
      </c>
      <c r="L159" s="18" t="s">
        <v>1129</v>
      </c>
      <c r="M159" s="18" t="s">
        <v>1130</v>
      </c>
      <c r="N159" s="18" t="s">
        <v>48</v>
      </c>
      <c r="O159" s="18" t="s">
        <v>57</v>
      </c>
      <c r="P159" s="18" t="s">
        <v>1131</v>
      </c>
      <c r="Q159" s="22">
        <f t="shared" si="8"/>
        <v>414730000</v>
      </c>
      <c r="R159" s="18">
        <v>1812.01</v>
      </c>
      <c r="S159" s="19">
        <v>10.52</v>
      </c>
      <c r="T159" s="18">
        <v>51249609</v>
      </c>
      <c r="U159" s="20">
        <v>44597</v>
      </c>
      <c r="V159" s="18" t="str">
        <f t="shared" si="6"/>
        <v>Complete</v>
      </c>
    </row>
    <row r="160" spans="1:22" ht="14.5" customHeight="1" x14ac:dyDescent="0.35">
      <c r="A160" s="15" t="s">
        <v>6879</v>
      </c>
      <c r="B160" s="15" t="s">
        <v>6880</v>
      </c>
      <c r="C160" s="15" t="s">
        <v>1132</v>
      </c>
      <c r="D160" s="15" t="s">
        <v>1133</v>
      </c>
      <c r="E160" s="15" t="s">
        <v>2</v>
      </c>
      <c r="F160" s="15" t="str">
        <f t="shared" si="7"/>
        <v>Female</v>
      </c>
      <c r="G160" s="15" t="s">
        <v>1134</v>
      </c>
      <c r="H160" s="15" t="s">
        <v>1135</v>
      </c>
      <c r="I160" s="15">
        <v>159</v>
      </c>
      <c r="J160" s="15">
        <v>159</v>
      </c>
      <c r="K160" s="15" t="s">
        <v>32</v>
      </c>
      <c r="L160" s="15" t="s">
        <v>1136</v>
      </c>
      <c r="M160" s="15" t="s">
        <v>1137</v>
      </c>
      <c r="N160" s="15" t="s">
        <v>134</v>
      </c>
      <c r="O160" s="15" t="s">
        <v>1138</v>
      </c>
      <c r="P160" s="15" t="s">
        <v>1139</v>
      </c>
      <c r="Q160" s="22">
        <f t="shared" si="8"/>
        <v>13530000000</v>
      </c>
      <c r="R160" s="15">
        <v>228.82</v>
      </c>
      <c r="S160" s="16">
        <v>11.93</v>
      </c>
      <c r="T160" s="15">
        <v>84589315</v>
      </c>
      <c r="U160" s="17">
        <v>44637</v>
      </c>
      <c r="V160" s="15" t="str">
        <f t="shared" si="6"/>
        <v>Complete</v>
      </c>
    </row>
    <row r="161" spans="1:22" ht="14.5" customHeight="1" x14ac:dyDescent="0.35">
      <c r="A161" s="18" t="s">
        <v>6881</v>
      </c>
      <c r="B161" s="18" t="s">
        <v>6882</v>
      </c>
      <c r="C161" s="18" t="s">
        <v>1140</v>
      </c>
      <c r="D161" s="18" t="s">
        <v>1141</v>
      </c>
      <c r="E161" s="18" t="s">
        <v>2</v>
      </c>
      <c r="F161" s="15" t="str">
        <f t="shared" si="7"/>
        <v>Female</v>
      </c>
      <c r="G161" s="18" t="s">
        <v>1142</v>
      </c>
      <c r="H161" s="18" t="s">
        <v>1143</v>
      </c>
      <c r="I161" s="18">
        <v>160</v>
      </c>
      <c r="J161" s="18">
        <v>160</v>
      </c>
      <c r="K161" s="18" t="s">
        <v>5</v>
      </c>
      <c r="L161" s="18" t="s">
        <v>1144</v>
      </c>
      <c r="M161" s="18" t="s">
        <v>1145</v>
      </c>
      <c r="N161" s="18" t="s">
        <v>8</v>
      </c>
      <c r="O161" s="18" t="s">
        <v>26</v>
      </c>
      <c r="P161" s="18" t="s">
        <v>1146</v>
      </c>
      <c r="Q161" s="22">
        <f t="shared" si="8"/>
        <v>180660000</v>
      </c>
      <c r="R161" s="18">
        <v>624.6</v>
      </c>
      <c r="S161" s="19">
        <v>1.37</v>
      </c>
      <c r="T161" s="18">
        <v>153539552</v>
      </c>
      <c r="U161" s="20">
        <v>43935</v>
      </c>
      <c r="V161" s="18" t="str">
        <f t="shared" si="6"/>
        <v>Complete</v>
      </c>
    </row>
    <row r="162" spans="1:22" ht="14.5" customHeight="1" x14ac:dyDescent="0.35">
      <c r="A162" s="15" t="s">
        <v>6883</v>
      </c>
      <c r="B162" s="15" t="s">
        <v>6884</v>
      </c>
      <c r="C162" s="15" t="s">
        <v>1147</v>
      </c>
      <c r="D162" s="15" t="s">
        <v>1148</v>
      </c>
      <c r="E162" s="15" t="s">
        <v>2</v>
      </c>
      <c r="F162" s="15" t="str">
        <f t="shared" si="7"/>
        <v>Female</v>
      </c>
      <c r="G162" s="15" t="s">
        <v>1149</v>
      </c>
      <c r="H162" s="15" t="s">
        <v>1150</v>
      </c>
      <c r="I162" s="15">
        <v>161</v>
      </c>
      <c r="J162" s="15">
        <v>161</v>
      </c>
      <c r="K162" s="15" t="s">
        <v>5</v>
      </c>
      <c r="L162" s="15" t="s">
        <v>1151</v>
      </c>
      <c r="M162" s="15" t="s">
        <v>1152</v>
      </c>
      <c r="N162" s="15" t="s">
        <v>8</v>
      </c>
      <c r="O162" s="15" t="s">
        <v>1153</v>
      </c>
      <c r="P162" s="15" t="s">
        <v>1154</v>
      </c>
      <c r="Q162" s="22">
        <f t="shared" si="8"/>
        <v>13020000</v>
      </c>
      <c r="R162" s="15">
        <v>1473.68</v>
      </c>
      <c r="S162" s="16">
        <v>-18.11</v>
      </c>
      <c r="T162" s="15">
        <v>147688697</v>
      </c>
      <c r="U162" s="17">
        <v>45124</v>
      </c>
      <c r="V162" s="15" t="str">
        <f t="shared" si="6"/>
        <v>Complete</v>
      </c>
    </row>
    <row r="163" spans="1:22" ht="14.5" customHeight="1" x14ac:dyDescent="0.35">
      <c r="A163" s="18" t="s">
        <v>6885</v>
      </c>
      <c r="B163" s="18" t="s">
        <v>6886</v>
      </c>
      <c r="C163" s="18" t="s">
        <v>346</v>
      </c>
      <c r="D163" s="18" t="s">
        <v>1155</v>
      </c>
      <c r="E163" s="18" t="s">
        <v>13</v>
      </c>
      <c r="F163" s="15" t="str">
        <f t="shared" si="7"/>
        <v>Male</v>
      </c>
      <c r="G163" s="18" t="s">
        <v>1156</v>
      </c>
      <c r="H163" s="18" t="s">
        <v>1157</v>
      </c>
      <c r="I163" s="18">
        <v>162</v>
      </c>
      <c r="J163" s="18">
        <v>162</v>
      </c>
      <c r="K163" s="18" t="s">
        <v>5</v>
      </c>
      <c r="L163" s="18" t="s">
        <v>1158</v>
      </c>
      <c r="M163" s="18" t="s">
        <v>1159</v>
      </c>
      <c r="N163" s="18" t="s">
        <v>142</v>
      </c>
      <c r="O163" s="18" t="s">
        <v>143</v>
      </c>
      <c r="P163" s="18" t="s">
        <v>1160</v>
      </c>
      <c r="Q163" s="22">
        <f t="shared" si="8"/>
        <v>267730000.00000003</v>
      </c>
      <c r="R163" s="18">
        <v>1161.6500000000001</v>
      </c>
      <c r="S163" s="19">
        <v>18.14</v>
      </c>
      <c r="T163" s="18">
        <v>164777040</v>
      </c>
      <c r="U163" s="20">
        <v>43880</v>
      </c>
      <c r="V163" s="18" t="str">
        <f t="shared" si="6"/>
        <v>Complete</v>
      </c>
    </row>
    <row r="164" spans="1:22" ht="14.5" customHeight="1" x14ac:dyDescent="0.35">
      <c r="A164" s="15" t="s">
        <v>6887</v>
      </c>
      <c r="B164" s="15" t="s">
        <v>6888</v>
      </c>
      <c r="C164" s="15" t="s">
        <v>1161</v>
      </c>
      <c r="D164" s="15" t="s">
        <v>1162</v>
      </c>
      <c r="E164" s="15" t="s">
        <v>2</v>
      </c>
      <c r="F164" s="15" t="str">
        <f t="shared" si="7"/>
        <v>Female</v>
      </c>
      <c r="G164" s="15" t="s">
        <v>1163</v>
      </c>
      <c r="H164" s="15" t="s">
        <v>1164</v>
      </c>
      <c r="I164" s="15">
        <v>163</v>
      </c>
      <c r="J164" s="15">
        <v>163</v>
      </c>
      <c r="K164" s="15" t="s">
        <v>5</v>
      </c>
      <c r="L164" s="15" t="s">
        <v>1165</v>
      </c>
      <c r="M164" s="15" t="s">
        <v>1166</v>
      </c>
      <c r="N164" s="15" t="s">
        <v>8</v>
      </c>
      <c r="O164" s="15" t="s">
        <v>600</v>
      </c>
      <c r="P164" s="15" t="s">
        <v>1167</v>
      </c>
      <c r="Q164" s="22">
        <f t="shared" si="8"/>
        <v>259779999.99999997</v>
      </c>
      <c r="R164" s="15">
        <v>1025.1500000000001</v>
      </c>
      <c r="S164" s="16">
        <v>-14.32</v>
      </c>
      <c r="T164" s="15">
        <v>87093141</v>
      </c>
      <c r="U164" s="17">
        <v>44696</v>
      </c>
      <c r="V164" s="15" t="str">
        <f t="shared" si="6"/>
        <v>Complete</v>
      </c>
    </row>
    <row r="165" spans="1:22" ht="14.5" customHeight="1" x14ac:dyDescent="0.35">
      <c r="A165" s="18" t="s">
        <v>6889</v>
      </c>
      <c r="B165" s="18" t="s">
        <v>6815</v>
      </c>
      <c r="C165" s="18" t="s">
        <v>1168</v>
      </c>
      <c r="D165" s="18" t="s">
        <v>1169</v>
      </c>
      <c r="E165" s="18" t="s">
        <v>2</v>
      </c>
      <c r="F165" s="15" t="str">
        <f t="shared" si="7"/>
        <v>Female</v>
      </c>
      <c r="G165" s="18" t="s">
        <v>1170</v>
      </c>
      <c r="H165" s="18" t="s">
        <v>1171</v>
      </c>
      <c r="I165" s="18">
        <v>164</v>
      </c>
      <c r="J165" s="18">
        <v>164</v>
      </c>
      <c r="K165" s="18" t="s">
        <v>32</v>
      </c>
      <c r="L165" s="18" t="s">
        <v>1172</v>
      </c>
      <c r="M165" s="18" t="s">
        <v>1173</v>
      </c>
      <c r="N165" s="18" t="s">
        <v>323</v>
      </c>
      <c r="O165" s="18" t="s">
        <v>1097</v>
      </c>
      <c r="P165" s="18" t="s">
        <v>1174</v>
      </c>
      <c r="Q165" s="22">
        <f t="shared" si="8"/>
        <v>14450000000</v>
      </c>
      <c r="R165" s="18">
        <v>1247.8599999999999</v>
      </c>
      <c r="S165" s="19">
        <v>18.97</v>
      </c>
      <c r="T165" s="18">
        <v>122494379</v>
      </c>
      <c r="U165" s="20">
        <v>46224</v>
      </c>
      <c r="V165" s="18" t="str">
        <f t="shared" si="6"/>
        <v>Complete</v>
      </c>
    </row>
    <row r="166" spans="1:22" ht="14.5" customHeight="1" x14ac:dyDescent="0.35">
      <c r="A166" s="15" t="s">
        <v>6890</v>
      </c>
      <c r="B166" s="15" t="s">
        <v>6891</v>
      </c>
      <c r="C166" s="15" t="s">
        <v>1175</v>
      </c>
      <c r="D166" s="15" t="s">
        <v>1176</v>
      </c>
      <c r="E166" s="15" t="s">
        <v>2</v>
      </c>
      <c r="F166" s="15" t="str">
        <f t="shared" si="7"/>
        <v>Female</v>
      </c>
      <c r="G166" s="15" t="s">
        <v>1177</v>
      </c>
      <c r="H166" s="15" t="s">
        <v>1178</v>
      </c>
      <c r="I166" s="15">
        <v>165</v>
      </c>
      <c r="J166" s="15">
        <v>165</v>
      </c>
      <c r="K166" s="15" t="s">
        <v>32</v>
      </c>
      <c r="L166" s="15" t="s">
        <v>1179</v>
      </c>
      <c r="M166" s="15" t="s">
        <v>1180</v>
      </c>
      <c r="N166" s="15" t="s">
        <v>25</v>
      </c>
      <c r="O166" s="15" t="s">
        <v>1181</v>
      </c>
      <c r="P166" s="15" t="s">
        <v>1182</v>
      </c>
      <c r="Q166" s="22">
        <f t="shared" si="8"/>
        <v>23640000000</v>
      </c>
      <c r="R166" s="15">
        <v>250.05</v>
      </c>
      <c r="S166" s="16">
        <v>-5.33</v>
      </c>
      <c r="T166" s="15">
        <v>102372428</v>
      </c>
      <c r="U166" s="17">
        <v>45857</v>
      </c>
      <c r="V166" s="15" t="str">
        <f t="shared" si="6"/>
        <v>Complete</v>
      </c>
    </row>
    <row r="167" spans="1:22" ht="14.5" customHeight="1" x14ac:dyDescent="0.35">
      <c r="A167" s="18" t="s">
        <v>6892</v>
      </c>
      <c r="B167" s="18" t="s">
        <v>6665</v>
      </c>
      <c r="C167" s="18" t="s">
        <v>1183</v>
      </c>
      <c r="D167" s="18" t="s">
        <v>1184</v>
      </c>
      <c r="E167" s="18" t="s">
        <v>2</v>
      </c>
      <c r="F167" s="15" t="str">
        <f t="shared" si="7"/>
        <v>Female</v>
      </c>
      <c r="G167" s="18" t="s">
        <v>1185</v>
      </c>
      <c r="H167" s="18" t="s">
        <v>1186</v>
      </c>
      <c r="I167" s="18">
        <v>166</v>
      </c>
      <c r="J167" s="18">
        <v>166</v>
      </c>
      <c r="K167" s="18" t="s">
        <v>5</v>
      </c>
      <c r="L167" s="18" t="s">
        <v>1187</v>
      </c>
      <c r="M167" s="18" t="s">
        <v>1188</v>
      </c>
      <c r="N167" s="18" t="s">
        <v>48</v>
      </c>
      <c r="O167" s="18" t="s">
        <v>484</v>
      </c>
      <c r="P167" s="18" t="s">
        <v>1189</v>
      </c>
      <c r="Q167" s="22">
        <f t="shared" si="8"/>
        <v>167240000</v>
      </c>
      <c r="R167" s="18">
        <v>1327.22</v>
      </c>
      <c r="S167" s="19">
        <v>-10.67</v>
      </c>
      <c r="T167" s="18">
        <v>19694795</v>
      </c>
      <c r="U167" s="20">
        <v>44583</v>
      </c>
      <c r="V167" s="18" t="str">
        <f t="shared" si="6"/>
        <v>Complete</v>
      </c>
    </row>
    <row r="168" spans="1:22" ht="14.5" customHeight="1" x14ac:dyDescent="0.35">
      <c r="A168" s="15" t="s">
        <v>6893</v>
      </c>
      <c r="B168" s="15" t="s">
        <v>6894</v>
      </c>
      <c r="C168" s="15" t="s">
        <v>1190</v>
      </c>
      <c r="D168" s="15" t="s">
        <v>1191</v>
      </c>
      <c r="E168" s="15" t="s">
        <v>13</v>
      </c>
      <c r="F168" s="15" t="str">
        <f t="shared" si="7"/>
        <v>Male</v>
      </c>
      <c r="G168" s="15" t="s">
        <v>1192</v>
      </c>
      <c r="H168" s="15" t="s">
        <v>1193</v>
      </c>
      <c r="I168" s="15">
        <v>167</v>
      </c>
      <c r="J168" s="15">
        <v>167</v>
      </c>
      <c r="K168" s="15" t="s">
        <v>32</v>
      </c>
      <c r="L168" s="15" t="s">
        <v>1194</v>
      </c>
      <c r="M168" s="15" t="s">
        <v>1195</v>
      </c>
      <c r="N168" s="15" t="s">
        <v>323</v>
      </c>
      <c r="O168" s="15" t="s">
        <v>1097</v>
      </c>
      <c r="P168" s="15" t="s">
        <v>1196</v>
      </c>
      <c r="Q168" s="22">
        <f t="shared" si="8"/>
        <v>3720000000</v>
      </c>
      <c r="R168" s="15">
        <v>900.78</v>
      </c>
      <c r="S168" s="16">
        <v>2.16</v>
      </c>
      <c r="T168" s="15">
        <v>18837395</v>
      </c>
      <c r="U168" s="17">
        <v>43979</v>
      </c>
      <c r="V168" s="15" t="str">
        <f t="shared" si="6"/>
        <v>Complete</v>
      </c>
    </row>
    <row r="169" spans="1:22" ht="14.5" customHeight="1" x14ac:dyDescent="0.35">
      <c r="A169" s="18" t="s">
        <v>6895</v>
      </c>
      <c r="B169" s="18" t="s">
        <v>6896</v>
      </c>
      <c r="C169" s="18" t="s">
        <v>1197</v>
      </c>
      <c r="D169" s="18" t="s">
        <v>1198</v>
      </c>
      <c r="E169" s="18" t="s">
        <v>13</v>
      </c>
      <c r="F169" s="15" t="str">
        <f t="shared" si="7"/>
        <v>Male</v>
      </c>
      <c r="G169" s="18" t="s">
        <v>1199</v>
      </c>
      <c r="H169" s="18" t="s">
        <v>1200</v>
      </c>
      <c r="I169" s="18">
        <v>168</v>
      </c>
      <c r="J169" s="18">
        <v>168</v>
      </c>
      <c r="K169" s="18" t="s">
        <v>32</v>
      </c>
      <c r="L169" s="18" t="s">
        <v>1201</v>
      </c>
      <c r="M169" s="18" t="s">
        <v>1202</v>
      </c>
      <c r="N169" s="18" t="s">
        <v>8033</v>
      </c>
      <c r="O169" s="18" t="s">
        <v>8033</v>
      </c>
      <c r="P169" s="18" t="s">
        <v>1203</v>
      </c>
      <c r="Q169" s="22">
        <f t="shared" si="8"/>
        <v>171900000</v>
      </c>
      <c r="R169" s="18">
        <v>1887.58</v>
      </c>
      <c r="S169" s="19">
        <v>-14.64</v>
      </c>
      <c r="T169" s="18">
        <v>165091024</v>
      </c>
      <c r="U169" s="20">
        <v>44115</v>
      </c>
      <c r="V169" s="18" t="str">
        <f t="shared" si="6"/>
        <v>Missing</v>
      </c>
    </row>
    <row r="170" spans="1:22" ht="14.5" customHeight="1" x14ac:dyDescent="0.35">
      <c r="A170" s="15" t="s">
        <v>6897</v>
      </c>
      <c r="B170" s="15" t="s">
        <v>6898</v>
      </c>
      <c r="C170" s="15" t="s">
        <v>1204</v>
      </c>
      <c r="D170" s="15" t="s">
        <v>1205</v>
      </c>
      <c r="E170" s="15" t="s">
        <v>2</v>
      </c>
      <c r="F170" s="15" t="str">
        <f t="shared" si="7"/>
        <v>Female</v>
      </c>
      <c r="G170" s="15" t="s">
        <v>1206</v>
      </c>
      <c r="H170" s="15" t="s">
        <v>1207</v>
      </c>
      <c r="I170" s="15">
        <v>169</v>
      </c>
      <c r="J170" s="15">
        <v>169</v>
      </c>
      <c r="K170" s="15" t="s">
        <v>32</v>
      </c>
      <c r="L170" s="15" t="s">
        <v>1208</v>
      </c>
      <c r="M170" s="15" t="s">
        <v>1209</v>
      </c>
      <c r="N170" s="15" t="s">
        <v>8</v>
      </c>
      <c r="O170" s="15" t="s">
        <v>9</v>
      </c>
      <c r="P170" s="15" t="s">
        <v>1210</v>
      </c>
      <c r="Q170" s="22">
        <f t="shared" si="8"/>
        <v>4610000000</v>
      </c>
      <c r="R170" s="15">
        <v>1475.21</v>
      </c>
      <c r="S170" s="16">
        <v>10.220000000000001</v>
      </c>
      <c r="T170" s="15">
        <v>120726077</v>
      </c>
      <c r="U170" s="17">
        <v>45908</v>
      </c>
      <c r="V170" s="15" t="str">
        <f t="shared" si="6"/>
        <v>Complete</v>
      </c>
    </row>
    <row r="171" spans="1:22" ht="14.5" customHeight="1" x14ac:dyDescent="0.35">
      <c r="A171" s="18" t="s">
        <v>6899</v>
      </c>
      <c r="B171" s="18" t="s">
        <v>6900</v>
      </c>
      <c r="C171" s="18" t="s">
        <v>1211</v>
      </c>
      <c r="D171" s="18" t="s">
        <v>1212</v>
      </c>
      <c r="E171" s="18" t="s">
        <v>2</v>
      </c>
      <c r="F171" s="15" t="str">
        <f t="shared" si="7"/>
        <v>Female</v>
      </c>
      <c r="G171" s="18" t="s">
        <v>1213</v>
      </c>
      <c r="H171" s="18" t="s">
        <v>1214</v>
      </c>
      <c r="I171" s="18">
        <v>170</v>
      </c>
      <c r="J171" s="18">
        <v>170</v>
      </c>
      <c r="K171" s="18" t="s">
        <v>5</v>
      </c>
      <c r="L171" s="18" t="s">
        <v>1215</v>
      </c>
      <c r="M171" s="18" t="s">
        <v>1216</v>
      </c>
      <c r="N171" s="18" t="s">
        <v>48</v>
      </c>
      <c r="O171" s="18" t="s">
        <v>57</v>
      </c>
      <c r="P171" s="18" t="s">
        <v>1217</v>
      </c>
      <c r="Q171" s="22">
        <f t="shared" si="8"/>
        <v>161780000</v>
      </c>
      <c r="R171" s="18">
        <v>501.63</v>
      </c>
      <c r="S171" s="19">
        <v>7.81</v>
      </c>
      <c r="T171" s="18">
        <v>38375048</v>
      </c>
      <c r="U171" s="20">
        <v>45408</v>
      </c>
      <c r="V171" s="18" t="str">
        <f t="shared" si="6"/>
        <v>Complete</v>
      </c>
    </row>
    <row r="172" spans="1:22" ht="14.5" customHeight="1" x14ac:dyDescent="0.35">
      <c r="A172" s="15" t="s">
        <v>6901</v>
      </c>
      <c r="B172" s="15" t="s">
        <v>6902</v>
      </c>
      <c r="C172" s="15" t="s">
        <v>1218</v>
      </c>
      <c r="D172" s="15" t="s">
        <v>1219</v>
      </c>
      <c r="E172" s="15" t="s">
        <v>2</v>
      </c>
      <c r="F172" s="15" t="str">
        <f t="shared" si="7"/>
        <v>Female</v>
      </c>
      <c r="G172" s="15" t="s">
        <v>1220</v>
      </c>
      <c r="H172" s="15" t="s">
        <v>1221</v>
      </c>
      <c r="I172" s="15">
        <v>171</v>
      </c>
      <c r="J172" s="15">
        <v>171</v>
      </c>
      <c r="K172" s="15" t="s">
        <v>5</v>
      </c>
      <c r="L172" s="15" t="s">
        <v>1222</v>
      </c>
      <c r="M172" s="15" t="s">
        <v>1223</v>
      </c>
      <c r="N172" s="15" t="s">
        <v>48</v>
      </c>
      <c r="O172" s="15" t="s">
        <v>57</v>
      </c>
      <c r="P172" s="15" t="s">
        <v>1224</v>
      </c>
      <c r="Q172" s="22">
        <f t="shared" si="8"/>
        <v>229800000</v>
      </c>
      <c r="R172" s="15">
        <v>232.86</v>
      </c>
      <c r="S172" s="16">
        <v>17.45</v>
      </c>
      <c r="T172" s="15">
        <v>61384716</v>
      </c>
      <c r="U172" s="17">
        <v>44938</v>
      </c>
      <c r="V172" s="15" t="str">
        <f t="shared" si="6"/>
        <v>Complete</v>
      </c>
    </row>
    <row r="173" spans="1:22" ht="14.5" customHeight="1" x14ac:dyDescent="0.35">
      <c r="A173" s="18" t="s">
        <v>6903</v>
      </c>
      <c r="B173" s="18" t="s">
        <v>6904</v>
      </c>
      <c r="C173" s="18" t="s">
        <v>1225</v>
      </c>
      <c r="D173" s="18" t="s">
        <v>1226</v>
      </c>
      <c r="E173" s="18" t="s">
        <v>13</v>
      </c>
      <c r="F173" s="15" t="str">
        <f t="shared" si="7"/>
        <v>Male</v>
      </c>
      <c r="G173" s="18" t="s">
        <v>1227</v>
      </c>
      <c r="H173" s="18" t="s">
        <v>1228</v>
      </c>
      <c r="I173" s="18">
        <v>172</v>
      </c>
      <c r="J173" s="18">
        <v>172</v>
      </c>
      <c r="K173" s="18" t="s">
        <v>5</v>
      </c>
      <c r="L173" s="18" t="s">
        <v>1229</v>
      </c>
      <c r="M173" s="18" t="s">
        <v>1230</v>
      </c>
      <c r="N173" s="18" t="s">
        <v>48</v>
      </c>
      <c r="O173" s="18" t="s">
        <v>204</v>
      </c>
      <c r="P173" s="18" t="s">
        <v>1231</v>
      </c>
      <c r="Q173" s="22">
        <f t="shared" si="8"/>
        <v>725830000</v>
      </c>
      <c r="R173" s="18">
        <v>763.12</v>
      </c>
      <c r="S173" s="19">
        <v>-14.15</v>
      </c>
      <c r="T173" s="18">
        <v>160786732</v>
      </c>
      <c r="U173" s="20">
        <v>45435</v>
      </c>
      <c r="V173" s="18" t="str">
        <f t="shared" si="6"/>
        <v>Complete</v>
      </c>
    </row>
    <row r="174" spans="1:22" ht="14.5" customHeight="1" x14ac:dyDescent="0.35">
      <c r="A174" s="15" t="s">
        <v>6905</v>
      </c>
      <c r="B174" s="15" t="s">
        <v>6902</v>
      </c>
      <c r="C174" s="15" t="s">
        <v>1232</v>
      </c>
      <c r="D174" s="15" t="s">
        <v>1233</v>
      </c>
      <c r="E174" s="15" t="s">
        <v>2</v>
      </c>
      <c r="F174" s="15" t="str">
        <f t="shared" si="7"/>
        <v>Female</v>
      </c>
      <c r="G174" s="15" t="s">
        <v>1234</v>
      </c>
      <c r="H174" s="15" t="s">
        <v>1235</v>
      </c>
      <c r="I174" s="15">
        <v>173</v>
      </c>
      <c r="J174" s="15">
        <v>173</v>
      </c>
      <c r="K174" s="15" t="s">
        <v>32</v>
      </c>
      <c r="L174" s="15" t="s">
        <v>1136</v>
      </c>
      <c r="M174" s="15" t="s">
        <v>1137</v>
      </c>
      <c r="N174" s="15" t="s">
        <v>134</v>
      </c>
      <c r="O174" s="15" t="s">
        <v>1138</v>
      </c>
      <c r="P174" s="15" t="s">
        <v>1139</v>
      </c>
      <c r="Q174" s="22">
        <f t="shared" si="8"/>
        <v>13530000000</v>
      </c>
      <c r="R174" s="15">
        <v>1296.3900000000001</v>
      </c>
      <c r="S174" s="16">
        <v>15</v>
      </c>
      <c r="T174" s="15">
        <v>183185806</v>
      </c>
      <c r="U174" s="17">
        <v>44908</v>
      </c>
      <c r="V174" s="15" t="str">
        <f t="shared" si="6"/>
        <v>Complete</v>
      </c>
    </row>
    <row r="175" spans="1:22" ht="14.5" customHeight="1" x14ac:dyDescent="0.35">
      <c r="A175" s="18" t="s">
        <v>6906</v>
      </c>
      <c r="B175" s="18" t="s">
        <v>6907</v>
      </c>
      <c r="C175" s="18" t="s">
        <v>1236</v>
      </c>
      <c r="D175" s="18" t="s">
        <v>1237</v>
      </c>
      <c r="E175" s="18" t="s">
        <v>13</v>
      </c>
      <c r="F175" s="15" t="str">
        <f t="shared" si="7"/>
        <v>Male</v>
      </c>
      <c r="G175" s="18" t="s">
        <v>1238</v>
      </c>
      <c r="H175" s="18" t="s">
        <v>1239</v>
      </c>
      <c r="I175" s="18">
        <v>174</v>
      </c>
      <c r="J175" s="18">
        <v>174</v>
      </c>
      <c r="K175" s="18" t="s">
        <v>5</v>
      </c>
      <c r="L175" s="18" t="s">
        <v>1240</v>
      </c>
      <c r="M175" s="18" t="s">
        <v>1241</v>
      </c>
      <c r="N175" s="18" t="s">
        <v>189</v>
      </c>
      <c r="O175" s="18" t="s">
        <v>805</v>
      </c>
      <c r="P175" s="18" t="s">
        <v>1242</v>
      </c>
      <c r="Q175" s="22">
        <f t="shared" si="8"/>
        <v>36350000</v>
      </c>
      <c r="R175" s="18">
        <v>1648.66</v>
      </c>
      <c r="S175" s="19">
        <v>15.47</v>
      </c>
      <c r="T175" s="18">
        <v>119200481</v>
      </c>
      <c r="U175" s="20">
        <v>45512</v>
      </c>
      <c r="V175" s="18" t="str">
        <f t="shared" si="6"/>
        <v>Complete</v>
      </c>
    </row>
    <row r="176" spans="1:22" ht="14.5" customHeight="1" x14ac:dyDescent="0.35">
      <c r="A176" s="15" t="s">
        <v>6908</v>
      </c>
      <c r="B176" s="15" t="s">
        <v>6909</v>
      </c>
      <c r="C176" s="15" t="s">
        <v>1243</v>
      </c>
      <c r="D176" s="15" t="s">
        <v>1244</v>
      </c>
      <c r="E176" s="15" t="s">
        <v>2</v>
      </c>
      <c r="F176" s="15" t="str">
        <f t="shared" si="7"/>
        <v>Female</v>
      </c>
      <c r="G176" s="15" t="s">
        <v>1245</v>
      </c>
      <c r="H176" s="15" t="s">
        <v>1246</v>
      </c>
      <c r="I176" s="15">
        <v>175</v>
      </c>
      <c r="J176" s="15">
        <v>175</v>
      </c>
      <c r="K176" s="15" t="s">
        <v>32</v>
      </c>
      <c r="L176" s="15" t="s">
        <v>1247</v>
      </c>
      <c r="M176" s="15" t="s">
        <v>337</v>
      </c>
      <c r="N176" s="15" t="s">
        <v>8033</v>
      </c>
      <c r="O176" s="15" t="s">
        <v>8033</v>
      </c>
      <c r="P176" s="15" t="s">
        <v>8033</v>
      </c>
      <c r="Q176" s="22">
        <f t="shared" si="8"/>
        <v>0</v>
      </c>
      <c r="R176" s="15">
        <v>210.28</v>
      </c>
      <c r="S176" s="16">
        <v>-6.05</v>
      </c>
      <c r="T176" s="15">
        <v>13618348</v>
      </c>
      <c r="U176" s="17">
        <v>44718</v>
      </c>
      <c r="V176" s="15" t="str">
        <f t="shared" si="6"/>
        <v>Missing</v>
      </c>
    </row>
    <row r="177" spans="1:22" ht="14.5" customHeight="1" x14ac:dyDescent="0.35">
      <c r="A177" s="18" t="s">
        <v>6910</v>
      </c>
      <c r="B177" s="18" t="s">
        <v>6613</v>
      </c>
      <c r="C177" s="18" t="s">
        <v>1248</v>
      </c>
      <c r="D177" s="18" t="s">
        <v>1249</v>
      </c>
      <c r="E177" s="18" t="s">
        <v>2</v>
      </c>
      <c r="F177" s="15" t="str">
        <f t="shared" si="7"/>
        <v>Female</v>
      </c>
      <c r="G177" s="18" t="s">
        <v>1250</v>
      </c>
      <c r="H177" s="18" t="s">
        <v>1251</v>
      </c>
      <c r="I177" s="18">
        <v>176</v>
      </c>
      <c r="J177" s="18">
        <v>176</v>
      </c>
      <c r="K177" s="18" t="s">
        <v>5</v>
      </c>
      <c r="L177" s="18" t="s">
        <v>1252</v>
      </c>
      <c r="M177" s="18" t="s">
        <v>1253</v>
      </c>
      <c r="N177" s="18" t="s">
        <v>66</v>
      </c>
      <c r="O177" s="18" t="s">
        <v>422</v>
      </c>
      <c r="P177" s="18" t="s">
        <v>1254</v>
      </c>
      <c r="Q177" s="22">
        <f t="shared" si="8"/>
        <v>47920000</v>
      </c>
      <c r="R177" s="18">
        <v>713.08</v>
      </c>
      <c r="S177" s="19">
        <v>0.92</v>
      </c>
      <c r="T177" s="18">
        <v>94882450</v>
      </c>
      <c r="U177" s="20">
        <v>45601</v>
      </c>
      <c r="V177" s="18" t="str">
        <f t="shared" si="6"/>
        <v>Complete</v>
      </c>
    </row>
    <row r="178" spans="1:22" ht="14.5" customHeight="1" x14ac:dyDescent="0.35">
      <c r="A178" s="15" t="s">
        <v>6911</v>
      </c>
      <c r="B178" s="15" t="s">
        <v>6912</v>
      </c>
      <c r="C178" s="15" t="s">
        <v>1255</v>
      </c>
      <c r="D178" s="15" t="s">
        <v>1256</v>
      </c>
      <c r="E178" s="15" t="s">
        <v>2</v>
      </c>
      <c r="F178" s="15" t="str">
        <f t="shared" si="7"/>
        <v>Female</v>
      </c>
      <c r="G178" s="15" t="s">
        <v>1257</v>
      </c>
      <c r="H178" s="15" t="s">
        <v>1258</v>
      </c>
      <c r="I178" s="15">
        <v>177</v>
      </c>
      <c r="J178" s="15">
        <v>177</v>
      </c>
      <c r="K178" s="15" t="s">
        <v>5</v>
      </c>
      <c r="L178" s="15" t="s">
        <v>1259</v>
      </c>
      <c r="M178" s="15" t="s">
        <v>1260</v>
      </c>
      <c r="N178" s="15" t="s">
        <v>90</v>
      </c>
      <c r="O178" s="15" t="s">
        <v>1261</v>
      </c>
      <c r="P178" s="15" t="s">
        <v>1262</v>
      </c>
      <c r="Q178" s="22">
        <f t="shared" si="8"/>
        <v>13740000000</v>
      </c>
      <c r="R178" s="15">
        <v>181.84</v>
      </c>
      <c r="S178" s="16">
        <v>3.13</v>
      </c>
      <c r="T178" s="15">
        <v>65244268</v>
      </c>
      <c r="U178" s="17">
        <v>44489</v>
      </c>
      <c r="V178" s="15" t="str">
        <f t="shared" si="6"/>
        <v>Complete</v>
      </c>
    </row>
    <row r="179" spans="1:22" ht="14.5" customHeight="1" x14ac:dyDescent="0.35">
      <c r="A179" s="18" t="s">
        <v>6913</v>
      </c>
      <c r="B179" s="18" t="s">
        <v>6914</v>
      </c>
      <c r="C179" s="18" t="s">
        <v>1263</v>
      </c>
      <c r="D179" s="18" t="s">
        <v>1264</v>
      </c>
      <c r="E179" s="18" t="s">
        <v>2</v>
      </c>
      <c r="F179" s="15" t="str">
        <f t="shared" si="7"/>
        <v>Female</v>
      </c>
      <c r="G179" s="18" t="s">
        <v>1265</v>
      </c>
      <c r="H179" s="18" t="s">
        <v>1266</v>
      </c>
      <c r="I179" s="18">
        <v>178</v>
      </c>
      <c r="J179" s="18">
        <v>178</v>
      </c>
      <c r="K179" s="18" t="s">
        <v>32</v>
      </c>
      <c r="L179" s="18" t="s">
        <v>1267</v>
      </c>
      <c r="M179" s="18" t="s">
        <v>1268</v>
      </c>
      <c r="N179" s="18" t="s">
        <v>189</v>
      </c>
      <c r="O179" s="18" t="s">
        <v>1269</v>
      </c>
      <c r="P179" s="18" t="s">
        <v>1270</v>
      </c>
      <c r="Q179" s="22">
        <f t="shared" si="8"/>
        <v>26620000000</v>
      </c>
      <c r="R179" s="18">
        <v>624.62</v>
      </c>
      <c r="S179" s="19">
        <v>-10.24</v>
      </c>
      <c r="T179" s="18">
        <v>115190011</v>
      </c>
      <c r="U179" s="20">
        <v>44279</v>
      </c>
      <c r="V179" s="18" t="str">
        <f t="shared" si="6"/>
        <v>Complete</v>
      </c>
    </row>
    <row r="180" spans="1:22" ht="14.5" customHeight="1" x14ac:dyDescent="0.35">
      <c r="A180" s="15" t="s">
        <v>6915</v>
      </c>
      <c r="B180" s="15" t="s">
        <v>6916</v>
      </c>
      <c r="C180" s="15" t="s">
        <v>1271</v>
      </c>
      <c r="D180" s="15" t="s">
        <v>1272</v>
      </c>
      <c r="E180" s="15" t="s">
        <v>13</v>
      </c>
      <c r="F180" s="15" t="str">
        <f t="shared" si="7"/>
        <v>Male</v>
      </c>
      <c r="G180" s="15" t="s">
        <v>1273</v>
      </c>
      <c r="H180" s="15" t="s">
        <v>1274</v>
      </c>
      <c r="I180" s="15">
        <v>179</v>
      </c>
      <c r="J180" s="15">
        <v>179</v>
      </c>
      <c r="K180" s="15" t="s">
        <v>32</v>
      </c>
      <c r="L180" s="15" t="s">
        <v>1275</v>
      </c>
      <c r="M180" s="15" t="s">
        <v>1276</v>
      </c>
      <c r="N180" s="15" t="s">
        <v>189</v>
      </c>
      <c r="O180" s="15" t="s">
        <v>270</v>
      </c>
      <c r="P180" s="15" t="s">
        <v>1277</v>
      </c>
      <c r="Q180" s="22">
        <f t="shared" si="8"/>
        <v>1890000000</v>
      </c>
      <c r="R180" s="15">
        <v>963.21</v>
      </c>
      <c r="S180" s="16">
        <v>-10.41</v>
      </c>
      <c r="T180" s="15">
        <v>33774370</v>
      </c>
      <c r="U180" s="17">
        <v>44675</v>
      </c>
      <c r="V180" s="15" t="str">
        <f t="shared" si="6"/>
        <v>Complete</v>
      </c>
    </row>
    <row r="181" spans="1:22" ht="14.5" customHeight="1" x14ac:dyDescent="0.35">
      <c r="A181" s="18" t="s">
        <v>6917</v>
      </c>
      <c r="B181" s="18" t="s">
        <v>6918</v>
      </c>
      <c r="C181" s="18" t="s">
        <v>1278</v>
      </c>
      <c r="D181" s="18" t="s">
        <v>1279</v>
      </c>
      <c r="E181" s="18" t="s">
        <v>2</v>
      </c>
      <c r="F181" s="15" t="str">
        <f t="shared" si="7"/>
        <v>Female</v>
      </c>
      <c r="G181" s="18" t="s">
        <v>1280</v>
      </c>
      <c r="H181" s="18" t="s">
        <v>1281</v>
      </c>
      <c r="I181" s="18">
        <v>180</v>
      </c>
      <c r="J181" s="18">
        <v>180</v>
      </c>
      <c r="K181" s="18" t="s">
        <v>5</v>
      </c>
      <c r="L181" s="18" t="s">
        <v>1282</v>
      </c>
      <c r="M181" s="18" t="s">
        <v>1283</v>
      </c>
      <c r="N181" s="18" t="s">
        <v>8</v>
      </c>
      <c r="O181" s="18" t="s">
        <v>9</v>
      </c>
      <c r="P181" s="18" t="s">
        <v>1284</v>
      </c>
      <c r="Q181" s="22">
        <f t="shared" si="8"/>
        <v>658690000</v>
      </c>
      <c r="R181" s="18">
        <v>942.07</v>
      </c>
      <c r="S181" s="19">
        <v>-7.0000000000000007E-2</v>
      </c>
      <c r="T181" s="18">
        <v>186479343</v>
      </c>
      <c r="U181" s="20">
        <v>45024</v>
      </c>
      <c r="V181" s="18" t="str">
        <f t="shared" si="6"/>
        <v>Complete</v>
      </c>
    </row>
    <row r="182" spans="1:22" ht="14.5" customHeight="1" x14ac:dyDescent="0.35">
      <c r="A182" s="15" t="s">
        <v>6919</v>
      </c>
      <c r="B182" s="15" t="s">
        <v>6920</v>
      </c>
      <c r="C182" s="15" t="s">
        <v>1285</v>
      </c>
      <c r="D182" s="15" t="s">
        <v>1286</v>
      </c>
      <c r="E182" s="15" t="s">
        <v>13</v>
      </c>
      <c r="F182" s="15" t="str">
        <f t="shared" si="7"/>
        <v>Male</v>
      </c>
      <c r="G182" s="15" t="s">
        <v>1287</v>
      </c>
      <c r="H182" s="15" t="s">
        <v>1288</v>
      </c>
      <c r="I182" s="15">
        <v>181</v>
      </c>
      <c r="J182" s="15">
        <v>181</v>
      </c>
      <c r="K182" s="15" t="s">
        <v>32</v>
      </c>
      <c r="L182" s="15" t="s">
        <v>1289</v>
      </c>
      <c r="M182" s="15" t="s">
        <v>1290</v>
      </c>
      <c r="N182" s="15" t="s">
        <v>1291</v>
      </c>
      <c r="O182" s="15" t="s">
        <v>151</v>
      </c>
      <c r="P182" s="15" t="s">
        <v>1292</v>
      </c>
      <c r="Q182" s="22">
        <f t="shared" si="8"/>
        <v>649920000</v>
      </c>
      <c r="R182" s="15">
        <v>1088.9100000000001</v>
      </c>
      <c r="S182" s="16">
        <v>-8.82</v>
      </c>
      <c r="T182" s="15">
        <v>122232870</v>
      </c>
      <c r="U182" s="17">
        <v>44464</v>
      </c>
      <c r="V182" s="15" t="str">
        <f t="shared" si="6"/>
        <v>Complete</v>
      </c>
    </row>
    <row r="183" spans="1:22" ht="14.5" customHeight="1" x14ac:dyDescent="0.35">
      <c r="A183" s="18" t="s">
        <v>6921</v>
      </c>
      <c r="B183" s="18" t="s">
        <v>6873</v>
      </c>
      <c r="C183" s="18" t="s">
        <v>1293</v>
      </c>
      <c r="D183" s="18" t="s">
        <v>1294</v>
      </c>
      <c r="E183" s="18" t="s">
        <v>104</v>
      </c>
      <c r="F183" s="15" t="str">
        <f t="shared" si="7"/>
        <v>Other</v>
      </c>
      <c r="G183" s="18" t="s">
        <v>1295</v>
      </c>
      <c r="H183" s="18" t="s">
        <v>1296</v>
      </c>
      <c r="I183" s="18">
        <v>182</v>
      </c>
      <c r="J183" s="18">
        <v>182</v>
      </c>
      <c r="K183" s="18" t="s">
        <v>5</v>
      </c>
      <c r="L183" s="18" t="s">
        <v>1297</v>
      </c>
      <c r="M183" s="18" t="s">
        <v>1298</v>
      </c>
      <c r="N183" s="18" t="s">
        <v>48</v>
      </c>
      <c r="O183" s="18" t="s">
        <v>57</v>
      </c>
      <c r="P183" s="18" t="s">
        <v>8033</v>
      </c>
      <c r="Q183" s="22">
        <f t="shared" si="8"/>
        <v>0</v>
      </c>
      <c r="R183" s="18">
        <v>1563.11</v>
      </c>
      <c r="S183" s="19">
        <v>11.37</v>
      </c>
      <c r="T183" s="18">
        <v>199120343</v>
      </c>
      <c r="U183" s="20">
        <v>44674</v>
      </c>
      <c r="V183" s="18" t="str">
        <f t="shared" si="6"/>
        <v>Missing</v>
      </c>
    </row>
    <row r="184" spans="1:22" ht="14.5" customHeight="1" x14ac:dyDescent="0.35">
      <c r="A184" s="15" t="s">
        <v>6922</v>
      </c>
      <c r="B184" s="15" t="s">
        <v>6923</v>
      </c>
      <c r="C184" s="15" t="s">
        <v>1299</v>
      </c>
      <c r="D184" s="15" t="s">
        <v>1300</v>
      </c>
      <c r="E184" s="15" t="s">
        <v>61</v>
      </c>
      <c r="F184" s="15" t="str">
        <f t="shared" si="7"/>
        <v>Other</v>
      </c>
      <c r="G184" s="15" t="s">
        <v>1301</v>
      </c>
      <c r="H184" s="15" t="s">
        <v>1302</v>
      </c>
      <c r="I184" s="15">
        <v>183</v>
      </c>
      <c r="J184" s="15">
        <v>183</v>
      </c>
      <c r="K184" s="15" t="s">
        <v>32</v>
      </c>
      <c r="L184" s="15" t="s">
        <v>1303</v>
      </c>
      <c r="M184" s="15" t="s">
        <v>1304</v>
      </c>
      <c r="N184" s="15" t="s">
        <v>48</v>
      </c>
      <c r="O184" s="15" t="s">
        <v>57</v>
      </c>
      <c r="P184" s="15" t="s">
        <v>8033</v>
      </c>
      <c r="Q184" s="22">
        <f t="shared" si="8"/>
        <v>0</v>
      </c>
      <c r="R184" s="15">
        <v>56.21</v>
      </c>
      <c r="S184" s="16">
        <v>11.11</v>
      </c>
      <c r="T184" s="15">
        <v>190368780</v>
      </c>
      <c r="U184" s="17">
        <v>46119</v>
      </c>
      <c r="V184" s="15" t="str">
        <f t="shared" si="6"/>
        <v>Missing</v>
      </c>
    </row>
    <row r="185" spans="1:22" ht="14.5" customHeight="1" x14ac:dyDescent="0.35">
      <c r="A185" s="18" t="s">
        <v>6924</v>
      </c>
      <c r="B185" s="18" t="s">
        <v>6925</v>
      </c>
      <c r="C185" s="18" t="s">
        <v>1305</v>
      </c>
      <c r="D185" s="18" t="s">
        <v>1306</v>
      </c>
      <c r="E185" s="18" t="s">
        <v>2</v>
      </c>
      <c r="F185" s="15" t="str">
        <f t="shared" si="7"/>
        <v>Female</v>
      </c>
      <c r="G185" s="18" t="s">
        <v>1307</v>
      </c>
      <c r="H185" s="18" t="s">
        <v>1308</v>
      </c>
      <c r="I185" s="18">
        <v>184</v>
      </c>
      <c r="J185" s="18">
        <v>184</v>
      </c>
      <c r="K185" s="18" t="s">
        <v>5</v>
      </c>
      <c r="L185" s="18" t="s">
        <v>1309</v>
      </c>
      <c r="M185" s="18" t="s">
        <v>1310</v>
      </c>
      <c r="N185" s="18" t="s">
        <v>8</v>
      </c>
      <c r="O185" s="18" t="s">
        <v>9</v>
      </c>
      <c r="P185" s="18" t="s">
        <v>1311</v>
      </c>
      <c r="Q185" s="22">
        <f t="shared" si="8"/>
        <v>445100000</v>
      </c>
      <c r="R185" s="18">
        <v>270.51</v>
      </c>
      <c r="S185" s="19">
        <v>-14.07</v>
      </c>
      <c r="T185" s="18">
        <v>78856177</v>
      </c>
      <c r="U185" s="20">
        <v>44884</v>
      </c>
      <c r="V185" s="18" t="str">
        <f t="shared" si="6"/>
        <v>Complete</v>
      </c>
    </row>
    <row r="186" spans="1:22" ht="14.5" customHeight="1" x14ac:dyDescent="0.35">
      <c r="A186" s="15" t="s">
        <v>6926</v>
      </c>
      <c r="B186" s="15" t="s">
        <v>6635</v>
      </c>
      <c r="C186" s="15" t="s">
        <v>1312</v>
      </c>
      <c r="D186" s="15" t="s">
        <v>1313</v>
      </c>
      <c r="E186" s="15" t="s">
        <v>13</v>
      </c>
      <c r="F186" s="15" t="str">
        <f t="shared" si="7"/>
        <v>Male</v>
      </c>
      <c r="G186" s="15" t="s">
        <v>1314</v>
      </c>
      <c r="H186" s="15" t="s">
        <v>1315</v>
      </c>
      <c r="I186" s="15">
        <v>185</v>
      </c>
      <c r="J186" s="15">
        <v>185</v>
      </c>
      <c r="K186" s="15" t="s">
        <v>32</v>
      </c>
      <c r="L186" s="15" t="s">
        <v>1316</v>
      </c>
      <c r="M186" s="15" t="s">
        <v>1317</v>
      </c>
      <c r="N186" s="15" t="s">
        <v>189</v>
      </c>
      <c r="O186" s="15" t="s">
        <v>776</v>
      </c>
      <c r="P186" s="15" t="s">
        <v>1318</v>
      </c>
      <c r="Q186" s="22">
        <f t="shared" si="8"/>
        <v>5230000000</v>
      </c>
      <c r="R186" s="15">
        <v>827.69</v>
      </c>
      <c r="S186" s="16">
        <v>7.95</v>
      </c>
      <c r="T186" s="15">
        <v>25418444</v>
      </c>
      <c r="U186" s="17">
        <v>45562</v>
      </c>
      <c r="V186" s="15" t="str">
        <f t="shared" si="6"/>
        <v>Complete</v>
      </c>
    </row>
    <row r="187" spans="1:22" ht="14.5" customHeight="1" x14ac:dyDescent="0.35">
      <c r="A187" s="18" t="s">
        <v>6927</v>
      </c>
      <c r="B187" s="18" t="s">
        <v>6754</v>
      </c>
      <c r="C187" s="18" t="s">
        <v>1319</v>
      </c>
      <c r="D187" s="18" t="s">
        <v>1320</v>
      </c>
      <c r="E187" s="18" t="s">
        <v>2</v>
      </c>
      <c r="F187" s="15" t="str">
        <f t="shared" si="7"/>
        <v>Female</v>
      </c>
      <c r="G187" s="18" t="s">
        <v>1321</v>
      </c>
      <c r="H187" s="18" t="s">
        <v>1322</v>
      </c>
      <c r="I187" s="18">
        <v>186</v>
      </c>
      <c r="J187" s="18">
        <v>186</v>
      </c>
      <c r="K187" s="18" t="s">
        <v>32</v>
      </c>
      <c r="L187" s="18" t="s">
        <v>1323</v>
      </c>
      <c r="M187" s="18" t="s">
        <v>1324</v>
      </c>
      <c r="N187" s="18" t="s">
        <v>189</v>
      </c>
      <c r="O187" s="18" t="s">
        <v>1325</v>
      </c>
      <c r="P187" s="18" t="s">
        <v>1326</v>
      </c>
      <c r="Q187" s="22">
        <f t="shared" si="8"/>
        <v>12320000000</v>
      </c>
      <c r="R187" s="18">
        <v>941.07</v>
      </c>
      <c r="S187" s="19">
        <v>3.13</v>
      </c>
      <c r="T187" s="18">
        <v>115955950</v>
      </c>
      <c r="U187" s="20">
        <v>44131</v>
      </c>
      <c r="V187" s="18" t="str">
        <f t="shared" si="6"/>
        <v>Complete</v>
      </c>
    </row>
    <row r="188" spans="1:22" ht="14.5" customHeight="1" x14ac:dyDescent="0.35">
      <c r="A188" s="15" t="s">
        <v>6928</v>
      </c>
      <c r="B188" s="15" t="s">
        <v>6929</v>
      </c>
      <c r="C188" s="15" t="s">
        <v>1327</v>
      </c>
      <c r="D188" s="15" t="s">
        <v>1328</v>
      </c>
      <c r="E188" s="15" t="s">
        <v>13</v>
      </c>
      <c r="F188" s="15" t="str">
        <f t="shared" si="7"/>
        <v>Male</v>
      </c>
      <c r="G188" s="15" t="s">
        <v>1329</v>
      </c>
      <c r="H188" s="15" t="s">
        <v>1330</v>
      </c>
      <c r="I188" s="15">
        <v>187</v>
      </c>
      <c r="J188" s="15">
        <v>187</v>
      </c>
      <c r="K188" s="15" t="s">
        <v>5</v>
      </c>
      <c r="L188" s="15" t="s">
        <v>1331</v>
      </c>
      <c r="M188" s="15" t="s">
        <v>1332</v>
      </c>
      <c r="N188" s="15" t="s">
        <v>8033</v>
      </c>
      <c r="O188" s="15" t="s">
        <v>8033</v>
      </c>
      <c r="P188" s="15" t="s">
        <v>1333</v>
      </c>
      <c r="Q188" s="22">
        <f t="shared" si="8"/>
        <v>35540000</v>
      </c>
      <c r="R188" s="15">
        <v>212.83</v>
      </c>
      <c r="S188" s="16">
        <v>-13.47</v>
      </c>
      <c r="T188" s="15">
        <v>177871156</v>
      </c>
      <c r="U188" s="17">
        <v>45929</v>
      </c>
      <c r="V188" s="15" t="str">
        <f t="shared" si="6"/>
        <v>Missing</v>
      </c>
    </row>
    <row r="189" spans="1:22" ht="14.5" customHeight="1" x14ac:dyDescent="0.35">
      <c r="A189" s="18" t="s">
        <v>6930</v>
      </c>
      <c r="B189" s="18" t="s">
        <v>6629</v>
      </c>
      <c r="C189" s="18" t="s">
        <v>1334</v>
      </c>
      <c r="D189" s="18" t="s">
        <v>1335</v>
      </c>
      <c r="E189" s="18" t="s">
        <v>13</v>
      </c>
      <c r="F189" s="15" t="str">
        <f t="shared" si="7"/>
        <v>Male</v>
      </c>
      <c r="G189" s="18" t="s">
        <v>1336</v>
      </c>
      <c r="H189" s="18" t="s">
        <v>1337</v>
      </c>
      <c r="I189" s="18">
        <v>188</v>
      </c>
      <c r="J189" s="18">
        <v>188</v>
      </c>
      <c r="K189" s="18" t="s">
        <v>5</v>
      </c>
      <c r="L189" s="18" t="s">
        <v>1338</v>
      </c>
      <c r="M189" s="18" t="s">
        <v>1339</v>
      </c>
      <c r="N189" s="18" t="s">
        <v>25</v>
      </c>
      <c r="O189" s="18" t="s">
        <v>1181</v>
      </c>
      <c r="P189" s="18" t="s">
        <v>1340</v>
      </c>
      <c r="Q189" s="22">
        <f t="shared" si="8"/>
        <v>5210000000</v>
      </c>
      <c r="R189" s="18">
        <v>297.35000000000002</v>
      </c>
      <c r="S189" s="19">
        <v>-13.27</v>
      </c>
      <c r="T189" s="18">
        <v>168107560</v>
      </c>
      <c r="U189" s="20">
        <v>45997</v>
      </c>
      <c r="V189" s="18" t="str">
        <f t="shared" si="6"/>
        <v>Complete</v>
      </c>
    </row>
    <row r="190" spans="1:22" ht="14.5" customHeight="1" x14ac:dyDescent="0.35">
      <c r="A190" s="15" t="s">
        <v>6931</v>
      </c>
      <c r="B190" s="15" t="s">
        <v>6623</v>
      </c>
      <c r="C190" s="15" t="s">
        <v>778</v>
      </c>
      <c r="D190" s="15" t="s">
        <v>1341</v>
      </c>
      <c r="E190" s="15" t="s">
        <v>2</v>
      </c>
      <c r="F190" s="15" t="str">
        <f t="shared" si="7"/>
        <v>Female</v>
      </c>
      <c r="G190" s="15" t="s">
        <v>1342</v>
      </c>
      <c r="H190" s="15" t="s">
        <v>1343</v>
      </c>
      <c r="I190" s="15">
        <v>189</v>
      </c>
      <c r="J190" s="15">
        <v>189</v>
      </c>
      <c r="K190" s="15" t="s">
        <v>32</v>
      </c>
      <c r="L190" s="15" t="s">
        <v>1344</v>
      </c>
      <c r="M190" s="15" t="s">
        <v>1345</v>
      </c>
      <c r="N190" s="15" t="s">
        <v>48</v>
      </c>
      <c r="O190" s="15" t="s">
        <v>364</v>
      </c>
      <c r="P190" s="15" t="s">
        <v>1346</v>
      </c>
      <c r="Q190" s="22">
        <f t="shared" si="8"/>
        <v>1500000000</v>
      </c>
      <c r="R190" s="15">
        <v>959.18</v>
      </c>
      <c r="S190" s="16">
        <v>19.64</v>
      </c>
      <c r="T190" s="15">
        <v>164184324</v>
      </c>
      <c r="U190" s="17">
        <v>46061</v>
      </c>
      <c r="V190" s="15" t="str">
        <f t="shared" si="6"/>
        <v>Complete</v>
      </c>
    </row>
    <row r="191" spans="1:22" ht="14.5" customHeight="1" x14ac:dyDescent="0.35">
      <c r="A191" s="18" t="s">
        <v>6932</v>
      </c>
      <c r="B191" s="18" t="s">
        <v>6933</v>
      </c>
      <c r="C191" s="18" t="s">
        <v>1347</v>
      </c>
      <c r="D191" s="18" t="s">
        <v>1348</v>
      </c>
      <c r="E191" s="18" t="s">
        <v>13</v>
      </c>
      <c r="F191" s="15" t="str">
        <f t="shared" si="7"/>
        <v>Male</v>
      </c>
      <c r="G191" s="18" t="s">
        <v>1349</v>
      </c>
      <c r="H191" s="18" t="s">
        <v>1350</v>
      </c>
      <c r="I191" s="18">
        <v>190</v>
      </c>
      <c r="J191" s="18">
        <v>190</v>
      </c>
      <c r="K191" s="18" t="s">
        <v>5</v>
      </c>
      <c r="L191" s="18" t="s">
        <v>1351</v>
      </c>
      <c r="M191" s="18" t="s">
        <v>1352</v>
      </c>
      <c r="N191" s="18" t="s">
        <v>8033</v>
      </c>
      <c r="O191" s="18" t="s">
        <v>8033</v>
      </c>
      <c r="P191" s="18" t="s">
        <v>1353</v>
      </c>
      <c r="Q191" s="22">
        <f t="shared" si="8"/>
        <v>183150000</v>
      </c>
      <c r="R191" s="18">
        <v>584.61</v>
      </c>
      <c r="S191" s="19">
        <v>12.86</v>
      </c>
      <c r="T191" s="18">
        <v>121135412</v>
      </c>
      <c r="U191" s="20">
        <v>44582</v>
      </c>
      <c r="V191" s="18" t="str">
        <f t="shared" si="6"/>
        <v>Missing</v>
      </c>
    </row>
    <row r="192" spans="1:22" ht="14.5" customHeight="1" x14ac:dyDescent="0.35">
      <c r="A192" s="15" t="s">
        <v>6934</v>
      </c>
      <c r="B192" s="15" t="s">
        <v>6935</v>
      </c>
      <c r="C192" s="15" t="s">
        <v>1354</v>
      </c>
      <c r="D192" s="15" t="s">
        <v>1355</v>
      </c>
      <c r="E192" s="15" t="s">
        <v>2</v>
      </c>
      <c r="F192" s="15" t="str">
        <f t="shared" si="7"/>
        <v>Female</v>
      </c>
      <c r="G192" s="15" t="s">
        <v>1356</v>
      </c>
      <c r="H192" s="15" t="s">
        <v>1357</v>
      </c>
      <c r="I192" s="15">
        <v>191</v>
      </c>
      <c r="J192" s="15">
        <v>191</v>
      </c>
      <c r="K192" s="15" t="s">
        <v>32</v>
      </c>
      <c r="L192" s="15" t="s">
        <v>1358</v>
      </c>
      <c r="M192" s="15" t="s">
        <v>1359</v>
      </c>
      <c r="N192" s="15" t="s">
        <v>189</v>
      </c>
      <c r="O192" s="15" t="s">
        <v>190</v>
      </c>
      <c r="P192" s="15" t="s">
        <v>1360</v>
      </c>
      <c r="Q192" s="22">
        <f t="shared" si="8"/>
        <v>31680000000</v>
      </c>
      <c r="R192" s="15">
        <v>1937.55</v>
      </c>
      <c r="S192" s="16">
        <v>7.86</v>
      </c>
      <c r="T192" s="15">
        <v>13449737</v>
      </c>
      <c r="U192" s="17">
        <v>46247</v>
      </c>
      <c r="V192" s="15" t="str">
        <f t="shared" si="6"/>
        <v>Complete</v>
      </c>
    </row>
    <row r="193" spans="1:22" ht="14.5" customHeight="1" x14ac:dyDescent="0.35">
      <c r="A193" s="18" t="s">
        <v>6936</v>
      </c>
      <c r="B193" s="18" t="s">
        <v>6937</v>
      </c>
      <c r="C193" s="18" t="s">
        <v>1361</v>
      </c>
      <c r="D193" s="18" t="s">
        <v>1362</v>
      </c>
      <c r="E193" s="18" t="s">
        <v>2</v>
      </c>
      <c r="F193" s="15" t="str">
        <f t="shared" si="7"/>
        <v>Female</v>
      </c>
      <c r="G193" s="18" t="s">
        <v>1363</v>
      </c>
      <c r="H193" s="18" t="s">
        <v>1364</v>
      </c>
      <c r="I193" s="18">
        <v>192</v>
      </c>
      <c r="J193" s="18">
        <v>192</v>
      </c>
      <c r="K193" s="18" t="s">
        <v>32</v>
      </c>
      <c r="L193" s="18" t="s">
        <v>1365</v>
      </c>
      <c r="M193" s="18" t="s">
        <v>1366</v>
      </c>
      <c r="N193" s="18" t="s">
        <v>48</v>
      </c>
      <c r="O193" s="18" t="s">
        <v>364</v>
      </c>
      <c r="P193" s="18" t="s">
        <v>8033</v>
      </c>
      <c r="Q193" s="22">
        <f t="shared" si="8"/>
        <v>0</v>
      </c>
      <c r="R193" s="18">
        <v>750.55</v>
      </c>
      <c r="S193" s="19">
        <v>6.84</v>
      </c>
      <c r="T193" s="18">
        <v>132064942</v>
      </c>
      <c r="U193" s="20">
        <v>46201</v>
      </c>
      <c r="V193" s="18" t="str">
        <f t="shared" si="6"/>
        <v>Missing</v>
      </c>
    </row>
    <row r="194" spans="1:22" ht="14.5" customHeight="1" x14ac:dyDescent="0.35">
      <c r="A194" s="15" t="s">
        <v>6938</v>
      </c>
      <c r="B194" s="15" t="s">
        <v>6939</v>
      </c>
      <c r="C194" s="15" t="s">
        <v>1367</v>
      </c>
      <c r="D194" s="15" t="s">
        <v>1368</v>
      </c>
      <c r="E194" s="15" t="s">
        <v>13</v>
      </c>
      <c r="F194" s="15" t="str">
        <f t="shared" si="7"/>
        <v>Male</v>
      </c>
      <c r="G194" s="15" t="s">
        <v>1369</v>
      </c>
      <c r="H194" s="15" t="s">
        <v>1370</v>
      </c>
      <c r="I194" s="15">
        <v>193</v>
      </c>
      <c r="J194" s="15">
        <v>193</v>
      </c>
      <c r="K194" s="15" t="s">
        <v>32</v>
      </c>
      <c r="L194" s="15" t="s">
        <v>1371</v>
      </c>
      <c r="M194" s="15" t="s">
        <v>1372</v>
      </c>
      <c r="N194" s="15" t="s">
        <v>189</v>
      </c>
      <c r="O194" s="15" t="s">
        <v>308</v>
      </c>
      <c r="P194" s="15" t="s">
        <v>662</v>
      </c>
      <c r="Q194" s="22">
        <f t="shared" si="8"/>
        <v>1970000000</v>
      </c>
      <c r="R194" s="15">
        <v>1686.21</v>
      </c>
      <c r="S194" s="16">
        <v>-0.2</v>
      </c>
      <c r="T194" s="15">
        <v>179048528</v>
      </c>
      <c r="U194" s="17">
        <v>44562</v>
      </c>
      <c r="V194" s="15" t="str">
        <f t="shared" ref="V194:V257" si="9">IF(OR(N:N="n/a", O:O="n/a", P:P="n/a"), "Missing", "Complete")</f>
        <v>Complete</v>
      </c>
    </row>
    <row r="195" spans="1:22" ht="14.5" customHeight="1" x14ac:dyDescent="0.35">
      <c r="A195" s="18" t="s">
        <v>6940</v>
      </c>
      <c r="B195" s="18" t="s">
        <v>6941</v>
      </c>
      <c r="C195" s="18" t="s">
        <v>1373</v>
      </c>
      <c r="D195" s="18" t="s">
        <v>1374</v>
      </c>
      <c r="E195" s="18" t="s">
        <v>13</v>
      </c>
      <c r="F195" s="15" t="str">
        <f t="shared" ref="F195:F258" si="10">IF(OR(E195="female", E195="male"), PROPER(E195), "Other")</f>
        <v>Male</v>
      </c>
      <c r="G195" s="18" t="s">
        <v>1375</v>
      </c>
      <c r="H195" s="18" t="s">
        <v>1376</v>
      </c>
      <c r="I195" s="18">
        <v>194</v>
      </c>
      <c r="J195" s="18">
        <v>194</v>
      </c>
      <c r="K195" s="18" t="s">
        <v>32</v>
      </c>
      <c r="L195" s="18" t="s">
        <v>498</v>
      </c>
      <c r="M195" s="18" t="s">
        <v>337</v>
      </c>
      <c r="N195" s="18" t="s">
        <v>8033</v>
      </c>
      <c r="O195" s="18" t="s">
        <v>8033</v>
      </c>
      <c r="P195" s="18" t="s">
        <v>8033</v>
      </c>
      <c r="Q195" s="22">
        <f t="shared" ref="Q195:Q258" si="11">IF(P195="n/a", 0, IF(RIGHT(P195, 1)="B", VALUE(MID(P195, 2, LEN(P195)-2)*1000000000), VALUE(MID(P195, 2, LEN(P195)-2)*1000000)))</f>
        <v>0</v>
      </c>
      <c r="R195" s="18">
        <v>1815.86</v>
      </c>
      <c r="S195" s="19">
        <v>11.61</v>
      </c>
      <c r="T195" s="18">
        <v>45032096</v>
      </c>
      <c r="U195" s="20">
        <v>44782</v>
      </c>
      <c r="V195" s="18" t="str">
        <f t="shared" si="9"/>
        <v>Missing</v>
      </c>
    </row>
    <row r="196" spans="1:22" ht="14.5" customHeight="1" x14ac:dyDescent="0.35">
      <c r="A196" s="15" t="s">
        <v>6942</v>
      </c>
      <c r="B196" s="15" t="s">
        <v>6943</v>
      </c>
      <c r="C196" s="15" t="s">
        <v>1377</v>
      </c>
      <c r="D196" s="15" t="s">
        <v>1378</v>
      </c>
      <c r="E196" s="15" t="s">
        <v>13</v>
      </c>
      <c r="F196" s="15" t="str">
        <f t="shared" si="10"/>
        <v>Male</v>
      </c>
      <c r="G196" s="15" t="s">
        <v>1379</v>
      </c>
      <c r="H196" s="15" t="s">
        <v>1380</v>
      </c>
      <c r="I196" s="15">
        <v>195</v>
      </c>
      <c r="J196" s="15">
        <v>195</v>
      </c>
      <c r="K196" s="15" t="s">
        <v>5</v>
      </c>
      <c r="L196" s="15" t="s">
        <v>1381</v>
      </c>
      <c r="M196" s="15" t="s">
        <v>1382</v>
      </c>
      <c r="N196" s="15" t="s">
        <v>8</v>
      </c>
      <c r="O196" s="15" t="s">
        <v>1025</v>
      </c>
      <c r="P196" s="15" t="s">
        <v>1383</v>
      </c>
      <c r="Q196" s="22">
        <f t="shared" si="11"/>
        <v>323600000</v>
      </c>
      <c r="R196" s="15">
        <v>777.48</v>
      </c>
      <c r="S196" s="16">
        <v>-9.92</v>
      </c>
      <c r="T196" s="15">
        <v>194674309</v>
      </c>
      <c r="U196" s="17">
        <v>44654</v>
      </c>
      <c r="V196" s="15" t="str">
        <f t="shared" si="9"/>
        <v>Complete</v>
      </c>
    </row>
    <row r="197" spans="1:22" ht="14.5" customHeight="1" x14ac:dyDescent="0.35">
      <c r="A197" s="18" t="s">
        <v>6944</v>
      </c>
      <c r="B197" s="18" t="s">
        <v>6945</v>
      </c>
      <c r="C197" s="18" t="s">
        <v>1384</v>
      </c>
      <c r="D197" s="18" t="s">
        <v>1385</v>
      </c>
      <c r="E197" s="18" t="s">
        <v>2</v>
      </c>
      <c r="F197" s="15" t="str">
        <f t="shared" si="10"/>
        <v>Female</v>
      </c>
      <c r="G197" s="18" t="s">
        <v>1386</v>
      </c>
      <c r="H197" s="18" t="s">
        <v>1387</v>
      </c>
      <c r="I197" s="18">
        <v>196</v>
      </c>
      <c r="J197" s="18">
        <v>196</v>
      </c>
      <c r="K197" s="18" t="s">
        <v>5</v>
      </c>
      <c r="L197" s="18" t="s">
        <v>1388</v>
      </c>
      <c r="M197" s="18" t="s">
        <v>1389</v>
      </c>
      <c r="N197" s="18" t="s">
        <v>8</v>
      </c>
      <c r="O197" s="18" t="s">
        <v>840</v>
      </c>
      <c r="P197" s="18" t="s">
        <v>1390</v>
      </c>
      <c r="Q197" s="22">
        <f t="shared" si="11"/>
        <v>53400000000</v>
      </c>
      <c r="R197" s="18">
        <v>1908.48</v>
      </c>
      <c r="S197" s="19">
        <v>-1.56</v>
      </c>
      <c r="T197" s="18">
        <v>124664661</v>
      </c>
      <c r="U197" s="20">
        <v>45480</v>
      </c>
      <c r="V197" s="18" t="str">
        <f t="shared" si="9"/>
        <v>Complete</v>
      </c>
    </row>
    <row r="198" spans="1:22" ht="14.5" customHeight="1" x14ac:dyDescent="0.35">
      <c r="A198" s="15" t="s">
        <v>6946</v>
      </c>
      <c r="B198" s="15" t="s">
        <v>6947</v>
      </c>
      <c r="C198" s="15" t="s">
        <v>1391</v>
      </c>
      <c r="D198" s="15" t="s">
        <v>1392</v>
      </c>
      <c r="E198" s="15" t="s">
        <v>13</v>
      </c>
      <c r="F198" s="15" t="str">
        <f t="shared" si="10"/>
        <v>Male</v>
      </c>
      <c r="G198" s="15" t="s">
        <v>1393</v>
      </c>
      <c r="H198" s="15" t="s">
        <v>1394</v>
      </c>
      <c r="I198" s="15">
        <v>197</v>
      </c>
      <c r="J198" s="15">
        <v>197</v>
      </c>
      <c r="K198" s="15" t="s">
        <v>32</v>
      </c>
      <c r="L198" s="15" t="s">
        <v>1395</v>
      </c>
      <c r="M198" s="15" t="s">
        <v>1396</v>
      </c>
      <c r="N198" s="15" t="s">
        <v>189</v>
      </c>
      <c r="O198" s="15" t="s">
        <v>1269</v>
      </c>
      <c r="P198" s="15" t="s">
        <v>1397</v>
      </c>
      <c r="Q198" s="22">
        <f t="shared" si="11"/>
        <v>173180000</v>
      </c>
      <c r="R198" s="15">
        <v>582.03</v>
      </c>
      <c r="S198" s="16">
        <v>-1.77</v>
      </c>
      <c r="T198" s="15">
        <v>49627537</v>
      </c>
      <c r="U198" s="17">
        <v>43832</v>
      </c>
      <c r="V198" s="15" t="str">
        <f t="shared" si="9"/>
        <v>Complete</v>
      </c>
    </row>
    <row r="199" spans="1:22" ht="14.5" customHeight="1" x14ac:dyDescent="0.35">
      <c r="A199" s="18" t="s">
        <v>6948</v>
      </c>
      <c r="B199" s="18" t="s">
        <v>6949</v>
      </c>
      <c r="C199" s="18" t="s">
        <v>1398</v>
      </c>
      <c r="D199" s="18" t="s">
        <v>1399</v>
      </c>
      <c r="E199" s="18" t="s">
        <v>2</v>
      </c>
      <c r="F199" s="15" t="str">
        <f t="shared" si="10"/>
        <v>Female</v>
      </c>
      <c r="G199" s="18" t="s">
        <v>1400</v>
      </c>
      <c r="H199" s="18" t="s">
        <v>1401</v>
      </c>
      <c r="I199" s="18">
        <v>198</v>
      </c>
      <c r="J199" s="18">
        <v>198</v>
      </c>
      <c r="K199" s="18" t="s">
        <v>5</v>
      </c>
      <c r="L199" s="18" t="s">
        <v>1402</v>
      </c>
      <c r="M199" s="18" t="s">
        <v>1403</v>
      </c>
      <c r="N199" s="18" t="s">
        <v>48</v>
      </c>
      <c r="O199" s="18" t="s">
        <v>57</v>
      </c>
      <c r="P199" s="18" t="s">
        <v>1404</v>
      </c>
      <c r="Q199" s="22">
        <f t="shared" si="11"/>
        <v>53700000</v>
      </c>
      <c r="R199" s="18">
        <v>1769.69</v>
      </c>
      <c r="S199" s="19">
        <v>2.6</v>
      </c>
      <c r="T199" s="18">
        <v>121118394</v>
      </c>
      <c r="U199" s="20">
        <v>45996</v>
      </c>
      <c r="V199" s="18" t="str">
        <f t="shared" si="9"/>
        <v>Complete</v>
      </c>
    </row>
    <row r="200" spans="1:22" ht="14.5" customHeight="1" x14ac:dyDescent="0.35">
      <c r="A200" s="15" t="s">
        <v>6950</v>
      </c>
      <c r="B200" s="15" t="s">
        <v>6951</v>
      </c>
      <c r="C200" s="15" t="s">
        <v>1405</v>
      </c>
      <c r="D200" s="15" t="s">
        <v>1406</v>
      </c>
      <c r="E200" s="15" t="s">
        <v>1407</v>
      </c>
      <c r="F200" s="15" t="str">
        <f t="shared" si="10"/>
        <v>Other</v>
      </c>
      <c r="G200" s="15" t="s">
        <v>1408</v>
      </c>
      <c r="H200" s="15" t="s">
        <v>1409</v>
      </c>
      <c r="I200" s="15">
        <v>199</v>
      </c>
      <c r="J200" s="15">
        <v>199</v>
      </c>
      <c r="K200" s="15" t="s">
        <v>5</v>
      </c>
      <c r="L200" s="15" t="s">
        <v>1410</v>
      </c>
      <c r="M200" s="15" t="s">
        <v>1411</v>
      </c>
      <c r="N200" s="15" t="s">
        <v>48</v>
      </c>
      <c r="O200" s="15" t="s">
        <v>484</v>
      </c>
      <c r="P200" s="15" t="s">
        <v>1412</v>
      </c>
      <c r="Q200" s="22">
        <f t="shared" si="11"/>
        <v>48540000</v>
      </c>
      <c r="R200" s="15">
        <v>1211.5999999999999</v>
      </c>
      <c r="S200" s="16">
        <v>2.88</v>
      </c>
      <c r="T200" s="15">
        <v>45151700</v>
      </c>
      <c r="U200" s="17">
        <v>45767</v>
      </c>
      <c r="V200" s="15" t="str">
        <f t="shared" si="9"/>
        <v>Complete</v>
      </c>
    </row>
    <row r="201" spans="1:22" ht="14.5" customHeight="1" x14ac:dyDescent="0.35">
      <c r="A201" s="18" t="s">
        <v>6952</v>
      </c>
      <c r="B201" s="18" t="s">
        <v>6764</v>
      </c>
      <c r="C201" s="18" t="s">
        <v>1413</v>
      </c>
      <c r="D201" s="18" t="s">
        <v>1414</v>
      </c>
      <c r="E201" s="18" t="s">
        <v>2</v>
      </c>
      <c r="F201" s="15" t="str">
        <f t="shared" si="10"/>
        <v>Female</v>
      </c>
      <c r="G201" s="18" t="s">
        <v>1415</v>
      </c>
      <c r="H201" s="18" t="s">
        <v>1416</v>
      </c>
      <c r="I201" s="18">
        <v>200</v>
      </c>
      <c r="J201" s="18">
        <v>200</v>
      </c>
      <c r="K201" s="18" t="s">
        <v>32</v>
      </c>
      <c r="L201" s="18" t="s">
        <v>568</v>
      </c>
      <c r="M201" s="18" t="s">
        <v>569</v>
      </c>
      <c r="N201" s="18" t="s">
        <v>8033</v>
      </c>
      <c r="O201" s="18" t="s">
        <v>8033</v>
      </c>
      <c r="P201" s="18" t="s">
        <v>8033</v>
      </c>
      <c r="Q201" s="22">
        <f t="shared" si="11"/>
        <v>0</v>
      </c>
      <c r="R201" s="18">
        <v>311.22000000000003</v>
      </c>
      <c r="S201" s="19">
        <v>7.16</v>
      </c>
      <c r="T201" s="18">
        <v>193778438</v>
      </c>
      <c r="U201" s="20">
        <v>44884</v>
      </c>
      <c r="V201" s="18" t="str">
        <f t="shared" si="9"/>
        <v>Missing</v>
      </c>
    </row>
    <row r="202" spans="1:22" ht="14.5" customHeight="1" x14ac:dyDescent="0.35">
      <c r="A202" s="15" t="s">
        <v>6953</v>
      </c>
      <c r="B202" s="15" t="s">
        <v>6954</v>
      </c>
      <c r="C202" s="15" t="s">
        <v>1417</v>
      </c>
      <c r="D202" s="15" t="s">
        <v>1418</v>
      </c>
      <c r="E202" s="15" t="s">
        <v>2</v>
      </c>
      <c r="F202" s="15" t="str">
        <f t="shared" si="10"/>
        <v>Female</v>
      </c>
      <c r="G202" s="15" t="s">
        <v>1419</v>
      </c>
      <c r="H202" s="15" t="s">
        <v>1420</v>
      </c>
      <c r="I202" s="15">
        <v>201</v>
      </c>
      <c r="J202" s="15">
        <v>201</v>
      </c>
      <c r="K202" s="15" t="s">
        <v>5</v>
      </c>
      <c r="L202" s="15" t="s">
        <v>1421</v>
      </c>
      <c r="M202" s="15" t="s">
        <v>1422</v>
      </c>
      <c r="N202" s="15" t="s">
        <v>8033</v>
      </c>
      <c r="O202" s="15" t="s">
        <v>8033</v>
      </c>
      <c r="P202" s="15" t="s">
        <v>1423</v>
      </c>
      <c r="Q202" s="22">
        <f t="shared" si="11"/>
        <v>78860000</v>
      </c>
      <c r="R202" s="15">
        <v>735.4</v>
      </c>
      <c r="S202" s="16">
        <v>-9.84</v>
      </c>
      <c r="T202" s="15">
        <v>168975603</v>
      </c>
      <c r="U202" s="17">
        <v>46317</v>
      </c>
      <c r="V202" s="15" t="str">
        <f t="shared" si="9"/>
        <v>Missing</v>
      </c>
    </row>
    <row r="203" spans="1:22" ht="14.5" customHeight="1" x14ac:dyDescent="0.35">
      <c r="A203" s="18" t="s">
        <v>6955</v>
      </c>
      <c r="B203" s="18" t="s">
        <v>6956</v>
      </c>
      <c r="C203" s="18" t="s">
        <v>1424</v>
      </c>
      <c r="D203" s="18" t="s">
        <v>1425</v>
      </c>
      <c r="E203" s="18" t="s">
        <v>2</v>
      </c>
      <c r="F203" s="15" t="str">
        <f t="shared" si="10"/>
        <v>Female</v>
      </c>
      <c r="G203" s="18" t="s">
        <v>1426</v>
      </c>
      <c r="H203" s="18" t="s">
        <v>1427</v>
      </c>
      <c r="I203" s="18">
        <v>202</v>
      </c>
      <c r="J203" s="18">
        <v>202</v>
      </c>
      <c r="K203" s="18" t="s">
        <v>32</v>
      </c>
      <c r="L203" s="18" t="s">
        <v>1428</v>
      </c>
      <c r="M203" s="18" t="s">
        <v>1429</v>
      </c>
      <c r="N203" s="18" t="s">
        <v>8</v>
      </c>
      <c r="O203" s="18" t="s">
        <v>1430</v>
      </c>
      <c r="P203" s="18" t="s">
        <v>1431</v>
      </c>
      <c r="Q203" s="22">
        <f t="shared" si="11"/>
        <v>778920000</v>
      </c>
      <c r="R203" s="18">
        <v>1056.05</v>
      </c>
      <c r="S203" s="19">
        <v>-14.44</v>
      </c>
      <c r="T203" s="18">
        <v>146104870</v>
      </c>
      <c r="U203" s="20">
        <v>46138</v>
      </c>
      <c r="V203" s="18" t="str">
        <f t="shared" si="9"/>
        <v>Complete</v>
      </c>
    </row>
    <row r="204" spans="1:22" ht="14.5" customHeight="1" x14ac:dyDescent="0.35">
      <c r="A204" s="15" t="s">
        <v>6957</v>
      </c>
      <c r="B204" s="15" t="s">
        <v>6958</v>
      </c>
      <c r="C204" s="15" t="s">
        <v>1432</v>
      </c>
      <c r="D204" s="15" t="s">
        <v>1433</v>
      </c>
      <c r="E204" s="15" t="s">
        <v>13</v>
      </c>
      <c r="F204" s="15" t="str">
        <f t="shared" si="10"/>
        <v>Male</v>
      </c>
      <c r="G204" s="15" t="s">
        <v>1434</v>
      </c>
      <c r="H204" s="15" t="s">
        <v>1435</v>
      </c>
      <c r="I204" s="15">
        <v>203</v>
      </c>
      <c r="J204" s="15">
        <v>203</v>
      </c>
      <c r="K204" s="15" t="s">
        <v>32</v>
      </c>
      <c r="L204" s="15" t="s">
        <v>1436</v>
      </c>
      <c r="M204" s="15" t="s">
        <v>1437</v>
      </c>
      <c r="N204" s="15" t="s">
        <v>66</v>
      </c>
      <c r="O204" s="15" t="s">
        <v>293</v>
      </c>
      <c r="P204" s="15" t="s">
        <v>1438</v>
      </c>
      <c r="Q204" s="22">
        <f t="shared" si="11"/>
        <v>7350000000</v>
      </c>
      <c r="R204" s="15">
        <v>1938.93</v>
      </c>
      <c r="S204" s="16">
        <v>-19.72</v>
      </c>
      <c r="T204" s="15">
        <v>158867679</v>
      </c>
      <c r="U204" s="17">
        <v>44841</v>
      </c>
      <c r="V204" s="15" t="str">
        <f t="shared" si="9"/>
        <v>Complete</v>
      </c>
    </row>
    <row r="205" spans="1:22" ht="14.5" customHeight="1" x14ac:dyDescent="0.35">
      <c r="A205" s="18" t="s">
        <v>6959</v>
      </c>
      <c r="B205" s="18" t="s">
        <v>6956</v>
      </c>
      <c r="C205" s="18" t="s">
        <v>1439</v>
      </c>
      <c r="D205" s="18" t="s">
        <v>1440</v>
      </c>
      <c r="E205" s="18" t="s">
        <v>52</v>
      </c>
      <c r="F205" s="15" t="str">
        <f t="shared" si="10"/>
        <v>Other</v>
      </c>
      <c r="G205" s="18" t="s">
        <v>1441</v>
      </c>
      <c r="H205" s="18" t="s">
        <v>1442</v>
      </c>
      <c r="I205" s="18">
        <v>204</v>
      </c>
      <c r="J205" s="18">
        <v>204</v>
      </c>
      <c r="K205" s="18" t="s">
        <v>32</v>
      </c>
      <c r="L205" s="18" t="s">
        <v>1443</v>
      </c>
      <c r="M205" s="18" t="s">
        <v>1444</v>
      </c>
      <c r="N205" s="18" t="s">
        <v>66</v>
      </c>
      <c r="O205" s="18" t="s">
        <v>344</v>
      </c>
      <c r="P205" s="18" t="s">
        <v>1445</v>
      </c>
      <c r="Q205" s="22">
        <f t="shared" si="11"/>
        <v>1640000000</v>
      </c>
      <c r="R205" s="18">
        <v>685.09</v>
      </c>
      <c r="S205" s="19">
        <v>-0.12</v>
      </c>
      <c r="T205" s="18">
        <v>104718317</v>
      </c>
      <c r="U205" s="20">
        <v>44333</v>
      </c>
      <c r="V205" s="18" t="str">
        <f t="shared" si="9"/>
        <v>Complete</v>
      </c>
    </row>
    <row r="206" spans="1:22" ht="14.5" customHeight="1" x14ac:dyDescent="0.35">
      <c r="A206" s="15" t="s">
        <v>6960</v>
      </c>
      <c r="B206" s="15" t="s">
        <v>6961</v>
      </c>
      <c r="C206" s="15" t="s">
        <v>1446</v>
      </c>
      <c r="D206" s="15" t="s">
        <v>1447</v>
      </c>
      <c r="E206" s="15" t="s">
        <v>13</v>
      </c>
      <c r="F206" s="15" t="str">
        <f t="shared" si="10"/>
        <v>Male</v>
      </c>
      <c r="G206" s="15" t="s">
        <v>1448</v>
      </c>
      <c r="H206" s="15" t="s">
        <v>1449</v>
      </c>
      <c r="I206" s="15">
        <v>205</v>
      </c>
      <c r="J206" s="15">
        <v>205</v>
      </c>
      <c r="K206" s="15" t="s">
        <v>5</v>
      </c>
      <c r="L206" s="15" t="s">
        <v>1450</v>
      </c>
      <c r="M206" s="15" t="s">
        <v>1451</v>
      </c>
      <c r="N206" s="15" t="s">
        <v>142</v>
      </c>
      <c r="O206" s="15" t="s">
        <v>344</v>
      </c>
      <c r="P206" s="15" t="s">
        <v>1452</v>
      </c>
      <c r="Q206" s="22">
        <f t="shared" si="11"/>
        <v>1040000000</v>
      </c>
      <c r="R206" s="15">
        <v>1265.19</v>
      </c>
      <c r="S206" s="16">
        <v>14.92</v>
      </c>
      <c r="T206" s="15">
        <v>28399264</v>
      </c>
      <c r="U206" s="17">
        <v>45795</v>
      </c>
      <c r="V206" s="15" t="str">
        <f t="shared" si="9"/>
        <v>Complete</v>
      </c>
    </row>
    <row r="207" spans="1:22" ht="14.5" customHeight="1" x14ac:dyDescent="0.35">
      <c r="A207" s="18" t="s">
        <v>6962</v>
      </c>
      <c r="B207" s="18" t="s">
        <v>6884</v>
      </c>
      <c r="C207" s="18" t="s">
        <v>1453</v>
      </c>
      <c r="D207" s="18" t="s">
        <v>1454</v>
      </c>
      <c r="E207" s="18" t="s">
        <v>13</v>
      </c>
      <c r="F207" s="15" t="str">
        <f t="shared" si="10"/>
        <v>Male</v>
      </c>
      <c r="G207" s="18" t="s">
        <v>1455</v>
      </c>
      <c r="H207" s="18" t="s">
        <v>1456</v>
      </c>
      <c r="I207" s="18">
        <v>206</v>
      </c>
      <c r="J207" s="18">
        <v>206</v>
      </c>
      <c r="K207" s="18" t="s">
        <v>32</v>
      </c>
      <c r="L207" s="18" t="s">
        <v>1457</v>
      </c>
      <c r="M207" s="18" t="s">
        <v>1458</v>
      </c>
      <c r="N207" s="18" t="s">
        <v>8033</v>
      </c>
      <c r="O207" s="18" t="s">
        <v>8033</v>
      </c>
      <c r="P207" s="18" t="s">
        <v>1459</v>
      </c>
      <c r="Q207" s="22">
        <f t="shared" si="11"/>
        <v>220340000</v>
      </c>
      <c r="R207" s="18">
        <v>135.71</v>
      </c>
      <c r="S207" s="19">
        <v>-8.69</v>
      </c>
      <c r="T207" s="18">
        <v>174112700</v>
      </c>
      <c r="U207" s="20">
        <v>44524</v>
      </c>
      <c r="V207" s="18" t="str">
        <f t="shared" si="9"/>
        <v>Missing</v>
      </c>
    </row>
    <row r="208" spans="1:22" ht="14.5" customHeight="1" x14ac:dyDescent="0.35">
      <c r="A208" s="15" t="s">
        <v>6963</v>
      </c>
      <c r="B208" s="15" t="s">
        <v>6737</v>
      </c>
      <c r="C208" s="15" t="s">
        <v>1460</v>
      </c>
      <c r="D208" s="15" t="s">
        <v>1461</v>
      </c>
      <c r="E208" s="15" t="s">
        <v>2</v>
      </c>
      <c r="F208" s="15" t="str">
        <f t="shared" si="10"/>
        <v>Female</v>
      </c>
      <c r="G208" s="15" t="s">
        <v>1462</v>
      </c>
      <c r="H208" s="15" t="s">
        <v>1463</v>
      </c>
      <c r="I208" s="15">
        <v>207</v>
      </c>
      <c r="J208" s="15">
        <v>207</v>
      </c>
      <c r="K208" s="15" t="s">
        <v>32</v>
      </c>
      <c r="L208" s="15" t="s">
        <v>1464</v>
      </c>
      <c r="M208" s="15" t="s">
        <v>1465</v>
      </c>
      <c r="N208" s="15" t="s">
        <v>8033</v>
      </c>
      <c r="O208" s="15" t="s">
        <v>8033</v>
      </c>
      <c r="P208" s="15" t="s">
        <v>8033</v>
      </c>
      <c r="Q208" s="22">
        <f t="shared" si="11"/>
        <v>0</v>
      </c>
      <c r="R208" s="15">
        <v>1055.17</v>
      </c>
      <c r="S208" s="16">
        <v>-8.27</v>
      </c>
      <c r="T208" s="15">
        <v>186629318</v>
      </c>
      <c r="U208" s="17">
        <v>44773</v>
      </c>
      <c r="V208" s="15" t="str">
        <f t="shared" si="9"/>
        <v>Missing</v>
      </c>
    </row>
    <row r="209" spans="1:22" ht="14.5" customHeight="1" x14ac:dyDescent="0.35">
      <c r="A209" s="18" t="s">
        <v>6964</v>
      </c>
      <c r="B209" s="18" t="s">
        <v>6965</v>
      </c>
      <c r="C209" s="18" t="s">
        <v>1466</v>
      </c>
      <c r="D209" s="18" t="s">
        <v>1467</v>
      </c>
      <c r="E209" s="18" t="s">
        <v>13</v>
      </c>
      <c r="F209" s="15" t="str">
        <f t="shared" si="10"/>
        <v>Male</v>
      </c>
      <c r="G209" s="18" t="s">
        <v>1468</v>
      </c>
      <c r="H209" s="18" t="s">
        <v>1469</v>
      </c>
      <c r="I209" s="18">
        <v>208</v>
      </c>
      <c r="J209" s="18">
        <v>208</v>
      </c>
      <c r="K209" s="18" t="s">
        <v>5</v>
      </c>
      <c r="L209" s="18" t="s">
        <v>1470</v>
      </c>
      <c r="M209" s="18" t="s">
        <v>1471</v>
      </c>
      <c r="N209" s="18" t="s">
        <v>48</v>
      </c>
      <c r="O209" s="18" t="s">
        <v>49</v>
      </c>
      <c r="P209" s="18" t="s">
        <v>1472</v>
      </c>
      <c r="Q209" s="22">
        <f t="shared" si="11"/>
        <v>166260000</v>
      </c>
      <c r="R209" s="18">
        <v>568.4</v>
      </c>
      <c r="S209" s="19">
        <v>-17.09</v>
      </c>
      <c r="T209" s="18">
        <v>120990808</v>
      </c>
      <c r="U209" s="20">
        <v>44850</v>
      </c>
      <c r="V209" s="18" t="str">
        <f t="shared" si="9"/>
        <v>Complete</v>
      </c>
    </row>
    <row r="210" spans="1:22" ht="14.5" customHeight="1" x14ac:dyDescent="0.35">
      <c r="A210" s="15" t="s">
        <v>6966</v>
      </c>
      <c r="B210" s="15" t="s">
        <v>6967</v>
      </c>
      <c r="C210" s="15" t="s">
        <v>1473</v>
      </c>
      <c r="D210" s="15" t="s">
        <v>1474</v>
      </c>
      <c r="E210" s="15" t="s">
        <v>2</v>
      </c>
      <c r="F210" s="15" t="str">
        <f t="shared" si="10"/>
        <v>Female</v>
      </c>
      <c r="G210" s="15" t="s">
        <v>1475</v>
      </c>
      <c r="H210" s="15" t="s">
        <v>1476</v>
      </c>
      <c r="I210" s="15">
        <v>209</v>
      </c>
      <c r="J210" s="15">
        <v>209</v>
      </c>
      <c r="K210" s="15" t="s">
        <v>32</v>
      </c>
      <c r="L210" s="15" t="s">
        <v>1477</v>
      </c>
      <c r="M210" s="15" t="s">
        <v>1478</v>
      </c>
      <c r="N210" s="15" t="s">
        <v>99</v>
      </c>
      <c r="O210" s="15" t="s">
        <v>380</v>
      </c>
      <c r="P210" s="15" t="s">
        <v>1479</v>
      </c>
      <c r="Q210" s="22">
        <f t="shared" si="11"/>
        <v>9560000000</v>
      </c>
      <c r="R210" s="15">
        <v>750.03</v>
      </c>
      <c r="S210" s="16">
        <v>-0.62</v>
      </c>
      <c r="T210" s="15">
        <v>88680172</v>
      </c>
      <c r="U210" s="17">
        <v>45415</v>
      </c>
      <c r="V210" s="15" t="str">
        <f t="shared" si="9"/>
        <v>Complete</v>
      </c>
    </row>
    <row r="211" spans="1:22" ht="14.5" customHeight="1" x14ac:dyDescent="0.35">
      <c r="A211" s="18" t="s">
        <v>6968</v>
      </c>
      <c r="B211" s="18" t="s">
        <v>6969</v>
      </c>
      <c r="C211" s="18" t="s">
        <v>1480</v>
      </c>
      <c r="D211" s="18" t="s">
        <v>1481</v>
      </c>
      <c r="E211" s="18" t="s">
        <v>2</v>
      </c>
      <c r="F211" s="15" t="str">
        <f t="shared" si="10"/>
        <v>Female</v>
      </c>
      <c r="G211" s="18" t="s">
        <v>1482</v>
      </c>
      <c r="H211" s="18" t="s">
        <v>1483</v>
      </c>
      <c r="I211" s="18">
        <v>210</v>
      </c>
      <c r="J211" s="18">
        <v>210</v>
      </c>
      <c r="K211" s="18" t="s">
        <v>32</v>
      </c>
      <c r="L211" s="18" t="s">
        <v>1484</v>
      </c>
      <c r="M211" s="18" t="s">
        <v>429</v>
      </c>
      <c r="N211" s="18" t="s">
        <v>8033</v>
      </c>
      <c r="O211" s="18" t="s">
        <v>8033</v>
      </c>
      <c r="P211" s="18" t="s">
        <v>8033</v>
      </c>
      <c r="Q211" s="22">
        <f t="shared" si="11"/>
        <v>0</v>
      </c>
      <c r="R211" s="18">
        <v>752.44</v>
      </c>
      <c r="S211" s="19">
        <v>-17.12</v>
      </c>
      <c r="T211" s="18">
        <v>96196896</v>
      </c>
      <c r="U211" s="20">
        <v>45587</v>
      </c>
      <c r="V211" s="18" t="str">
        <f t="shared" si="9"/>
        <v>Missing</v>
      </c>
    </row>
    <row r="212" spans="1:22" ht="14.5" customHeight="1" x14ac:dyDescent="0.35">
      <c r="A212" s="15" t="s">
        <v>6970</v>
      </c>
      <c r="B212" s="15" t="s">
        <v>6971</v>
      </c>
      <c r="C212" s="15" t="s">
        <v>1485</v>
      </c>
      <c r="D212" s="15" t="s">
        <v>1486</v>
      </c>
      <c r="E212" s="15" t="s">
        <v>13</v>
      </c>
      <c r="F212" s="15" t="str">
        <f t="shared" si="10"/>
        <v>Male</v>
      </c>
      <c r="G212" s="15" t="s">
        <v>1487</v>
      </c>
      <c r="H212" s="15" t="s">
        <v>1488</v>
      </c>
      <c r="I212" s="15">
        <v>211</v>
      </c>
      <c r="J212" s="15">
        <v>211</v>
      </c>
      <c r="K212" s="15" t="s">
        <v>5</v>
      </c>
      <c r="L212" s="15" t="s">
        <v>1489</v>
      </c>
      <c r="M212" s="15" t="s">
        <v>1490</v>
      </c>
      <c r="N212" s="15" t="s">
        <v>142</v>
      </c>
      <c r="O212" s="15" t="s">
        <v>344</v>
      </c>
      <c r="P212" s="15" t="s">
        <v>1491</v>
      </c>
      <c r="Q212" s="22">
        <f t="shared" si="11"/>
        <v>28650000</v>
      </c>
      <c r="R212" s="15">
        <v>1513.57</v>
      </c>
      <c r="S212" s="16">
        <v>10.47</v>
      </c>
      <c r="T212" s="15">
        <v>194146331</v>
      </c>
      <c r="U212" s="17">
        <v>45496</v>
      </c>
      <c r="V212" s="15" t="str">
        <f t="shared" si="9"/>
        <v>Complete</v>
      </c>
    </row>
    <row r="213" spans="1:22" ht="14.5" customHeight="1" x14ac:dyDescent="0.35">
      <c r="A213" s="18" t="s">
        <v>6972</v>
      </c>
      <c r="B213" s="18" t="s">
        <v>6723</v>
      </c>
      <c r="C213" s="18" t="s">
        <v>1492</v>
      </c>
      <c r="D213" s="18" t="s">
        <v>1493</v>
      </c>
      <c r="E213" s="18" t="s">
        <v>2</v>
      </c>
      <c r="F213" s="15" t="str">
        <f t="shared" si="10"/>
        <v>Female</v>
      </c>
      <c r="G213" s="18" t="s">
        <v>1494</v>
      </c>
      <c r="H213" s="18" t="s">
        <v>1495</v>
      </c>
      <c r="I213" s="18">
        <v>212</v>
      </c>
      <c r="J213" s="18">
        <v>212</v>
      </c>
      <c r="K213" s="18" t="s">
        <v>5</v>
      </c>
      <c r="L213" s="18" t="s">
        <v>1496</v>
      </c>
      <c r="M213" s="18" t="s">
        <v>1497</v>
      </c>
      <c r="N213" s="18" t="s">
        <v>99</v>
      </c>
      <c r="O213" s="18" t="s">
        <v>1498</v>
      </c>
      <c r="P213" s="18" t="s">
        <v>8033</v>
      </c>
      <c r="Q213" s="22">
        <f t="shared" si="11"/>
        <v>0</v>
      </c>
      <c r="R213" s="18">
        <v>725.23</v>
      </c>
      <c r="S213" s="19">
        <v>5.74</v>
      </c>
      <c r="T213" s="18">
        <v>104670967</v>
      </c>
      <c r="U213" s="20">
        <v>44655</v>
      </c>
      <c r="V213" s="18" t="str">
        <f t="shared" si="9"/>
        <v>Missing</v>
      </c>
    </row>
    <row r="214" spans="1:22" ht="14.5" customHeight="1" x14ac:dyDescent="0.35">
      <c r="A214" s="15" t="s">
        <v>6973</v>
      </c>
      <c r="B214" s="15" t="s">
        <v>6710</v>
      </c>
      <c r="C214" s="15" t="s">
        <v>1499</v>
      </c>
      <c r="D214" s="15" t="s">
        <v>1500</v>
      </c>
      <c r="E214" s="15" t="s">
        <v>161</v>
      </c>
      <c r="F214" s="15" t="str">
        <f t="shared" si="10"/>
        <v>Other</v>
      </c>
      <c r="G214" s="15" t="s">
        <v>1501</v>
      </c>
      <c r="H214" s="15" t="s">
        <v>1502</v>
      </c>
      <c r="I214" s="15">
        <v>213</v>
      </c>
      <c r="J214" s="15">
        <v>213</v>
      </c>
      <c r="K214" s="15" t="s">
        <v>5</v>
      </c>
      <c r="L214" s="15" t="s">
        <v>1503</v>
      </c>
      <c r="M214" s="15" t="s">
        <v>1504</v>
      </c>
      <c r="N214" s="15" t="s">
        <v>134</v>
      </c>
      <c r="O214" s="15" t="s">
        <v>1138</v>
      </c>
      <c r="P214" s="15" t="s">
        <v>1505</v>
      </c>
      <c r="Q214" s="22">
        <f t="shared" si="11"/>
        <v>806930000</v>
      </c>
      <c r="R214" s="15">
        <v>1589.43</v>
      </c>
      <c r="S214" s="16">
        <v>2.86</v>
      </c>
      <c r="T214" s="15">
        <v>173240675</v>
      </c>
      <c r="U214" s="17">
        <v>44544</v>
      </c>
      <c r="V214" s="15" t="str">
        <f t="shared" si="9"/>
        <v>Complete</v>
      </c>
    </row>
    <row r="215" spans="1:22" ht="14.5" customHeight="1" x14ac:dyDescent="0.35">
      <c r="A215" s="18" t="s">
        <v>6974</v>
      </c>
      <c r="B215" s="18" t="s">
        <v>6975</v>
      </c>
      <c r="C215" s="18" t="s">
        <v>1506</v>
      </c>
      <c r="D215" s="18" t="s">
        <v>1507</v>
      </c>
      <c r="E215" s="18" t="s">
        <v>13</v>
      </c>
      <c r="F215" s="15" t="str">
        <f t="shared" si="10"/>
        <v>Male</v>
      </c>
      <c r="G215" s="18" t="s">
        <v>1508</v>
      </c>
      <c r="H215" s="18" t="s">
        <v>1509</v>
      </c>
      <c r="I215" s="18">
        <v>214</v>
      </c>
      <c r="J215" s="18">
        <v>214</v>
      </c>
      <c r="K215" s="18" t="s">
        <v>5</v>
      </c>
      <c r="L215" s="18" t="s">
        <v>1510</v>
      </c>
      <c r="M215" s="18" t="s">
        <v>1511</v>
      </c>
      <c r="N215" s="18" t="s">
        <v>66</v>
      </c>
      <c r="O215" s="18" t="s">
        <v>181</v>
      </c>
      <c r="P215" s="18" t="s">
        <v>1512</v>
      </c>
      <c r="Q215" s="22">
        <f t="shared" si="11"/>
        <v>276460000</v>
      </c>
      <c r="R215" s="18">
        <v>293.08999999999997</v>
      </c>
      <c r="S215" s="19">
        <v>-17.97</v>
      </c>
      <c r="T215" s="18">
        <v>75958678</v>
      </c>
      <c r="U215" s="20">
        <v>45380</v>
      </c>
      <c r="V215" s="18" t="str">
        <f t="shared" si="9"/>
        <v>Complete</v>
      </c>
    </row>
    <row r="216" spans="1:22" ht="14.5" customHeight="1" x14ac:dyDescent="0.35">
      <c r="A216" s="15" t="s">
        <v>6976</v>
      </c>
      <c r="B216" s="15" t="s">
        <v>6773</v>
      </c>
      <c r="C216" s="15" t="s">
        <v>1513</v>
      </c>
      <c r="D216" s="15" t="s">
        <v>1514</v>
      </c>
      <c r="E216" s="15" t="s">
        <v>13</v>
      </c>
      <c r="F216" s="15" t="str">
        <f t="shared" si="10"/>
        <v>Male</v>
      </c>
      <c r="G216" s="15" t="s">
        <v>1515</v>
      </c>
      <c r="H216" s="15" t="s">
        <v>1516</v>
      </c>
      <c r="I216" s="15">
        <v>215</v>
      </c>
      <c r="J216" s="15">
        <v>215</v>
      </c>
      <c r="K216" s="15" t="s">
        <v>32</v>
      </c>
      <c r="L216" s="15" t="s">
        <v>1517</v>
      </c>
      <c r="M216" s="15" t="s">
        <v>1518</v>
      </c>
      <c r="N216" s="15" t="s">
        <v>8</v>
      </c>
      <c r="O216" s="15" t="s">
        <v>26</v>
      </c>
      <c r="P216" s="15" t="s">
        <v>1519</v>
      </c>
      <c r="Q216" s="22">
        <f t="shared" si="11"/>
        <v>6960000000</v>
      </c>
      <c r="R216" s="15">
        <v>609.86</v>
      </c>
      <c r="S216" s="16">
        <v>-13.81</v>
      </c>
      <c r="T216" s="15">
        <v>93821861</v>
      </c>
      <c r="U216" s="17">
        <v>44802</v>
      </c>
      <c r="V216" s="15" t="str">
        <f t="shared" si="9"/>
        <v>Complete</v>
      </c>
    </row>
    <row r="217" spans="1:22" ht="14.5" customHeight="1" x14ac:dyDescent="0.35">
      <c r="A217" s="18" t="s">
        <v>6977</v>
      </c>
      <c r="B217" s="18" t="s">
        <v>6978</v>
      </c>
      <c r="C217" s="18" t="s">
        <v>1520</v>
      </c>
      <c r="D217" s="18" t="s">
        <v>1521</v>
      </c>
      <c r="E217" s="18" t="s">
        <v>2</v>
      </c>
      <c r="F217" s="15" t="str">
        <f t="shared" si="10"/>
        <v>Female</v>
      </c>
      <c r="G217" s="18" t="s">
        <v>1522</v>
      </c>
      <c r="H217" s="18" t="s">
        <v>1523</v>
      </c>
      <c r="I217" s="18">
        <v>216</v>
      </c>
      <c r="J217" s="18">
        <v>216</v>
      </c>
      <c r="K217" s="18" t="s">
        <v>5</v>
      </c>
      <c r="L217" s="18" t="s">
        <v>1524</v>
      </c>
      <c r="M217" s="18" t="s">
        <v>1525</v>
      </c>
      <c r="N217" s="18" t="s">
        <v>48</v>
      </c>
      <c r="O217" s="18" t="s">
        <v>204</v>
      </c>
      <c r="P217" s="18" t="s">
        <v>1526</v>
      </c>
      <c r="Q217" s="22">
        <f t="shared" si="11"/>
        <v>1140000</v>
      </c>
      <c r="R217" s="18">
        <v>906.3</v>
      </c>
      <c r="S217" s="19">
        <v>5.28</v>
      </c>
      <c r="T217" s="18">
        <v>75092856</v>
      </c>
      <c r="U217" s="20">
        <v>46330</v>
      </c>
      <c r="V217" s="18" t="str">
        <f t="shared" si="9"/>
        <v>Complete</v>
      </c>
    </row>
    <row r="218" spans="1:22" ht="14.5" customHeight="1" x14ac:dyDescent="0.35">
      <c r="A218" s="15" t="s">
        <v>6979</v>
      </c>
      <c r="B218" s="15" t="s">
        <v>6980</v>
      </c>
      <c r="C218" s="15" t="s">
        <v>1527</v>
      </c>
      <c r="D218" s="15" t="s">
        <v>1528</v>
      </c>
      <c r="E218" s="15" t="s">
        <v>13</v>
      </c>
      <c r="F218" s="15" t="str">
        <f t="shared" si="10"/>
        <v>Male</v>
      </c>
      <c r="G218" s="15" t="s">
        <v>1529</v>
      </c>
      <c r="H218" s="15" t="s">
        <v>1530</v>
      </c>
      <c r="I218" s="15">
        <v>217</v>
      </c>
      <c r="J218" s="15">
        <v>217</v>
      </c>
      <c r="K218" s="15" t="s">
        <v>32</v>
      </c>
      <c r="L218" s="15" t="s">
        <v>1531</v>
      </c>
      <c r="M218" s="15" t="s">
        <v>1532</v>
      </c>
      <c r="N218" s="15" t="s">
        <v>8033</v>
      </c>
      <c r="O218" s="15" t="s">
        <v>8033</v>
      </c>
      <c r="P218" s="15" t="s">
        <v>8033</v>
      </c>
      <c r="Q218" s="22">
        <f t="shared" si="11"/>
        <v>0</v>
      </c>
      <c r="R218" s="15">
        <v>380.45</v>
      </c>
      <c r="S218" s="16">
        <v>2.44</v>
      </c>
      <c r="T218" s="15">
        <v>11316900</v>
      </c>
      <c r="U218" s="17">
        <v>44448</v>
      </c>
      <c r="V218" s="15" t="str">
        <f t="shared" si="9"/>
        <v>Missing</v>
      </c>
    </row>
    <row r="219" spans="1:22" ht="14.5" customHeight="1" x14ac:dyDescent="0.35">
      <c r="A219" s="18" t="s">
        <v>6981</v>
      </c>
      <c r="B219" s="18" t="s">
        <v>6982</v>
      </c>
      <c r="C219" s="18" t="s">
        <v>1533</v>
      </c>
      <c r="D219" s="18" t="s">
        <v>1534</v>
      </c>
      <c r="E219" s="18" t="s">
        <v>2</v>
      </c>
      <c r="F219" s="15" t="str">
        <f t="shared" si="10"/>
        <v>Female</v>
      </c>
      <c r="G219" s="18" t="s">
        <v>1535</v>
      </c>
      <c r="H219" s="18" t="s">
        <v>1536</v>
      </c>
      <c r="I219" s="18">
        <v>218</v>
      </c>
      <c r="J219" s="18">
        <v>218</v>
      </c>
      <c r="K219" s="18" t="s">
        <v>32</v>
      </c>
      <c r="L219" s="18" t="s">
        <v>1537</v>
      </c>
      <c r="M219" s="18" t="s">
        <v>1538</v>
      </c>
      <c r="N219" s="18" t="s">
        <v>48</v>
      </c>
      <c r="O219" s="18" t="s">
        <v>57</v>
      </c>
      <c r="P219" s="18" t="s">
        <v>1539</v>
      </c>
      <c r="Q219" s="22">
        <f t="shared" si="11"/>
        <v>20320000000</v>
      </c>
      <c r="R219" s="18">
        <v>1098.73</v>
      </c>
      <c r="S219" s="19">
        <v>13.59</v>
      </c>
      <c r="T219" s="18">
        <v>71904162</v>
      </c>
      <c r="U219" s="20">
        <v>44788</v>
      </c>
      <c r="V219" s="18" t="str">
        <f t="shared" si="9"/>
        <v>Complete</v>
      </c>
    </row>
    <row r="220" spans="1:22" ht="14.5" customHeight="1" x14ac:dyDescent="0.35">
      <c r="A220" s="15" t="s">
        <v>6983</v>
      </c>
      <c r="B220" s="15" t="s">
        <v>6984</v>
      </c>
      <c r="C220" s="15" t="s">
        <v>1540</v>
      </c>
      <c r="D220" s="15" t="s">
        <v>1541</v>
      </c>
      <c r="E220" s="15" t="s">
        <v>2</v>
      </c>
      <c r="F220" s="15" t="str">
        <f t="shared" si="10"/>
        <v>Female</v>
      </c>
      <c r="G220" s="15" t="s">
        <v>1542</v>
      </c>
      <c r="H220" s="15" t="s">
        <v>1543</v>
      </c>
      <c r="I220" s="15">
        <v>219</v>
      </c>
      <c r="J220" s="15">
        <v>219</v>
      </c>
      <c r="K220" s="15" t="s">
        <v>32</v>
      </c>
      <c r="L220" s="15" t="s">
        <v>1544</v>
      </c>
      <c r="M220" s="15" t="s">
        <v>1545</v>
      </c>
      <c r="N220" s="15" t="s">
        <v>189</v>
      </c>
      <c r="O220" s="15" t="s">
        <v>190</v>
      </c>
      <c r="P220" s="15" t="s">
        <v>1546</v>
      </c>
      <c r="Q220" s="22">
        <f t="shared" si="11"/>
        <v>7970000000</v>
      </c>
      <c r="R220" s="15">
        <v>1385.27</v>
      </c>
      <c r="S220" s="16">
        <v>-6.82</v>
      </c>
      <c r="T220" s="15">
        <v>86721365</v>
      </c>
      <c r="U220" s="17">
        <v>44824</v>
      </c>
      <c r="V220" s="15" t="str">
        <f t="shared" si="9"/>
        <v>Complete</v>
      </c>
    </row>
    <row r="221" spans="1:22" ht="14.5" customHeight="1" x14ac:dyDescent="0.35">
      <c r="A221" s="18" t="s">
        <v>6985</v>
      </c>
      <c r="B221" s="18" t="s">
        <v>6986</v>
      </c>
      <c r="C221" s="18" t="s">
        <v>1547</v>
      </c>
      <c r="D221" s="18" t="s">
        <v>1548</v>
      </c>
      <c r="E221" s="18" t="s">
        <v>13</v>
      </c>
      <c r="F221" s="15" t="str">
        <f t="shared" si="10"/>
        <v>Male</v>
      </c>
      <c r="G221" s="18" t="s">
        <v>1549</v>
      </c>
      <c r="H221" s="18" t="s">
        <v>1550</v>
      </c>
      <c r="I221" s="18">
        <v>220</v>
      </c>
      <c r="J221" s="18">
        <v>220</v>
      </c>
      <c r="K221" s="18" t="s">
        <v>5</v>
      </c>
      <c r="L221" s="18" t="s">
        <v>1551</v>
      </c>
      <c r="M221" s="18" t="s">
        <v>1552</v>
      </c>
      <c r="N221" s="18" t="s">
        <v>99</v>
      </c>
      <c r="O221" s="18" t="s">
        <v>1553</v>
      </c>
      <c r="P221" s="18" t="s">
        <v>1554</v>
      </c>
      <c r="Q221" s="22">
        <f t="shared" si="11"/>
        <v>15550000000</v>
      </c>
      <c r="R221" s="18">
        <v>1715.81</v>
      </c>
      <c r="S221" s="19">
        <v>-2.85</v>
      </c>
      <c r="T221" s="18">
        <v>91894325</v>
      </c>
      <c r="U221" s="20">
        <v>45706</v>
      </c>
      <c r="V221" s="18" t="str">
        <f t="shared" si="9"/>
        <v>Complete</v>
      </c>
    </row>
    <row r="222" spans="1:22" ht="14.5" customHeight="1" x14ac:dyDescent="0.35">
      <c r="A222" s="15" t="s">
        <v>6987</v>
      </c>
      <c r="B222" s="15" t="s">
        <v>6988</v>
      </c>
      <c r="C222" s="15" t="s">
        <v>1555</v>
      </c>
      <c r="D222" s="15" t="s">
        <v>1556</v>
      </c>
      <c r="E222" s="15" t="s">
        <v>2</v>
      </c>
      <c r="F222" s="15" t="str">
        <f t="shared" si="10"/>
        <v>Female</v>
      </c>
      <c r="G222" s="15" t="s">
        <v>1557</v>
      </c>
      <c r="H222" s="15" t="s">
        <v>1558</v>
      </c>
      <c r="I222" s="15">
        <v>221</v>
      </c>
      <c r="J222" s="15">
        <v>221</v>
      </c>
      <c r="K222" s="15" t="s">
        <v>32</v>
      </c>
      <c r="L222" s="15" t="s">
        <v>1559</v>
      </c>
      <c r="M222" s="15" t="s">
        <v>1560</v>
      </c>
      <c r="N222" s="15" t="s">
        <v>66</v>
      </c>
      <c r="O222" s="15" t="s">
        <v>181</v>
      </c>
      <c r="P222" s="15" t="s">
        <v>1561</v>
      </c>
      <c r="Q222" s="22">
        <f t="shared" si="11"/>
        <v>7320000000</v>
      </c>
      <c r="R222" s="15">
        <v>1990.49</v>
      </c>
      <c r="S222" s="16">
        <v>-3.11</v>
      </c>
      <c r="T222" s="15">
        <v>39680077</v>
      </c>
      <c r="U222" s="17">
        <v>44429</v>
      </c>
      <c r="V222" s="15" t="str">
        <f t="shared" si="9"/>
        <v>Complete</v>
      </c>
    </row>
    <row r="223" spans="1:22" ht="14.5" customHeight="1" x14ac:dyDescent="0.35">
      <c r="A223" s="18" t="s">
        <v>6989</v>
      </c>
      <c r="B223" s="18" t="s">
        <v>6990</v>
      </c>
      <c r="C223" s="18" t="s">
        <v>1453</v>
      </c>
      <c r="D223" s="18" t="s">
        <v>1562</v>
      </c>
      <c r="E223" s="18" t="s">
        <v>13</v>
      </c>
      <c r="F223" s="15" t="str">
        <f t="shared" si="10"/>
        <v>Male</v>
      </c>
      <c r="G223" s="18" t="s">
        <v>1563</v>
      </c>
      <c r="H223" s="18" t="s">
        <v>1564</v>
      </c>
      <c r="I223" s="18">
        <v>222</v>
      </c>
      <c r="J223" s="18">
        <v>222</v>
      </c>
      <c r="K223" s="18" t="s">
        <v>32</v>
      </c>
      <c r="L223" s="18" t="s">
        <v>1565</v>
      </c>
      <c r="M223" s="18" t="s">
        <v>741</v>
      </c>
      <c r="N223" s="18" t="s">
        <v>8033</v>
      </c>
      <c r="O223" s="18" t="s">
        <v>8033</v>
      </c>
      <c r="P223" s="18" t="s">
        <v>8033</v>
      </c>
      <c r="Q223" s="22">
        <f t="shared" si="11"/>
        <v>0</v>
      </c>
      <c r="R223" s="18">
        <v>678.95</v>
      </c>
      <c r="S223" s="19">
        <v>0.94</v>
      </c>
      <c r="T223" s="18">
        <v>49785779</v>
      </c>
      <c r="U223" s="20">
        <v>43959</v>
      </c>
      <c r="V223" s="18" t="str">
        <f t="shared" si="9"/>
        <v>Missing</v>
      </c>
    </row>
    <row r="224" spans="1:22" ht="14.5" customHeight="1" x14ac:dyDescent="0.35">
      <c r="A224" s="15" t="s">
        <v>6991</v>
      </c>
      <c r="B224" s="15" t="s">
        <v>6992</v>
      </c>
      <c r="C224" s="15" t="s">
        <v>1566</v>
      </c>
      <c r="D224" s="15" t="s">
        <v>1567</v>
      </c>
      <c r="E224" s="15" t="s">
        <v>2</v>
      </c>
      <c r="F224" s="15" t="str">
        <f t="shared" si="10"/>
        <v>Female</v>
      </c>
      <c r="G224" s="15" t="s">
        <v>1568</v>
      </c>
      <c r="H224" s="15" t="s">
        <v>1569</v>
      </c>
      <c r="I224" s="15">
        <v>223</v>
      </c>
      <c r="J224" s="15">
        <v>223</v>
      </c>
      <c r="K224" s="15" t="s">
        <v>5</v>
      </c>
      <c r="L224" s="15" t="s">
        <v>1570</v>
      </c>
      <c r="M224" s="15" t="s">
        <v>322</v>
      </c>
      <c r="N224" s="15" t="s">
        <v>323</v>
      </c>
      <c r="O224" s="15" t="s">
        <v>324</v>
      </c>
      <c r="P224" s="15" t="s">
        <v>8033</v>
      </c>
      <c r="Q224" s="22">
        <f t="shared" si="11"/>
        <v>0</v>
      </c>
      <c r="R224" s="15">
        <v>1701.73</v>
      </c>
      <c r="S224" s="16">
        <v>-15.48</v>
      </c>
      <c r="T224" s="15">
        <v>115255728</v>
      </c>
      <c r="U224" s="17">
        <v>45970</v>
      </c>
      <c r="V224" s="15" t="str">
        <f t="shared" si="9"/>
        <v>Missing</v>
      </c>
    </row>
    <row r="225" spans="1:22" ht="14.5" customHeight="1" x14ac:dyDescent="0.35">
      <c r="A225" s="18" t="s">
        <v>6993</v>
      </c>
      <c r="B225" s="18" t="s">
        <v>6994</v>
      </c>
      <c r="C225" s="18" t="s">
        <v>1571</v>
      </c>
      <c r="D225" s="18" t="s">
        <v>1572</v>
      </c>
      <c r="E225" s="18" t="s">
        <v>2</v>
      </c>
      <c r="F225" s="15" t="str">
        <f t="shared" si="10"/>
        <v>Female</v>
      </c>
      <c r="G225" s="18" t="s">
        <v>1573</v>
      </c>
      <c r="H225" s="18" t="s">
        <v>1574</v>
      </c>
      <c r="I225" s="18">
        <v>224</v>
      </c>
      <c r="J225" s="18">
        <v>224</v>
      </c>
      <c r="K225" s="18" t="s">
        <v>5</v>
      </c>
      <c r="L225" s="18" t="s">
        <v>1575</v>
      </c>
      <c r="M225" s="18" t="s">
        <v>1576</v>
      </c>
      <c r="N225" s="18" t="s">
        <v>66</v>
      </c>
      <c r="O225" s="18" t="s">
        <v>1577</v>
      </c>
      <c r="P225" s="18" t="s">
        <v>1578</v>
      </c>
      <c r="Q225" s="22">
        <f t="shared" si="11"/>
        <v>95780000</v>
      </c>
      <c r="R225" s="18">
        <v>1439.11</v>
      </c>
      <c r="S225" s="19">
        <v>4.21</v>
      </c>
      <c r="T225" s="18">
        <v>93460219</v>
      </c>
      <c r="U225" s="20">
        <v>44286</v>
      </c>
      <c r="V225" s="18" t="str">
        <f t="shared" si="9"/>
        <v>Complete</v>
      </c>
    </row>
    <row r="226" spans="1:22" ht="14.5" customHeight="1" x14ac:dyDescent="0.35">
      <c r="A226" s="15" t="s">
        <v>6995</v>
      </c>
      <c r="B226" s="15" t="s">
        <v>6914</v>
      </c>
      <c r="C226" s="15" t="s">
        <v>1579</v>
      </c>
      <c r="D226" s="15" t="s">
        <v>1580</v>
      </c>
      <c r="E226" s="15" t="s">
        <v>13</v>
      </c>
      <c r="F226" s="15" t="str">
        <f t="shared" si="10"/>
        <v>Male</v>
      </c>
      <c r="G226" s="15" t="s">
        <v>1581</v>
      </c>
      <c r="H226" s="15" t="s">
        <v>1582</v>
      </c>
      <c r="I226" s="15">
        <v>225</v>
      </c>
      <c r="J226" s="15">
        <v>225</v>
      </c>
      <c r="K226" s="15" t="s">
        <v>5</v>
      </c>
      <c r="L226" s="15" t="s">
        <v>1583</v>
      </c>
      <c r="M226" s="15" t="s">
        <v>1584</v>
      </c>
      <c r="N226" s="15" t="s">
        <v>66</v>
      </c>
      <c r="O226" s="15" t="s">
        <v>293</v>
      </c>
      <c r="P226" s="15" t="s">
        <v>1585</v>
      </c>
      <c r="Q226" s="22">
        <f t="shared" si="11"/>
        <v>2680000000</v>
      </c>
      <c r="R226" s="15">
        <v>639.75</v>
      </c>
      <c r="S226" s="16">
        <v>-10.32</v>
      </c>
      <c r="T226" s="15">
        <v>126998874</v>
      </c>
      <c r="U226" s="17">
        <v>45228</v>
      </c>
      <c r="V226" s="15" t="str">
        <f t="shared" si="9"/>
        <v>Complete</v>
      </c>
    </row>
    <row r="227" spans="1:22" ht="14.5" customHeight="1" x14ac:dyDescent="0.35">
      <c r="A227" s="18" t="s">
        <v>6996</v>
      </c>
      <c r="B227" s="18" t="s">
        <v>6997</v>
      </c>
      <c r="C227" s="18" t="s">
        <v>1586</v>
      </c>
      <c r="D227" s="18" t="s">
        <v>1587</v>
      </c>
      <c r="E227" s="18" t="s">
        <v>2</v>
      </c>
      <c r="F227" s="15" t="str">
        <f t="shared" si="10"/>
        <v>Female</v>
      </c>
      <c r="G227" s="18" t="s">
        <v>1588</v>
      </c>
      <c r="H227" s="18" t="s">
        <v>1589</v>
      </c>
      <c r="I227" s="18">
        <v>226</v>
      </c>
      <c r="J227" s="18">
        <v>226</v>
      </c>
      <c r="K227" s="18" t="s">
        <v>5</v>
      </c>
      <c r="L227" s="18" t="s">
        <v>1590</v>
      </c>
      <c r="M227" s="18" t="s">
        <v>1591</v>
      </c>
      <c r="N227" s="18" t="s">
        <v>8</v>
      </c>
      <c r="O227" s="18" t="s">
        <v>18</v>
      </c>
      <c r="P227" s="18" t="s">
        <v>1592</v>
      </c>
      <c r="Q227" s="22">
        <f t="shared" si="11"/>
        <v>12030000</v>
      </c>
      <c r="R227" s="18">
        <v>74.099999999999994</v>
      </c>
      <c r="S227" s="19">
        <v>16.36</v>
      </c>
      <c r="T227" s="18">
        <v>33732261</v>
      </c>
      <c r="U227" s="20">
        <v>44315</v>
      </c>
      <c r="V227" s="18" t="str">
        <f t="shared" si="9"/>
        <v>Complete</v>
      </c>
    </row>
    <row r="228" spans="1:22" ht="14.5" customHeight="1" x14ac:dyDescent="0.35">
      <c r="A228" s="15" t="s">
        <v>6998</v>
      </c>
      <c r="B228" s="15" t="s">
        <v>6999</v>
      </c>
      <c r="C228" s="15" t="s">
        <v>1593</v>
      </c>
      <c r="D228" s="15" t="s">
        <v>1594</v>
      </c>
      <c r="E228" s="15" t="s">
        <v>2</v>
      </c>
      <c r="F228" s="15" t="str">
        <f t="shared" si="10"/>
        <v>Female</v>
      </c>
      <c r="G228" s="15" t="s">
        <v>1595</v>
      </c>
      <c r="H228" s="15" t="s">
        <v>1596</v>
      </c>
      <c r="I228" s="15">
        <v>227</v>
      </c>
      <c r="J228" s="15">
        <v>227</v>
      </c>
      <c r="K228" s="15" t="s">
        <v>5</v>
      </c>
      <c r="L228" s="15" t="s">
        <v>1597</v>
      </c>
      <c r="M228" s="15" t="s">
        <v>1598</v>
      </c>
      <c r="N228" s="15" t="s">
        <v>8033</v>
      </c>
      <c r="O228" s="15" t="s">
        <v>8033</v>
      </c>
      <c r="P228" s="15" t="s">
        <v>1599</v>
      </c>
      <c r="Q228" s="22">
        <f t="shared" si="11"/>
        <v>137600000</v>
      </c>
      <c r="R228" s="15">
        <v>339.58</v>
      </c>
      <c r="S228" s="16">
        <v>15.87</v>
      </c>
      <c r="T228" s="15">
        <v>15801277</v>
      </c>
      <c r="U228" s="17">
        <v>44280</v>
      </c>
      <c r="V228" s="15" t="str">
        <f t="shared" si="9"/>
        <v>Missing</v>
      </c>
    </row>
    <row r="229" spans="1:22" ht="14.5" customHeight="1" x14ac:dyDescent="0.35">
      <c r="A229" s="18" t="s">
        <v>7000</v>
      </c>
      <c r="B229" s="18" t="s">
        <v>7001</v>
      </c>
      <c r="C229" s="18" t="s">
        <v>1600</v>
      </c>
      <c r="D229" s="18" t="s">
        <v>1601</v>
      </c>
      <c r="E229" s="18" t="s">
        <v>13</v>
      </c>
      <c r="F229" s="15" t="str">
        <f t="shared" si="10"/>
        <v>Male</v>
      </c>
      <c r="G229" s="18" t="s">
        <v>1602</v>
      </c>
      <c r="H229" s="18" t="s">
        <v>1603</v>
      </c>
      <c r="I229" s="18">
        <v>228</v>
      </c>
      <c r="J229" s="18">
        <v>228</v>
      </c>
      <c r="K229" s="18" t="s">
        <v>32</v>
      </c>
      <c r="L229" s="18" t="s">
        <v>1604</v>
      </c>
      <c r="M229" s="18" t="s">
        <v>1605</v>
      </c>
      <c r="N229" s="18" t="s">
        <v>8033</v>
      </c>
      <c r="O229" s="18" t="s">
        <v>8033</v>
      </c>
      <c r="P229" s="18" t="s">
        <v>1606</v>
      </c>
      <c r="Q229" s="22">
        <f t="shared" si="11"/>
        <v>213680000</v>
      </c>
      <c r="R229" s="18">
        <v>1816.91</v>
      </c>
      <c r="S229" s="19">
        <v>9.16</v>
      </c>
      <c r="T229" s="18">
        <v>188828416</v>
      </c>
      <c r="U229" s="20">
        <v>44172</v>
      </c>
      <c r="V229" s="18" t="str">
        <f t="shared" si="9"/>
        <v>Missing</v>
      </c>
    </row>
    <row r="230" spans="1:22" ht="14.5" customHeight="1" x14ac:dyDescent="0.35">
      <c r="A230" s="15" t="s">
        <v>7002</v>
      </c>
      <c r="B230" s="15" t="s">
        <v>7003</v>
      </c>
      <c r="C230" s="15" t="s">
        <v>1607</v>
      </c>
      <c r="D230" s="15" t="s">
        <v>1608</v>
      </c>
      <c r="E230" s="15" t="s">
        <v>2</v>
      </c>
      <c r="F230" s="15" t="str">
        <f t="shared" si="10"/>
        <v>Female</v>
      </c>
      <c r="G230" s="15" t="s">
        <v>1609</v>
      </c>
      <c r="H230" s="15" t="s">
        <v>1610</v>
      </c>
      <c r="I230" s="15">
        <v>229</v>
      </c>
      <c r="J230" s="15">
        <v>229</v>
      </c>
      <c r="K230" s="15" t="s">
        <v>32</v>
      </c>
      <c r="L230" s="15" t="s">
        <v>1611</v>
      </c>
      <c r="M230" s="15" t="s">
        <v>984</v>
      </c>
      <c r="N230" s="15" t="s">
        <v>8033</v>
      </c>
      <c r="O230" s="15" t="s">
        <v>8033</v>
      </c>
      <c r="P230" s="15" t="s">
        <v>8033</v>
      </c>
      <c r="Q230" s="22">
        <f t="shared" si="11"/>
        <v>0</v>
      </c>
      <c r="R230" s="15">
        <v>1512.34</v>
      </c>
      <c r="S230" s="16">
        <v>-14.47</v>
      </c>
      <c r="T230" s="15">
        <v>132689098</v>
      </c>
      <c r="U230" s="17">
        <v>44990</v>
      </c>
      <c r="V230" s="15" t="str">
        <f t="shared" si="9"/>
        <v>Missing</v>
      </c>
    </row>
    <row r="231" spans="1:22" ht="14.5" customHeight="1" x14ac:dyDescent="0.35">
      <c r="A231" s="18" t="s">
        <v>7004</v>
      </c>
      <c r="B231" s="18" t="s">
        <v>7005</v>
      </c>
      <c r="C231" s="18" t="s">
        <v>1612</v>
      </c>
      <c r="D231" s="18" t="s">
        <v>1613</v>
      </c>
      <c r="E231" s="18" t="s">
        <v>13</v>
      </c>
      <c r="F231" s="15" t="str">
        <f t="shared" si="10"/>
        <v>Male</v>
      </c>
      <c r="G231" s="18" t="s">
        <v>1614</v>
      </c>
      <c r="H231" s="18" t="s">
        <v>1615</v>
      </c>
      <c r="I231" s="18">
        <v>230</v>
      </c>
      <c r="J231" s="18">
        <v>230</v>
      </c>
      <c r="K231" s="18" t="s">
        <v>32</v>
      </c>
      <c r="L231" s="18" t="s">
        <v>1616</v>
      </c>
      <c r="M231" s="18" t="s">
        <v>1617</v>
      </c>
      <c r="N231" s="18" t="s">
        <v>8033</v>
      </c>
      <c r="O231" s="18" t="s">
        <v>8033</v>
      </c>
      <c r="P231" s="18" t="s">
        <v>1618</v>
      </c>
      <c r="Q231" s="22">
        <f t="shared" si="11"/>
        <v>75980000</v>
      </c>
      <c r="R231" s="18">
        <v>516.26</v>
      </c>
      <c r="S231" s="19">
        <v>-4.34</v>
      </c>
      <c r="T231" s="18">
        <v>194945150</v>
      </c>
      <c r="U231" s="20">
        <v>44407</v>
      </c>
      <c r="V231" s="18" t="str">
        <f t="shared" si="9"/>
        <v>Missing</v>
      </c>
    </row>
    <row r="232" spans="1:22" ht="14.5" customHeight="1" x14ac:dyDescent="0.35">
      <c r="A232" s="15" t="s">
        <v>7006</v>
      </c>
      <c r="B232" s="15" t="s">
        <v>6595</v>
      </c>
      <c r="C232" s="15" t="s">
        <v>1619</v>
      </c>
      <c r="D232" s="15" t="s">
        <v>1620</v>
      </c>
      <c r="E232" s="15" t="s">
        <v>161</v>
      </c>
      <c r="F232" s="15" t="str">
        <f t="shared" si="10"/>
        <v>Other</v>
      </c>
      <c r="G232" s="15" t="s">
        <v>1621</v>
      </c>
      <c r="H232" s="15" t="s">
        <v>1622</v>
      </c>
      <c r="I232" s="15">
        <v>231</v>
      </c>
      <c r="J232" s="15">
        <v>231</v>
      </c>
      <c r="K232" s="15" t="s">
        <v>5</v>
      </c>
      <c r="L232" s="15" t="s">
        <v>1623</v>
      </c>
      <c r="M232" s="15" t="s">
        <v>1624</v>
      </c>
      <c r="N232" s="15" t="s">
        <v>66</v>
      </c>
      <c r="O232" s="15" t="s">
        <v>931</v>
      </c>
      <c r="P232" s="15" t="s">
        <v>1625</v>
      </c>
      <c r="Q232" s="22">
        <f t="shared" si="11"/>
        <v>11210000</v>
      </c>
      <c r="R232" s="15">
        <v>1897.14</v>
      </c>
      <c r="S232" s="16">
        <v>-19.93</v>
      </c>
      <c r="T232" s="15">
        <v>44436998</v>
      </c>
      <c r="U232" s="17">
        <v>44571</v>
      </c>
      <c r="V232" s="15" t="str">
        <f t="shared" si="9"/>
        <v>Complete</v>
      </c>
    </row>
    <row r="233" spans="1:22" ht="14.5" customHeight="1" x14ac:dyDescent="0.35">
      <c r="A233" s="18" t="s">
        <v>7007</v>
      </c>
      <c r="B233" s="18" t="s">
        <v>6835</v>
      </c>
      <c r="C233" s="18" t="s">
        <v>1626</v>
      </c>
      <c r="D233" s="18" t="s">
        <v>1627</v>
      </c>
      <c r="E233" s="18" t="s">
        <v>2</v>
      </c>
      <c r="F233" s="15" t="str">
        <f t="shared" si="10"/>
        <v>Female</v>
      </c>
      <c r="G233" s="18" t="s">
        <v>1628</v>
      </c>
      <c r="H233" s="18" t="s">
        <v>1629</v>
      </c>
      <c r="I233" s="18">
        <v>232</v>
      </c>
      <c r="J233" s="18">
        <v>232</v>
      </c>
      <c r="K233" s="18" t="s">
        <v>32</v>
      </c>
      <c r="L233" s="18" t="s">
        <v>1630</v>
      </c>
      <c r="M233" s="18" t="s">
        <v>1631</v>
      </c>
      <c r="N233" s="18" t="s">
        <v>48</v>
      </c>
      <c r="O233" s="18" t="s">
        <v>1632</v>
      </c>
      <c r="P233" s="18" t="s">
        <v>1633</v>
      </c>
      <c r="Q233" s="22">
        <f t="shared" si="11"/>
        <v>63230000</v>
      </c>
      <c r="R233" s="18">
        <v>1605.73</v>
      </c>
      <c r="S233" s="19">
        <v>-7.38</v>
      </c>
      <c r="T233" s="18">
        <v>132693108</v>
      </c>
      <c r="U233" s="20">
        <v>46214</v>
      </c>
      <c r="V233" s="18" t="str">
        <f t="shared" si="9"/>
        <v>Complete</v>
      </c>
    </row>
    <row r="234" spans="1:22" ht="14.5" customHeight="1" x14ac:dyDescent="0.35">
      <c r="A234" s="15" t="s">
        <v>7008</v>
      </c>
      <c r="B234" s="15" t="s">
        <v>6660</v>
      </c>
      <c r="C234" s="15" t="s">
        <v>1634</v>
      </c>
      <c r="D234" s="15" t="s">
        <v>1635</v>
      </c>
      <c r="E234" s="15" t="s">
        <v>13</v>
      </c>
      <c r="F234" s="15" t="str">
        <f t="shared" si="10"/>
        <v>Male</v>
      </c>
      <c r="G234" s="15" t="s">
        <v>1636</v>
      </c>
      <c r="H234" s="15" t="s">
        <v>1637</v>
      </c>
      <c r="I234" s="15">
        <v>233</v>
      </c>
      <c r="J234" s="15">
        <v>233</v>
      </c>
      <c r="K234" s="15" t="s">
        <v>5</v>
      </c>
      <c r="L234" s="15" t="s">
        <v>1638</v>
      </c>
      <c r="M234" s="15" t="s">
        <v>1639</v>
      </c>
      <c r="N234" s="15" t="s">
        <v>8</v>
      </c>
      <c r="O234" s="15" t="s">
        <v>600</v>
      </c>
      <c r="P234" s="15" t="s">
        <v>1640</v>
      </c>
      <c r="Q234" s="22">
        <f t="shared" si="11"/>
        <v>118920000</v>
      </c>
      <c r="R234" s="15">
        <v>942.14</v>
      </c>
      <c r="S234" s="16">
        <v>-9.36</v>
      </c>
      <c r="T234" s="15">
        <v>147992187</v>
      </c>
      <c r="U234" s="17">
        <v>44924</v>
      </c>
      <c r="V234" s="15" t="str">
        <f t="shared" si="9"/>
        <v>Complete</v>
      </c>
    </row>
    <row r="235" spans="1:22" ht="14.5" customHeight="1" x14ac:dyDescent="0.35">
      <c r="A235" s="18" t="s">
        <v>7009</v>
      </c>
      <c r="B235" s="18" t="s">
        <v>7010</v>
      </c>
      <c r="C235" s="18" t="s">
        <v>1641</v>
      </c>
      <c r="D235" s="18" t="s">
        <v>1642</v>
      </c>
      <c r="E235" s="18" t="s">
        <v>13</v>
      </c>
      <c r="F235" s="15" t="str">
        <f t="shared" si="10"/>
        <v>Male</v>
      </c>
      <c r="G235" s="18" t="s">
        <v>1643</v>
      </c>
      <c r="H235" s="18" t="s">
        <v>1644</v>
      </c>
      <c r="I235" s="18">
        <v>234</v>
      </c>
      <c r="J235" s="18">
        <v>234</v>
      </c>
      <c r="K235" s="18" t="s">
        <v>5</v>
      </c>
      <c r="L235" s="18" t="s">
        <v>1645</v>
      </c>
      <c r="M235" s="18" t="s">
        <v>1646</v>
      </c>
      <c r="N235" s="18" t="s">
        <v>8033</v>
      </c>
      <c r="O235" s="18" t="s">
        <v>8033</v>
      </c>
      <c r="P235" s="18" t="s">
        <v>1647</v>
      </c>
      <c r="Q235" s="22">
        <f t="shared" si="11"/>
        <v>43500000</v>
      </c>
      <c r="R235" s="18">
        <v>631.92999999999995</v>
      </c>
      <c r="S235" s="19">
        <v>4.54</v>
      </c>
      <c r="T235" s="18">
        <v>66861912</v>
      </c>
      <c r="U235" s="20">
        <v>46367</v>
      </c>
      <c r="V235" s="18" t="str">
        <f t="shared" si="9"/>
        <v>Missing</v>
      </c>
    </row>
    <row r="236" spans="1:22" ht="14.5" customHeight="1" x14ac:dyDescent="0.35">
      <c r="A236" s="15" t="s">
        <v>7011</v>
      </c>
      <c r="B236" s="15" t="s">
        <v>7012</v>
      </c>
      <c r="C236" s="15" t="s">
        <v>1648</v>
      </c>
      <c r="D236" s="15" t="s">
        <v>1649</v>
      </c>
      <c r="E236" s="15" t="s">
        <v>13</v>
      </c>
      <c r="F236" s="15" t="str">
        <f t="shared" si="10"/>
        <v>Male</v>
      </c>
      <c r="G236" s="15" t="s">
        <v>1650</v>
      </c>
      <c r="H236" s="15" t="s">
        <v>1651</v>
      </c>
      <c r="I236" s="15">
        <v>235</v>
      </c>
      <c r="J236" s="15">
        <v>235</v>
      </c>
      <c r="K236" s="15" t="s">
        <v>5</v>
      </c>
      <c r="L236" s="15" t="s">
        <v>1652</v>
      </c>
      <c r="M236" s="15" t="s">
        <v>1653</v>
      </c>
      <c r="N236" s="15" t="s">
        <v>48</v>
      </c>
      <c r="O236" s="15" t="s">
        <v>57</v>
      </c>
      <c r="P236" s="15" t="s">
        <v>1654</v>
      </c>
      <c r="Q236" s="22">
        <f t="shared" si="11"/>
        <v>514789999.99999994</v>
      </c>
      <c r="R236" s="15">
        <v>505.17</v>
      </c>
      <c r="S236" s="16">
        <v>-0.54</v>
      </c>
      <c r="T236" s="15">
        <v>131988946</v>
      </c>
      <c r="U236" s="17">
        <v>44122</v>
      </c>
      <c r="V236" s="15" t="str">
        <f t="shared" si="9"/>
        <v>Complete</v>
      </c>
    </row>
    <row r="237" spans="1:22" ht="14.5" customHeight="1" x14ac:dyDescent="0.35">
      <c r="A237" s="18" t="s">
        <v>7013</v>
      </c>
      <c r="B237" s="18" t="s">
        <v>7014</v>
      </c>
      <c r="C237" s="18" t="s">
        <v>1655</v>
      </c>
      <c r="D237" s="18" t="s">
        <v>1656</v>
      </c>
      <c r="E237" s="18" t="s">
        <v>2</v>
      </c>
      <c r="F237" s="15" t="str">
        <f t="shared" si="10"/>
        <v>Female</v>
      </c>
      <c r="G237" s="18" t="s">
        <v>1657</v>
      </c>
      <c r="H237" s="18" t="s">
        <v>1658</v>
      </c>
      <c r="I237" s="18">
        <v>236</v>
      </c>
      <c r="J237" s="18">
        <v>236</v>
      </c>
      <c r="K237" s="18" t="s">
        <v>32</v>
      </c>
      <c r="L237" s="18" t="s">
        <v>1659</v>
      </c>
      <c r="M237" s="18" t="s">
        <v>1660</v>
      </c>
      <c r="N237" s="18" t="s">
        <v>134</v>
      </c>
      <c r="O237" s="18" t="s">
        <v>173</v>
      </c>
      <c r="P237" s="18" t="s">
        <v>1661</v>
      </c>
      <c r="Q237" s="22">
        <f t="shared" si="11"/>
        <v>2900000000</v>
      </c>
      <c r="R237" s="18">
        <v>530.78</v>
      </c>
      <c r="S237" s="19">
        <v>-15.91</v>
      </c>
      <c r="T237" s="18">
        <v>74517302</v>
      </c>
      <c r="U237" s="20">
        <v>45406</v>
      </c>
      <c r="V237" s="18" t="str">
        <f t="shared" si="9"/>
        <v>Complete</v>
      </c>
    </row>
    <row r="238" spans="1:22" ht="14.5" customHeight="1" x14ac:dyDescent="0.35">
      <c r="A238" s="15" t="s">
        <v>7015</v>
      </c>
      <c r="B238" s="15" t="s">
        <v>6784</v>
      </c>
      <c r="C238" s="15" t="s">
        <v>1662</v>
      </c>
      <c r="D238" s="15" t="s">
        <v>1663</v>
      </c>
      <c r="E238" s="15" t="s">
        <v>13</v>
      </c>
      <c r="F238" s="15" t="str">
        <f t="shared" si="10"/>
        <v>Male</v>
      </c>
      <c r="G238" s="15" t="s">
        <v>1664</v>
      </c>
      <c r="H238" s="15" t="s">
        <v>1665</v>
      </c>
      <c r="I238" s="15">
        <v>237</v>
      </c>
      <c r="J238" s="15">
        <v>237</v>
      </c>
      <c r="K238" s="15" t="s">
        <v>5</v>
      </c>
      <c r="L238" s="15" t="s">
        <v>1666</v>
      </c>
      <c r="M238" s="15" t="s">
        <v>1667</v>
      </c>
      <c r="N238" s="15" t="s">
        <v>8</v>
      </c>
      <c r="O238" s="15" t="s">
        <v>1153</v>
      </c>
      <c r="P238" s="15" t="s">
        <v>1668</v>
      </c>
      <c r="Q238" s="22">
        <f t="shared" si="11"/>
        <v>14890000</v>
      </c>
      <c r="R238" s="15">
        <v>1927.7</v>
      </c>
      <c r="S238" s="16">
        <v>0.89</v>
      </c>
      <c r="T238" s="15">
        <v>82217388</v>
      </c>
      <c r="U238" s="17">
        <v>44024</v>
      </c>
      <c r="V238" s="15" t="str">
        <f t="shared" si="9"/>
        <v>Complete</v>
      </c>
    </row>
    <row r="239" spans="1:22" ht="14.5" customHeight="1" x14ac:dyDescent="0.35">
      <c r="A239" s="18" t="s">
        <v>7016</v>
      </c>
      <c r="B239" s="18" t="s">
        <v>7017</v>
      </c>
      <c r="C239" s="18" t="s">
        <v>1669</v>
      </c>
      <c r="D239" s="18" t="s">
        <v>1670</v>
      </c>
      <c r="E239" s="18" t="s">
        <v>13</v>
      </c>
      <c r="F239" s="15" t="str">
        <f t="shared" si="10"/>
        <v>Male</v>
      </c>
      <c r="G239" s="18" t="s">
        <v>1671</v>
      </c>
      <c r="H239" s="18" t="s">
        <v>1672</v>
      </c>
      <c r="I239" s="18">
        <v>238</v>
      </c>
      <c r="J239" s="18">
        <v>238</v>
      </c>
      <c r="K239" s="18" t="s">
        <v>5</v>
      </c>
      <c r="L239" s="18" t="s">
        <v>1673</v>
      </c>
      <c r="M239" s="18" t="s">
        <v>1674</v>
      </c>
      <c r="N239" s="18" t="s">
        <v>66</v>
      </c>
      <c r="O239" s="18" t="s">
        <v>293</v>
      </c>
      <c r="P239" s="18" t="s">
        <v>1675</v>
      </c>
      <c r="Q239" s="22">
        <f t="shared" si="11"/>
        <v>18260000000</v>
      </c>
      <c r="R239" s="18">
        <v>1546.37</v>
      </c>
      <c r="S239" s="19">
        <v>14.4</v>
      </c>
      <c r="T239" s="18">
        <v>171784911</v>
      </c>
      <c r="U239" s="20">
        <v>45820</v>
      </c>
      <c r="V239" s="18" t="str">
        <f t="shared" si="9"/>
        <v>Complete</v>
      </c>
    </row>
    <row r="240" spans="1:22" ht="14.5" customHeight="1" x14ac:dyDescent="0.35">
      <c r="A240" s="15" t="s">
        <v>7018</v>
      </c>
      <c r="B240" s="15" t="s">
        <v>6894</v>
      </c>
      <c r="C240" s="15" t="s">
        <v>1676</v>
      </c>
      <c r="D240" s="15" t="s">
        <v>1677</v>
      </c>
      <c r="E240" s="15" t="s">
        <v>2</v>
      </c>
      <c r="F240" s="15" t="str">
        <f t="shared" si="10"/>
        <v>Female</v>
      </c>
      <c r="G240" s="15" t="s">
        <v>1678</v>
      </c>
      <c r="H240" s="15" t="s">
        <v>1679</v>
      </c>
      <c r="I240" s="15">
        <v>239</v>
      </c>
      <c r="J240" s="15">
        <v>239</v>
      </c>
      <c r="K240" s="15" t="s">
        <v>5</v>
      </c>
      <c r="L240" s="15" t="s">
        <v>1680</v>
      </c>
      <c r="M240" s="15" t="s">
        <v>1681</v>
      </c>
      <c r="N240" s="15" t="s">
        <v>99</v>
      </c>
      <c r="O240" s="15" t="s">
        <v>1498</v>
      </c>
      <c r="P240" s="15" t="s">
        <v>1682</v>
      </c>
      <c r="Q240" s="22">
        <f t="shared" si="11"/>
        <v>834310000</v>
      </c>
      <c r="R240" s="15">
        <v>1872.68</v>
      </c>
      <c r="S240" s="16">
        <v>-13.81</v>
      </c>
      <c r="T240" s="15">
        <v>159454011</v>
      </c>
      <c r="U240" s="17">
        <v>45278</v>
      </c>
      <c r="V240" s="15" t="str">
        <f t="shared" si="9"/>
        <v>Complete</v>
      </c>
    </row>
    <row r="241" spans="1:22" ht="14.5" customHeight="1" x14ac:dyDescent="0.35">
      <c r="A241" s="18" t="s">
        <v>7019</v>
      </c>
      <c r="B241" s="18" t="s">
        <v>7020</v>
      </c>
      <c r="C241" s="18" t="s">
        <v>1683</v>
      </c>
      <c r="D241" s="18" t="s">
        <v>1684</v>
      </c>
      <c r="E241" s="18" t="s">
        <v>2</v>
      </c>
      <c r="F241" s="15" t="str">
        <f t="shared" si="10"/>
        <v>Female</v>
      </c>
      <c r="G241" s="18" t="s">
        <v>1685</v>
      </c>
      <c r="H241" s="18" t="s">
        <v>1686</v>
      </c>
      <c r="I241" s="18">
        <v>240</v>
      </c>
      <c r="J241" s="18">
        <v>240</v>
      </c>
      <c r="K241" s="18" t="s">
        <v>5</v>
      </c>
      <c r="L241" s="18" t="s">
        <v>1687</v>
      </c>
      <c r="M241" s="18" t="s">
        <v>1688</v>
      </c>
      <c r="N241" s="18" t="s">
        <v>66</v>
      </c>
      <c r="O241" s="18" t="s">
        <v>293</v>
      </c>
      <c r="P241" s="18" t="s">
        <v>1689</v>
      </c>
      <c r="Q241" s="22">
        <f t="shared" si="11"/>
        <v>1410000000</v>
      </c>
      <c r="R241" s="18">
        <v>1790.46</v>
      </c>
      <c r="S241" s="19">
        <v>-6.82</v>
      </c>
      <c r="T241" s="18">
        <v>148541591</v>
      </c>
      <c r="U241" s="20">
        <v>45199</v>
      </c>
      <c r="V241" s="18" t="str">
        <f t="shared" si="9"/>
        <v>Complete</v>
      </c>
    </row>
    <row r="242" spans="1:22" ht="14.5" customHeight="1" x14ac:dyDescent="0.35">
      <c r="A242" s="15" t="s">
        <v>7021</v>
      </c>
      <c r="B242" s="15" t="s">
        <v>7022</v>
      </c>
      <c r="C242" s="15" t="s">
        <v>1405</v>
      </c>
      <c r="D242" s="15" t="s">
        <v>1690</v>
      </c>
      <c r="E242" s="15" t="s">
        <v>13</v>
      </c>
      <c r="F242" s="15" t="str">
        <f t="shared" si="10"/>
        <v>Male</v>
      </c>
      <c r="G242" s="15" t="s">
        <v>1691</v>
      </c>
      <c r="H242" s="15" t="s">
        <v>1692</v>
      </c>
      <c r="I242" s="15">
        <v>241</v>
      </c>
      <c r="J242" s="15">
        <v>241</v>
      </c>
      <c r="K242" s="15" t="s">
        <v>5</v>
      </c>
      <c r="L242" s="15" t="s">
        <v>1693</v>
      </c>
      <c r="M242" s="15" t="s">
        <v>1694</v>
      </c>
      <c r="N242" s="15" t="s">
        <v>8</v>
      </c>
      <c r="O242" s="15" t="s">
        <v>9</v>
      </c>
      <c r="P242" s="15" t="s">
        <v>1695</v>
      </c>
      <c r="Q242" s="22">
        <f t="shared" si="11"/>
        <v>127380000</v>
      </c>
      <c r="R242" s="15">
        <v>817.08</v>
      </c>
      <c r="S242" s="16">
        <v>-11.46</v>
      </c>
      <c r="T242" s="15">
        <v>161408576</v>
      </c>
      <c r="U242" s="17">
        <v>46374</v>
      </c>
      <c r="V242" s="15" t="str">
        <f t="shared" si="9"/>
        <v>Complete</v>
      </c>
    </row>
    <row r="243" spans="1:22" ht="14.5" customHeight="1" x14ac:dyDescent="0.35">
      <c r="A243" s="18" t="s">
        <v>7023</v>
      </c>
      <c r="B243" s="18" t="s">
        <v>6902</v>
      </c>
      <c r="C243" s="18" t="s">
        <v>1696</v>
      </c>
      <c r="D243" s="18" t="s">
        <v>1697</v>
      </c>
      <c r="E243" s="18" t="s">
        <v>2</v>
      </c>
      <c r="F243" s="15" t="str">
        <f t="shared" si="10"/>
        <v>Female</v>
      </c>
      <c r="G243" s="18" t="s">
        <v>1698</v>
      </c>
      <c r="H243" s="18" t="s">
        <v>1699</v>
      </c>
      <c r="I243" s="18">
        <v>242</v>
      </c>
      <c r="J243" s="18">
        <v>242</v>
      </c>
      <c r="K243" s="18" t="s">
        <v>5</v>
      </c>
      <c r="L243" s="18" t="s">
        <v>1700</v>
      </c>
      <c r="M243" s="18" t="s">
        <v>1701</v>
      </c>
      <c r="N243" s="18" t="s">
        <v>99</v>
      </c>
      <c r="O243" s="18" t="s">
        <v>1702</v>
      </c>
      <c r="P243" s="18" t="s">
        <v>1703</v>
      </c>
      <c r="Q243" s="22">
        <f t="shared" si="11"/>
        <v>16579999999.999998</v>
      </c>
      <c r="R243" s="18">
        <v>1991.59</v>
      </c>
      <c r="S243" s="19">
        <v>19.239999999999998</v>
      </c>
      <c r="T243" s="18">
        <v>85510570</v>
      </c>
      <c r="U243" s="20">
        <v>45236</v>
      </c>
      <c r="V243" s="18" t="str">
        <f t="shared" si="9"/>
        <v>Complete</v>
      </c>
    </row>
    <row r="244" spans="1:22" ht="14.5" customHeight="1" x14ac:dyDescent="0.35">
      <c r="A244" s="15" t="s">
        <v>7024</v>
      </c>
      <c r="B244" s="15" t="s">
        <v>7025</v>
      </c>
      <c r="C244" s="15" t="s">
        <v>1190</v>
      </c>
      <c r="D244" s="15" t="s">
        <v>1704</v>
      </c>
      <c r="E244" s="15" t="s">
        <v>13</v>
      </c>
      <c r="F244" s="15" t="str">
        <f t="shared" si="10"/>
        <v>Male</v>
      </c>
      <c r="G244" s="15" t="s">
        <v>1705</v>
      </c>
      <c r="H244" s="15" t="s">
        <v>1706</v>
      </c>
      <c r="I244" s="15">
        <v>243</v>
      </c>
      <c r="J244" s="15">
        <v>243</v>
      </c>
      <c r="K244" s="15" t="s">
        <v>5</v>
      </c>
      <c r="L244" s="15" t="s">
        <v>1707</v>
      </c>
      <c r="M244" s="15" t="s">
        <v>1708</v>
      </c>
      <c r="N244" s="15" t="s">
        <v>66</v>
      </c>
      <c r="O244" s="15" t="s">
        <v>181</v>
      </c>
      <c r="P244" s="15" t="s">
        <v>316</v>
      </c>
      <c r="Q244" s="22">
        <f t="shared" si="11"/>
        <v>1070000000.0000001</v>
      </c>
      <c r="R244" s="15">
        <v>46.44</v>
      </c>
      <c r="S244" s="16">
        <v>-2.74</v>
      </c>
      <c r="T244" s="15">
        <v>174637528</v>
      </c>
      <c r="U244" s="17">
        <v>45216</v>
      </c>
      <c r="V244" s="15" t="str">
        <f t="shared" si="9"/>
        <v>Complete</v>
      </c>
    </row>
    <row r="245" spans="1:22" ht="14.5" customHeight="1" x14ac:dyDescent="0.35">
      <c r="A245" s="18" t="s">
        <v>7026</v>
      </c>
      <c r="B245" s="18" t="s">
        <v>7027</v>
      </c>
      <c r="C245" s="18" t="s">
        <v>1709</v>
      </c>
      <c r="D245" s="18" t="s">
        <v>1710</v>
      </c>
      <c r="E245" s="18" t="s">
        <v>2</v>
      </c>
      <c r="F245" s="15" t="str">
        <f t="shared" si="10"/>
        <v>Female</v>
      </c>
      <c r="G245" s="18" t="s">
        <v>1711</v>
      </c>
      <c r="H245" s="18" t="s">
        <v>1712</v>
      </c>
      <c r="I245" s="18">
        <v>244</v>
      </c>
      <c r="J245" s="18">
        <v>244</v>
      </c>
      <c r="K245" s="18" t="s">
        <v>5</v>
      </c>
      <c r="L245" s="18" t="s">
        <v>1713</v>
      </c>
      <c r="M245" s="18" t="s">
        <v>1714</v>
      </c>
      <c r="N245" s="18" t="s">
        <v>48</v>
      </c>
      <c r="O245" s="18" t="s">
        <v>57</v>
      </c>
      <c r="P245" s="18" t="s">
        <v>1715</v>
      </c>
      <c r="Q245" s="22">
        <f t="shared" si="11"/>
        <v>1700000000</v>
      </c>
      <c r="R245" s="18">
        <v>582.65</v>
      </c>
      <c r="S245" s="19">
        <v>4.54</v>
      </c>
      <c r="T245" s="18">
        <v>120542934</v>
      </c>
      <c r="U245" s="20">
        <v>46186</v>
      </c>
      <c r="V245" s="18" t="str">
        <f t="shared" si="9"/>
        <v>Complete</v>
      </c>
    </row>
    <row r="246" spans="1:22" ht="14.5" customHeight="1" x14ac:dyDescent="0.35">
      <c r="A246" s="15" t="s">
        <v>7028</v>
      </c>
      <c r="B246" s="15" t="s">
        <v>7029</v>
      </c>
      <c r="C246" s="15" t="s">
        <v>1716</v>
      </c>
      <c r="D246" s="15" t="s">
        <v>1717</v>
      </c>
      <c r="E246" s="15" t="s">
        <v>2</v>
      </c>
      <c r="F246" s="15" t="str">
        <f t="shared" si="10"/>
        <v>Female</v>
      </c>
      <c r="G246" s="15" t="s">
        <v>1718</v>
      </c>
      <c r="H246" s="15" t="s">
        <v>1719</v>
      </c>
      <c r="I246" s="15">
        <v>245</v>
      </c>
      <c r="J246" s="15">
        <v>245</v>
      </c>
      <c r="K246" s="15" t="s">
        <v>5</v>
      </c>
      <c r="L246" s="15" t="s">
        <v>1720</v>
      </c>
      <c r="M246" s="15" t="s">
        <v>1721</v>
      </c>
      <c r="N246" s="15" t="s">
        <v>134</v>
      </c>
      <c r="O246" s="15" t="s">
        <v>135</v>
      </c>
      <c r="P246" s="15" t="s">
        <v>1722</v>
      </c>
      <c r="Q246" s="22">
        <f t="shared" si="11"/>
        <v>5790000</v>
      </c>
      <c r="R246" s="15">
        <v>1485.9</v>
      </c>
      <c r="S246" s="16">
        <v>15.63</v>
      </c>
      <c r="T246" s="15">
        <v>38195132</v>
      </c>
      <c r="U246" s="17">
        <v>43854</v>
      </c>
      <c r="V246" s="15" t="str">
        <f t="shared" si="9"/>
        <v>Complete</v>
      </c>
    </row>
    <row r="247" spans="1:22" ht="14.5" customHeight="1" x14ac:dyDescent="0.35">
      <c r="A247" s="18" t="s">
        <v>7030</v>
      </c>
      <c r="B247" s="18" t="s">
        <v>6982</v>
      </c>
      <c r="C247" s="18" t="s">
        <v>1723</v>
      </c>
      <c r="D247" s="18" t="s">
        <v>1724</v>
      </c>
      <c r="E247" s="18" t="s">
        <v>2</v>
      </c>
      <c r="F247" s="15" t="str">
        <f t="shared" si="10"/>
        <v>Female</v>
      </c>
      <c r="G247" s="18" t="s">
        <v>1725</v>
      </c>
      <c r="H247" s="18" t="s">
        <v>1726</v>
      </c>
      <c r="I247" s="18">
        <v>246</v>
      </c>
      <c r="J247" s="18">
        <v>246</v>
      </c>
      <c r="K247" s="18" t="s">
        <v>5</v>
      </c>
      <c r="L247" s="18" t="s">
        <v>1727</v>
      </c>
      <c r="M247" s="18" t="s">
        <v>1728</v>
      </c>
      <c r="N247" s="18" t="s">
        <v>189</v>
      </c>
      <c r="O247" s="18" t="s">
        <v>190</v>
      </c>
      <c r="P247" s="18" t="s">
        <v>1729</v>
      </c>
      <c r="Q247" s="22">
        <f t="shared" si="11"/>
        <v>26920000</v>
      </c>
      <c r="R247" s="18">
        <v>218.89</v>
      </c>
      <c r="S247" s="19">
        <v>-9.69</v>
      </c>
      <c r="T247" s="18">
        <v>146861788</v>
      </c>
      <c r="U247" s="20">
        <v>44823</v>
      </c>
      <c r="V247" s="18" t="str">
        <f t="shared" si="9"/>
        <v>Complete</v>
      </c>
    </row>
    <row r="248" spans="1:22" ht="14.5" customHeight="1" x14ac:dyDescent="0.35">
      <c r="A248" s="15" t="s">
        <v>7031</v>
      </c>
      <c r="B248" s="15" t="s">
        <v>7032</v>
      </c>
      <c r="C248" s="15" t="s">
        <v>1730</v>
      </c>
      <c r="D248" s="15" t="s">
        <v>1731</v>
      </c>
      <c r="E248" s="15" t="s">
        <v>2</v>
      </c>
      <c r="F248" s="15" t="str">
        <f t="shared" si="10"/>
        <v>Female</v>
      </c>
      <c r="G248" s="15" t="s">
        <v>1732</v>
      </c>
      <c r="H248" s="15" t="s">
        <v>1733</v>
      </c>
      <c r="I248" s="15">
        <v>247</v>
      </c>
      <c r="J248" s="15">
        <v>247</v>
      </c>
      <c r="K248" s="15" t="s">
        <v>5</v>
      </c>
      <c r="L248" s="15" t="s">
        <v>1734</v>
      </c>
      <c r="M248" s="15" t="s">
        <v>1735</v>
      </c>
      <c r="N248" s="15" t="s">
        <v>323</v>
      </c>
      <c r="O248" s="15" t="s">
        <v>1736</v>
      </c>
      <c r="P248" s="15" t="s">
        <v>1737</v>
      </c>
      <c r="Q248" s="22">
        <f t="shared" si="11"/>
        <v>42150000</v>
      </c>
      <c r="R248" s="15">
        <v>1019.85</v>
      </c>
      <c r="S248" s="16">
        <v>-15.03</v>
      </c>
      <c r="T248" s="15">
        <v>174041138</v>
      </c>
      <c r="U248" s="17">
        <v>45672</v>
      </c>
      <c r="V248" s="15" t="str">
        <f t="shared" si="9"/>
        <v>Complete</v>
      </c>
    </row>
    <row r="249" spans="1:22" ht="14.5" customHeight="1" x14ac:dyDescent="0.35">
      <c r="A249" s="18" t="s">
        <v>7033</v>
      </c>
      <c r="B249" s="18" t="s">
        <v>7034</v>
      </c>
      <c r="C249" s="18" t="s">
        <v>1738</v>
      </c>
      <c r="D249" s="18" t="s">
        <v>1739</v>
      </c>
      <c r="E249" s="18" t="s">
        <v>13</v>
      </c>
      <c r="F249" s="15" t="str">
        <f t="shared" si="10"/>
        <v>Male</v>
      </c>
      <c r="G249" s="18" t="s">
        <v>1740</v>
      </c>
      <c r="H249" s="18" t="s">
        <v>1741</v>
      </c>
      <c r="I249" s="18">
        <v>248</v>
      </c>
      <c r="J249" s="18">
        <v>248</v>
      </c>
      <c r="K249" s="18" t="s">
        <v>32</v>
      </c>
      <c r="L249" s="18" t="s">
        <v>1742</v>
      </c>
      <c r="M249" s="18" t="s">
        <v>1743</v>
      </c>
      <c r="N249" s="18" t="s">
        <v>8</v>
      </c>
      <c r="O249" s="18" t="s">
        <v>600</v>
      </c>
      <c r="P249" s="18" t="s">
        <v>1744</v>
      </c>
      <c r="Q249" s="22">
        <f t="shared" si="11"/>
        <v>13930000000</v>
      </c>
      <c r="R249" s="18">
        <v>837.72</v>
      </c>
      <c r="S249" s="19">
        <v>-8.6</v>
      </c>
      <c r="T249" s="18">
        <v>104148590</v>
      </c>
      <c r="U249" s="20">
        <v>44009</v>
      </c>
      <c r="V249" s="18" t="str">
        <f t="shared" si="9"/>
        <v>Complete</v>
      </c>
    </row>
    <row r="250" spans="1:22" ht="14.5" customHeight="1" x14ac:dyDescent="0.35">
      <c r="A250" s="15" t="s">
        <v>7035</v>
      </c>
      <c r="B250" s="15" t="s">
        <v>7036</v>
      </c>
      <c r="C250" s="15" t="s">
        <v>842</v>
      </c>
      <c r="D250" s="15" t="s">
        <v>1745</v>
      </c>
      <c r="E250" s="15" t="s">
        <v>13</v>
      </c>
      <c r="F250" s="15" t="str">
        <f t="shared" si="10"/>
        <v>Male</v>
      </c>
      <c r="G250" s="15" t="s">
        <v>1746</v>
      </c>
      <c r="H250" s="15" t="s">
        <v>1747</v>
      </c>
      <c r="I250" s="15">
        <v>249</v>
      </c>
      <c r="J250" s="15">
        <v>249</v>
      </c>
      <c r="K250" s="15" t="s">
        <v>32</v>
      </c>
      <c r="L250" s="15" t="s">
        <v>1748</v>
      </c>
      <c r="M250" s="15" t="s">
        <v>1749</v>
      </c>
      <c r="N250" s="15" t="s">
        <v>142</v>
      </c>
      <c r="O250" s="15" t="s">
        <v>143</v>
      </c>
      <c r="P250" s="15" t="s">
        <v>1750</v>
      </c>
      <c r="Q250" s="22">
        <f t="shared" si="11"/>
        <v>93340000</v>
      </c>
      <c r="R250" s="15">
        <v>912.7</v>
      </c>
      <c r="S250" s="16">
        <v>-17.18</v>
      </c>
      <c r="T250" s="15">
        <v>182719655</v>
      </c>
      <c r="U250" s="17">
        <v>46064</v>
      </c>
      <c r="V250" s="15" t="str">
        <f t="shared" si="9"/>
        <v>Complete</v>
      </c>
    </row>
    <row r="251" spans="1:22" ht="14.5" customHeight="1" x14ac:dyDescent="0.35">
      <c r="A251" s="18" t="s">
        <v>7037</v>
      </c>
      <c r="B251" s="18" t="s">
        <v>7038</v>
      </c>
      <c r="C251" s="18" t="s">
        <v>1751</v>
      </c>
      <c r="D251" s="18" t="s">
        <v>1752</v>
      </c>
      <c r="E251" s="18" t="s">
        <v>2</v>
      </c>
      <c r="F251" s="15" t="str">
        <f t="shared" si="10"/>
        <v>Female</v>
      </c>
      <c r="G251" s="18" t="s">
        <v>1753</v>
      </c>
      <c r="H251" s="18" t="s">
        <v>1754</v>
      </c>
      <c r="I251" s="18">
        <v>250</v>
      </c>
      <c r="J251" s="18">
        <v>250</v>
      </c>
      <c r="K251" s="18" t="s">
        <v>32</v>
      </c>
      <c r="L251" s="18" t="s">
        <v>1755</v>
      </c>
      <c r="M251" s="18" t="s">
        <v>1756</v>
      </c>
      <c r="N251" s="18" t="s">
        <v>189</v>
      </c>
      <c r="O251" s="18" t="s">
        <v>1757</v>
      </c>
      <c r="P251" s="18" t="s">
        <v>1758</v>
      </c>
      <c r="Q251" s="22">
        <f t="shared" si="11"/>
        <v>413360000</v>
      </c>
      <c r="R251" s="18">
        <v>536.12</v>
      </c>
      <c r="S251" s="19">
        <v>-16.02</v>
      </c>
      <c r="T251" s="18">
        <v>92757153</v>
      </c>
      <c r="U251" s="20">
        <v>45529</v>
      </c>
      <c r="V251" s="18" t="str">
        <f t="shared" si="9"/>
        <v>Complete</v>
      </c>
    </row>
    <row r="252" spans="1:22" ht="14.5" customHeight="1" x14ac:dyDescent="0.35">
      <c r="A252" s="15" t="s">
        <v>7039</v>
      </c>
      <c r="B252" s="15" t="s">
        <v>7040</v>
      </c>
      <c r="C252" s="15" t="s">
        <v>1759</v>
      </c>
      <c r="D252" s="15" t="s">
        <v>1760</v>
      </c>
      <c r="E252" s="15" t="s">
        <v>2</v>
      </c>
      <c r="F252" s="15" t="str">
        <f t="shared" si="10"/>
        <v>Female</v>
      </c>
      <c r="G252" s="15" t="s">
        <v>1761</v>
      </c>
      <c r="H252" s="15" t="s">
        <v>1762</v>
      </c>
      <c r="I252" s="15">
        <v>251</v>
      </c>
      <c r="J252" s="15">
        <v>251</v>
      </c>
      <c r="K252" s="15" t="s">
        <v>32</v>
      </c>
      <c r="L252" s="15" t="s">
        <v>1763</v>
      </c>
      <c r="M252" s="15" t="s">
        <v>1764</v>
      </c>
      <c r="N252" s="15" t="s">
        <v>99</v>
      </c>
      <c r="O252" s="15" t="s">
        <v>100</v>
      </c>
      <c r="P252" s="15" t="s">
        <v>1765</v>
      </c>
      <c r="Q252" s="22">
        <f t="shared" si="11"/>
        <v>2320000000</v>
      </c>
      <c r="R252" s="15">
        <v>262.27999999999997</v>
      </c>
      <c r="S252" s="16">
        <v>-1.78</v>
      </c>
      <c r="T252" s="15">
        <v>45452202</v>
      </c>
      <c r="U252" s="17">
        <v>44400</v>
      </c>
      <c r="V252" s="15" t="str">
        <f t="shared" si="9"/>
        <v>Complete</v>
      </c>
    </row>
    <row r="253" spans="1:22" ht="14.5" customHeight="1" x14ac:dyDescent="0.35">
      <c r="A253" s="18" t="s">
        <v>7041</v>
      </c>
      <c r="B253" s="18" t="s">
        <v>7042</v>
      </c>
      <c r="C253" s="18" t="s">
        <v>1766</v>
      </c>
      <c r="D253" s="18" t="s">
        <v>1767</v>
      </c>
      <c r="E253" s="18" t="s">
        <v>13</v>
      </c>
      <c r="F253" s="15" t="str">
        <f t="shared" si="10"/>
        <v>Male</v>
      </c>
      <c r="G253" s="18" t="s">
        <v>1768</v>
      </c>
      <c r="H253" s="18" t="s">
        <v>1769</v>
      </c>
      <c r="I253" s="18">
        <v>252</v>
      </c>
      <c r="J253" s="18">
        <v>252</v>
      </c>
      <c r="K253" s="18" t="s">
        <v>5</v>
      </c>
      <c r="L253" s="18" t="s">
        <v>1770</v>
      </c>
      <c r="M253" s="18" t="s">
        <v>1771</v>
      </c>
      <c r="N253" s="18" t="s">
        <v>8033</v>
      </c>
      <c r="O253" s="18" t="s">
        <v>8033</v>
      </c>
      <c r="P253" s="18" t="s">
        <v>1772</v>
      </c>
      <c r="Q253" s="22">
        <f t="shared" si="11"/>
        <v>2460000000</v>
      </c>
      <c r="R253" s="18">
        <v>1518.74</v>
      </c>
      <c r="S253" s="19">
        <v>17.32</v>
      </c>
      <c r="T253" s="18">
        <v>98631988</v>
      </c>
      <c r="U253" s="20">
        <v>44889</v>
      </c>
      <c r="V253" s="18" t="str">
        <f t="shared" si="9"/>
        <v>Missing</v>
      </c>
    </row>
    <row r="254" spans="1:22" ht="14.5" customHeight="1" x14ac:dyDescent="0.35">
      <c r="A254" s="15" t="s">
        <v>7043</v>
      </c>
      <c r="B254" s="15" t="s">
        <v>7044</v>
      </c>
      <c r="C254" s="15" t="s">
        <v>1773</v>
      </c>
      <c r="D254" s="15" t="s">
        <v>1774</v>
      </c>
      <c r="E254" s="15" t="s">
        <v>2</v>
      </c>
      <c r="F254" s="15" t="str">
        <f t="shared" si="10"/>
        <v>Female</v>
      </c>
      <c r="G254" s="15" t="s">
        <v>1775</v>
      </c>
      <c r="H254" s="15" t="s">
        <v>1776</v>
      </c>
      <c r="I254" s="15">
        <v>253</v>
      </c>
      <c r="J254" s="15">
        <v>253</v>
      </c>
      <c r="K254" s="15" t="s">
        <v>5</v>
      </c>
      <c r="L254" s="15" t="s">
        <v>1777</v>
      </c>
      <c r="M254" s="15" t="s">
        <v>1778</v>
      </c>
      <c r="N254" s="15" t="s">
        <v>8</v>
      </c>
      <c r="O254" s="15" t="s">
        <v>9</v>
      </c>
      <c r="P254" s="15" t="s">
        <v>1779</v>
      </c>
      <c r="Q254" s="22">
        <f t="shared" si="11"/>
        <v>47480000</v>
      </c>
      <c r="R254" s="15">
        <v>1553.75</v>
      </c>
      <c r="S254" s="16">
        <v>-4.25</v>
      </c>
      <c r="T254" s="15">
        <v>184307504</v>
      </c>
      <c r="U254" s="17">
        <v>45019</v>
      </c>
      <c r="V254" s="15" t="str">
        <f t="shared" si="9"/>
        <v>Complete</v>
      </c>
    </row>
    <row r="255" spans="1:22" ht="14.5" customHeight="1" x14ac:dyDescent="0.35">
      <c r="A255" s="18" t="s">
        <v>7045</v>
      </c>
      <c r="B255" s="18" t="s">
        <v>7046</v>
      </c>
      <c r="C255" s="18" t="s">
        <v>1780</v>
      </c>
      <c r="D255" s="18" t="s">
        <v>1781</v>
      </c>
      <c r="E255" s="18" t="s">
        <v>61</v>
      </c>
      <c r="F255" s="15" t="str">
        <f t="shared" si="10"/>
        <v>Other</v>
      </c>
      <c r="G255" s="18" t="s">
        <v>1782</v>
      </c>
      <c r="H255" s="18" t="s">
        <v>1783</v>
      </c>
      <c r="I255" s="18">
        <v>254</v>
      </c>
      <c r="J255" s="18">
        <v>254</v>
      </c>
      <c r="K255" s="18" t="s">
        <v>32</v>
      </c>
      <c r="L255" s="18" t="s">
        <v>1784</v>
      </c>
      <c r="M255" s="18" t="s">
        <v>1785</v>
      </c>
      <c r="N255" s="18" t="s">
        <v>8033</v>
      </c>
      <c r="O255" s="18" t="s">
        <v>8033</v>
      </c>
      <c r="P255" s="18" t="s">
        <v>1786</v>
      </c>
      <c r="Q255" s="22">
        <f t="shared" si="11"/>
        <v>520169999.99999994</v>
      </c>
      <c r="R255" s="18">
        <v>1823.97</v>
      </c>
      <c r="S255" s="19">
        <v>-3.02</v>
      </c>
      <c r="T255" s="18">
        <v>55587553</v>
      </c>
      <c r="U255" s="20">
        <v>45859</v>
      </c>
      <c r="V255" s="18" t="str">
        <f t="shared" si="9"/>
        <v>Missing</v>
      </c>
    </row>
    <row r="256" spans="1:22" ht="14.5" customHeight="1" x14ac:dyDescent="0.35">
      <c r="A256" s="15" t="s">
        <v>7047</v>
      </c>
      <c r="B256" s="15" t="s">
        <v>7048</v>
      </c>
      <c r="C256" s="15" t="s">
        <v>1787</v>
      </c>
      <c r="D256" s="15" t="s">
        <v>1788</v>
      </c>
      <c r="E256" s="15" t="s">
        <v>2</v>
      </c>
      <c r="F256" s="15" t="str">
        <f t="shared" si="10"/>
        <v>Female</v>
      </c>
      <c r="G256" s="15" t="s">
        <v>1789</v>
      </c>
      <c r="H256" s="15" t="s">
        <v>1790</v>
      </c>
      <c r="I256" s="15">
        <v>255</v>
      </c>
      <c r="J256" s="15">
        <v>255</v>
      </c>
      <c r="K256" s="15" t="s">
        <v>32</v>
      </c>
      <c r="L256" s="15" t="s">
        <v>1791</v>
      </c>
      <c r="M256" s="15" t="s">
        <v>1792</v>
      </c>
      <c r="N256" s="15" t="s">
        <v>8</v>
      </c>
      <c r="O256" s="15" t="s">
        <v>18</v>
      </c>
      <c r="P256" s="15" t="s">
        <v>1793</v>
      </c>
      <c r="Q256" s="22">
        <f t="shared" si="11"/>
        <v>615320000</v>
      </c>
      <c r="R256" s="15">
        <v>1343.1</v>
      </c>
      <c r="S256" s="16">
        <v>-17.8</v>
      </c>
      <c r="T256" s="15">
        <v>6639748</v>
      </c>
      <c r="U256" s="17">
        <v>45686</v>
      </c>
      <c r="V256" s="15" t="str">
        <f t="shared" si="9"/>
        <v>Complete</v>
      </c>
    </row>
    <row r="257" spans="1:22" ht="14.5" customHeight="1" x14ac:dyDescent="0.35">
      <c r="A257" s="18" t="s">
        <v>7049</v>
      </c>
      <c r="B257" s="18" t="s">
        <v>7050</v>
      </c>
      <c r="C257" s="18" t="s">
        <v>1794</v>
      </c>
      <c r="D257" s="18" t="s">
        <v>1795</v>
      </c>
      <c r="E257" s="18" t="s">
        <v>2</v>
      </c>
      <c r="F257" s="15" t="str">
        <f t="shared" si="10"/>
        <v>Female</v>
      </c>
      <c r="G257" s="18" t="s">
        <v>1796</v>
      </c>
      <c r="H257" s="18" t="s">
        <v>1797</v>
      </c>
      <c r="I257" s="18">
        <v>256</v>
      </c>
      <c r="J257" s="18">
        <v>256</v>
      </c>
      <c r="K257" s="18" t="s">
        <v>5</v>
      </c>
      <c r="L257" s="18" t="s">
        <v>1798</v>
      </c>
      <c r="M257" s="18" t="s">
        <v>1799</v>
      </c>
      <c r="N257" s="18" t="s">
        <v>8033</v>
      </c>
      <c r="O257" s="18" t="s">
        <v>8033</v>
      </c>
      <c r="P257" s="18" t="s">
        <v>1800</v>
      </c>
      <c r="Q257" s="22">
        <f t="shared" si="11"/>
        <v>4360000</v>
      </c>
      <c r="R257" s="18">
        <v>1263.3599999999999</v>
      </c>
      <c r="S257" s="19">
        <v>9.81</v>
      </c>
      <c r="T257" s="18">
        <v>108076447</v>
      </c>
      <c r="U257" s="20">
        <v>45228</v>
      </c>
      <c r="V257" s="18" t="str">
        <f t="shared" si="9"/>
        <v>Missing</v>
      </c>
    </row>
    <row r="258" spans="1:22" ht="14.5" customHeight="1" x14ac:dyDescent="0.35">
      <c r="A258" s="15" t="s">
        <v>7051</v>
      </c>
      <c r="B258" s="15" t="s">
        <v>7052</v>
      </c>
      <c r="C258" s="15" t="s">
        <v>1801</v>
      </c>
      <c r="D258" s="15" t="s">
        <v>1802</v>
      </c>
      <c r="E258" s="15" t="s">
        <v>13</v>
      </c>
      <c r="F258" s="15" t="str">
        <f t="shared" si="10"/>
        <v>Male</v>
      </c>
      <c r="G258" s="15" t="s">
        <v>1803</v>
      </c>
      <c r="H258" s="15" t="s">
        <v>1804</v>
      </c>
      <c r="I258" s="15">
        <v>257</v>
      </c>
      <c r="J258" s="15">
        <v>257</v>
      </c>
      <c r="K258" s="15" t="s">
        <v>5</v>
      </c>
      <c r="L258" s="15" t="s">
        <v>1805</v>
      </c>
      <c r="M258" s="15" t="s">
        <v>1806</v>
      </c>
      <c r="N258" s="15" t="s">
        <v>48</v>
      </c>
      <c r="O258" s="15" t="s">
        <v>57</v>
      </c>
      <c r="P258" s="15" t="s">
        <v>1807</v>
      </c>
      <c r="Q258" s="22">
        <f t="shared" si="11"/>
        <v>4190000000.0000005</v>
      </c>
      <c r="R258" s="15">
        <v>203.6</v>
      </c>
      <c r="S258" s="16">
        <v>12.88</v>
      </c>
      <c r="T258" s="15">
        <v>82434591</v>
      </c>
      <c r="U258" s="17">
        <v>44064</v>
      </c>
      <c r="V258" s="15" t="str">
        <f t="shared" ref="V258:V321" si="12">IF(OR(N:N="n/a", O:O="n/a", P:P="n/a"), "Missing", "Complete")</f>
        <v>Complete</v>
      </c>
    </row>
    <row r="259" spans="1:22" ht="14.5" customHeight="1" x14ac:dyDescent="0.35">
      <c r="A259" s="18" t="s">
        <v>7053</v>
      </c>
      <c r="B259" s="18" t="s">
        <v>6894</v>
      </c>
      <c r="C259" s="18" t="s">
        <v>1808</v>
      </c>
      <c r="D259" s="18" t="s">
        <v>1809</v>
      </c>
      <c r="E259" s="18" t="s">
        <v>13</v>
      </c>
      <c r="F259" s="15" t="str">
        <f t="shared" ref="F259:F322" si="13">IF(OR(E259="female", E259="male"), PROPER(E259), "Other")</f>
        <v>Male</v>
      </c>
      <c r="G259" s="18" t="s">
        <v>1810</v>
      </c>
      <c r="H259" s="18" t="s">
        <v>1811</v>
      </c>
      <c r="I259" s="18">
        <v>258</v>
      </c>
      <c r="J259" s="18">
        <v>258</v>
      </c>
      <c r="K259" s="18" t="s">
        <v>5</v>
      </c>
      <c r="L259" s="18" t="s">
        <v>1812</v>
      </c>
      <c r="M259" s="18" t="s">
        <v>1813</v>
      </c>
      <c r="N259" s="18" t="s">
        <v>8033</v>
      </c>
      <c r="O259" s="18" t="s">
        <v>8033</v>
      </c>
      <c r="P259" s="18" t="s">
        <v>1661</v>
      </c>
      <c r="Q259" s="22">
        <f t="shared" ref="Q259:Q322" si="14">IF(P259="n/a", 0, IF(RIGHT(P259, 1)="B", VALUE(MID(P259, 2, LEN(P259)-2)*1000000000), VALUE(MID(P259, 2, LEN(P259)-2)*1000000)))</f>
        <v>2900000000</v>
      </c>
      <c r="R259" s="18">
        <v>144.69</v>
      </c>
      <c r="S259" s="19">
        <v>-18.739999999999998</v>
      </c>
      <c r="T259" s="18">
        <v>100626837</v>
      </c>
      <c r="U259" s="20">
        <v>45276</v>
      </c>
      <c r="V259" s="18" t="str">
        <f t="shared" si="12"/>
        <v>Missing</v>
      </c>
    </row>
    <row r="260" spans="1:22" ht="14.5" customHeight="1" x14ac:dyDescent="0.35">
      <c r="A260" s="15" t="s">
        <v>7054</v>
      </c>
      <c r="B260" s="15" t="s">
        <v>6797</v>
      </c>
      <c r="C260" s="15" t="s">
        <v>128</v>
      </c>
      <c r="D260" s="15" t="s">
        <v>1814</v>
      </c>
      <c r="E260" s="15" t="s">
        <v>13</v>
      </c>
      <c r="F260" s="15" t="str">
        <f t="shared" si="13"/>
        <v>Male</v>
      </c>
      <c r="G260" s="15" t="s">
        <v>1815</v>
      </c>
      <c r="H260" s="15" t="s">
        <v>1816</v>
      </c>
      <c r="I260" s="15">
        <v>259</v>
      </c>
      <c r="J260" s="15">
        <v>259</v>
      </c>
      <c r="K260" s="15" t="s">
        <v>32</v>
      </c>
      <c r="L260" s="15" t="s">
        <v>1817</v>
      </c>
      <c r="M260" s="15" t="s">
        <v>1818</v>
      </c>
      <c r="N260" s="15" t="s">
        <v>8033</v>
      </c>
      <c r="O260" s="15" t="s">
        <v>8033</v>
      </c>
      <c r="P260" s="15" t="s">
        <v>8033</v>
      </c>
      <c r="Q260" s="22">
        <f t="shared" si="14"/>
        <v>0</v>
      </c>
      <c r="R260" s="15">
        <v>991.75</v>
      </c>
      <c r="S260" s="16">
        <v>3.38</v>
      </c>
      <c r="T260" s="15">
        <v>171282765</v>
      </c>
      <c r="U260" s="17">
        <v>44164</v>
      </c>
      <c r="V260" s="15" t="str">
        <f t="shared" si="12"/>
        <v>Missing</v>
      </c>
    </row>
    <row r="261" spans="1:22" ht="14.5" customHeight="1" x14ac:dyDescent="0.35">
      <c r="A261" s="18" t="s">
        <v>7055</v>
      </c>
      <c r="B261" s="18" t="s">
        <v>7056</v>
      </c>
      <c r="C261" s="18" t="s">
        <v>1819</v>
      </c>
      <c r="D261" s="18" t="s">
        <v>1820</v>
      </c>
      <c r="E261" s="18" t="s">
        <v>13</v>
      </c>
      <c r="F261" s="15" t="str">
        <f t="shared" si="13"/>
        <v>Male</v>
      </c>
      <c r="G261" s="18" t="s">
        <v>1821</v>
      </c>
      <c r="H261" s="18" t="s">
        <v>1822</v>
      </c>
      <c r="I261" s="18">
        <v>260</v>
      </c>
      <c r="J261" s="18">
        <v>260</v>
      </c>
      <c r="K261" s="18" t="s">
        <v>32</v>
      </c>
      <c r="L261" s="18" t="s">
        <v>1823</v>
      </c>
      <c r="M261" s="18" t="s">
        <v>1824</v>
      </c>
      <c r="N261" s="18" t="s">
        <v>189</v>
      </c>
      <c r="O261" s="18" t="s">
        <v>190</v>
      </c>
      <c r="P261" s="18" t="s">
        <v>1825</v>
      </c>
      <c r="Q261" s="22">
        <f t="shared" si="14"/>
        <v>2170000000</v>
      </c>
      <c r="R261" s="18">
        <v>1733.9</v>
      </c>
      <c r="S261" s="19">
        <v>-17.03</v>
      </c>
      <c r="T261" s="18">
        <v>156705733</v>
      </c>
      <c r="U261" s="20">
        <v>44299</v>
      </c>
      <c r="V261" s="18" t="str">
        <f t="shared" si="12"/>
        <v>Complete</v>
      </c>
    </row>
    <row r="262" spans="1:22" ht="14.5" customHeight="1" x14ac:dyDescent="0.35">
      <c r="A262" s="15" t="s">
        <v>7057</v>
      </c>
      <c r="B262" s="15" t="s">
        <v>7010</v>
      </c>
      <c r="C262" s="15" t="s">
        <v>1826</v>
      </c>
      <c r="D262" s="15" t="s">
        <v>1827</v>
      </c>
      <c r="E262" s="15" t="s">
        <v>13</v>
      </c>
      <c r="F262" s="15" t="str">
        <f t="shared" si="13"/>
        <v>Male</v>
      </c>
      <c r="G262" s="15" t="s">
        <v>1828</v>
      </c>
      <c r="H262" s="15" t="s">
        <v>1829</v>
      </c>
      <c r="I262" s="15">
        <v>261</v>
      </c>
      <c r="J262" s="15">
        <v>261</v>
      </c>
      <c r="K262" s="15" t="s">
        <v>5</v>
      </c>
      <c r="L262" s="15" t="s">
        <v>1830</v>
      </c>
      <c r="M262" s="15" t="s">
        <v>1831</v>
      </c>
      <c r="N262" s="15" t="s">
        <v>48</v>
      </c>
      <c r="O262" s="15" t="s">
        <v>57</v>
      </c>
      <c r="P262" s="15" t="s">
        <v>1832</v>
      </c>
      <c r="Q262" s="22">
        <f t="shared" si="14"/>
        <v>428180000</v>
      </c>
      <c r="R262" s="15">
        <v>447.38</v>
      </c>
      <c r="S262" s="16">
        <v>-5.56</v>
      </c>
      <c r="T262" s="15">
        <v>50746186</v>
      </c>
      <c r="U262" s="17">
        <v>44874</v>
      </c>
      <c r="V262" s="15" t="str">
        <f t="shared" si="12"/>
        <v>Complete</v>
      </c>
    </row>
    <row r="263" spans="1:22" ht="14.5" customHeight="1" x14ac:dyDescent="0.35">
      <c r="A263" s="18" t="s">
        <v>7058</v>
      </c>
      <c r="B263" s="18" t="s">
        <v>7059</v>
      </c>
      <c r="C263" s="18" t="s">
        <v>1833</v>
      </c>
      <c r="D263" s="18" t="s">
        <v>1834</v>
      </c>
      <c r="E263" s="18" t="s">
        <v>2</v>
      </c>
      <c r="F263" s="15" t="str">
        <f t="shared" si="13"/>
        <v>Female</v>
      </c>
      <c r="G263" s="18" t="s">
        <v>1835</v>
      </c>
      <c r="H263" s="18" t="s">
        <v>1836</v>
      </c>
      <c r="I263" s="18">
        <v>262</v>
      </c>
      <c r="J263" s="18">
        <v>262</v>
      </c>
      <c r="K263" s="18" t="s">
        <v>5</v>
      </c>
      <c r="L263" s="18" t="s">
        <v>1837</v>
      </c>
      <c r="M263" s="18" t="s">
        <v>1838</v>
      </c>
      <c r="N263" s="18" t="s">
        <v>48</v>
      </c>
      <c r="O263" s="18" t="s">
        <v>57</v>
      </c>
      <c r="P263" s="18" t="s">
        <v>1839</v>
      </c>
      <c r="Q263" s="22">
        <f t="shared" si="14"/>
        <v>748780000</v>
      </c>
      <c r="R263" s="18">
        <v>1042.3499999999999</v>
      </c>
      <c r="S263" s="19">
        <v>3.11</v>
      </c>
      <c r="T263" s="18">
        <v>116251693</v>
      </c>
      <c r="U263" s="20">
        <v>45771</v>
      </c>
      <c r="V263" s="18" t="str">
        <f t="shared" si="12"/>
        <v>Complete</v>
      </c>
    </row>
    <row r="264" spans="1:22" ht="14.5" customHeight="1" x14ac:dyDescent="0.35">
      <c r="A264" s="15" t="s">
        <v>7060</v>
      </c>
      <c r="B264" s="15" t="s">
        <v>6589</v>
      </c>
      <c r="C264" s="15" t="s">
        <v>1840</v>
      </c>
      <c r="D264" s="15" t="s">
        <v>1841</v>
      </c>
      <c r="E264" s="15" t="s">
        <v>13</v>
      </c>
      <c r="F264" s="15" t="str">
        <f t="shared" si="13"/>
        <v>Male</v>
      </c>
      <c r="G264" s="15" t="s">
        <v>1842</v>
      </c>
      <c r="H264" s="15" t="s">
        <v>1843</v>
      </c>
      <c r="I264" s="15">
        <v>263</v>
      </c>
      <c r="J264" s="15">
        <v>263</v>
      </c>
      <c r="K264" s="15" t="s">
        <v>32</v>
      </c>
      <c r="L264" s="15" t="s">
        <v>1844</v>
      </c>
      <c r="M264" s="15" t="s">
        <v>1845</v>
      </c>
      <c r="N264" s="15" t="s">
        <v>8033</v>
      </c>
      <c r="O264" s="15" t="s">
        <v>8033</v>
      </c>
      <c r="P264" s="15" t="s">
        <v>1689</v>
      </c>
      <c r="Q264" s="22">
        <f t="shared" si="14"/>
        <v>1410000000</v>
      </c>
      <c r="R264" s="15">
        <v>623.16</v>
      </c>
      <c r="S264" s="16">
        <v>-13.18</v>
      </c>
      <c r="T264" s="15">
        <v>112196206</v>
      </c>
      <c r="U264" s="17">
        <v>44527</v>
      </c>
      <c r="V264" s="15" t="str">
        <f t="shared" si="12"/>
        <v>Missing</v>
      </c>
    </row>
    <row r="265" spans="1:22" ht="14.5" customHeight="1" x14ac:dyDescent="0.35">
      <c r="A265" s="18" t="s">
        <v>7061</v>
      </c>
      <c r="B265" s="18" t="s">
        <v>7062</v>
      </c>
      <c r="C265" s="18" t="s">
        <v>1846</v>
      </c>
      <c r="D265" s="18" t="s">
        <v>1847</v>
      </c>
      <c r="E265" s="18" t="s">
        <v>13</v>
      </c>
      <c r="F265" s="15" t="str">
        <f t="shared" si="13"/>
        <v>Male</v>
      </c>
      <c r="G265" s="18" t="s">
        <v>1848</v>
      </c>
      <c r="H265" s="18" t="s">
        <v>1849</v>
      </c>
      <c r="I265" s="18">
        <v>264</v>
      </c>
      <c r="J265" s="18">
        <v>264</v>
      </c>
      <c r="K265" s="18" t="s">
        <v>5</v>
      </c>
      <c r="L265" s="18" t="s">
        <v>1850</v>
      </c>
      <c r="M265" s="18" t="s">
        <v>1851</v>
      </c>
      <c r="N265" s="18" t="s">
        <v>8033</v>
      </c>
      <c r="O265" s="18" t="s">
        <v>8033</v>
      </c>
      <c r="P265" s="18" t="s">
        <v>1852</v>
      </c>
      <c r="Q265" s="22">
        <f t="shared" si="14"/>
        <v>52660000</v>
      </c>
      <c r="R265" s="18">
        <v>197.47</v>
      </c>
      <c r="S265" s="19">
        <v>14.18</v>
      </c>
      <c r="T265" s="18">
        <v>5700009</v>
      </c>
      <c r="U265" s="20">
        <v>44946</v>
      </c>
      <c r="V265" s="18" t="str">
        <f t="shared" si="12"/>
        <v>Missing</v>
      </c>
    </row>
    <row r="266" spans="1:22" ht="14.5" customHeight="1" x14ac:dyDescent="0.35">
      <c r="A266" s="15" t="s">
        <v>7063</v>
      </c>
      <c r="B266" s="15" t="s">
        <v>6878</v>
      </c>
      <c r="C266" s="15" t="s">
        <v>1853</v>
      </c>
      <c r="D266" s="15" t="s">
        <v>1854</v>
      </c>
      <c r="E266" s="15" t="s">
        <v>13</v>
      </c>
      <c r="F266" s="15" t="str">
        <f t="shared" si="13"/>
        <v>Male</v>
      </c>
      <c r="G266" s="15" t="s">
        <v>1855</v>
      </c>
      <c r="H266" s="15" t="s">
        <v>1856</v>
      </c>
      <c r="I266" s="15">
        <v>265</v>
      </c>
      <c r="J266" s="15">
        <v>265</v>
      </c>
      <c r="K266" s="15" t="s">
        <v>5</v>
      </c>
      <c r="L266" s="15" t="s">
        <v>1857</v>
      </c>
      <c r="M266" s="15" t="s">
        <v>1858</v>
      </c>
      <c r="N266" s="15" t="s">
        <v>66</v>
      </c>
      <c r="O266" s="15" t="s">
        <v>1859</v>
      </c>
      <c r="P266" s="15" t="s">
        <v>1860</v>
      </c>
      <c r="Q266" s="22">
        <f t="shared" si="14"/>
        <v>737250000</v>
      </c>
      <c r="R266" s="15">
        <v>1082.47</v>
      </c>
      <c r="S266" s="16">
        <v>-4.95</v>
      </c>
      <c r="T266" s="15">
        <v>2710651</v>
      </c>
      <c r="U266" s="17">
        <v>44225</v>
      </c>
      <c r="V266" s="15" t="str">
        <f t="shared" si="12"/>
        <v>Complete</v>
      </c>
    </row>
    <row r="267" spans="1:22" ht="14.5" customHeight="1" x14ac:dyDescent="0.35">
      <c r="A267" s="18" t="s">
        <v>7064</v>
      </c>
      <c r="B267" s="18" t="s">
        <v>7065</v>
      </c>
      <c r="C267" s="18" t="s">
        <v>1861</v>
      </c>
      <c r="D267" s="18" t="s">
        <v>1862</v>
      </c>
      <c r="E267" s="18" t="s">
        <v>13</v>
      </c>
      <c r="F267" s="15" t="str">
        <f t="shared" si="13"/>
        <v>Male</v>
      </c>
      <c r="G267" s="18" t="s">
        <v>1863</v>
      </c>
      <c r="H267" s="18" t="s">
        <v>1864</v>
      </c>
      <c r="I267" s="18">
        <v>266</v>
      </c>
      <c r="J267" s="18">
        <v>266</v>
      </c>
      <c r="K267" s="18" t="s">
        <v>32</v>
      </c>
      <c r="L267" s="18" t="s">
        <v>1865</v>
      </c>
      <c r="M267" s="18" t="s">
        <v>1866</v>
      </c>
      <c r="N267" s="18" t="s">
        <v>189</v>
      </c>
      <c r="O267" s="18" t="s">
        <v>1325</v>
      </c>
      <c r="P267" s="18" t="s">
        <v>1867</v>
      </c>
      <c r="Q267" s="22">
        <f t="shared" si="14"/>
        <v>883380000</v>
      </c>
      <c r="R267" s="18">
        <v>700.51</v>
      </c>
      <c r="S267" s="19">
        <v>14.55</v>
      </c>
      <c r="T267" s="18">
        <v>140002175</v>
      </c>
      <c r="U267" s="20">
        <v>44239</v>
      </c>
      <c r="V267" s="18" t="str">
        <f t="shared" si="12"/>
        <v>Complete</v>
      </c>
    </row>
    <row r="268" spans="1:22" ht="14.5" customHeight="1" x14ac:dyDescent="0.35">
      <c r="A268" s="15" t="s">
        <v>7066</v>
      </c>
      <c r="B268" s="15" t="s">
        <v>7067</v>
      </c>
      <c r="C268" s="15" t="s">
        <v>1868</v>
      </c>
      <c r="D268" s="15" t="s">
        <v>1869</v>
      </c>
      <c r="E268" s="15" t="s">
        <v>2</v>
      </c>
      <c r="F268" s="15" t="str">
        <f t="shared" si="13"/>
        <v>Female</v>
      </c>
      <c r="G268" s="15" t="s">
        <v>1870</v>
      </c>
      <c r="H268" s="15" t="s">
        <v>1871</v>
      </c>
      <c r="I268" s="15">
        <v>267</v>
      </c>
      <c r="J268" s="15">
        <v>267</v>
      </c>
      <c r="K268" s="15" t="s">
        <v>5</v>
      </c>
      <c r="L268" s="15" t="s">
        <v>1872</v>
      </c>
      <c r="M268" s="15" t="s">
        <v>1873</v>
      </c>
      <c r="N268" s="15" t="s">
        <v>66</v>
      </c>
      <c r="O268" s="15" t="s">
        <v>492</v>
      </c>
      <c r="P268" s="15" t="s">
        <v>1874</v>
      </c>
      <c r="Q268" s="22">
        <f t="shared" si="14"/>
        <v>59210000</v>
      </c>
      <c r="R268" s="15">
        <v>1892.56</v>
      </c>
      <c r="S268" s="16">
        <v>-17.21</v>
      </c>
      <c r="T268" s="15">
        <v>78185362</v>
      </c>
      <c r="U268" s="17">
        <v>44942</v>
      </c>
      <c r="V268" s="15" t="str">
        <f t="shared" si="12"/>
        <v>Complete</v>
      </c>
    </row>
    <row r="269" spans="1:22" ht="14.5" customHeight="1" x14ac:dyDescent="0.35">
      <c r="A269" s="18" t="s">
        <v>7068</v>
      </c>
      <c r="B269" s="18" t="s">
        <v>7069</v>
      </c>
      <c r="C269" s="18" t="s">
        <v>1875</v>
      </c>
      <c r="D269" s="18" t="s">
        <v>1876</v>
      </c>
      <c r="E269" s="18" t="s">
        <v>13</v>
      </c>
      <c r="F269" s="15" t="str">
        <f t="shared" si="13"/>
        <v>Male</v>
      </c>
      <c r="G269" s="18" t="s">
        <v>1877</v>
      </c>
      <c r="H269" s="18" t="s">
        <v>1878</v>
      </c>
      <c r="I269" s="18">
        <v>268</v>
      </c>
      <c r="J269" s="18">
        <v>268</v>
      </c>
      <c r="K269" s="18" t="s">
        <v>5</v>
      </c>
      <c r="L269" s="18" t="s">
        <v>1879</v>
      </c>
      <c r="M269" s="18" t="s">
        <v>1880</v>
      </c>
      <c r="N269" s="18" t="s">
        <v>48</v>
      </c>
      <c r="O269" s="18" t="s">
        <v>484</v>
      </c>
      <c r="P269" s="18" t="s">
        <v>1881</v>
      </c>
      <c r="Q269" s="22">
        <f t="shared" si="14"/>
        <v>203620000</v>
      </c>
      <c r="R269" s="18">
        <v>365.59</v>
      </c>
      <c r="S269" s="19">
        <v>13.99</v>
      </c>
      <c r="T269" s="18">
        <v>156201417</v>
      </c>
      <c r="U269" s="20">
        <v>44983</v>
      </c>
      <c r="V269" s="18" t="str">
        <f t="shared" si="12"/>
        <v>Complete</v>
      </c>
    </row>
    <row r="270" spans="1:22" ht="14.5" customHeight="1" x14ac:dyDescent="0.35">
      <c r="A270" s="15" t="s">
        <v>7070</v>
      </c>
      <c r="B270" s="15" t="s">
        <v>6912</v>
      </c>
      <c r="C270" s="15" t="s">
        <v>1882</v>
      </c>
      <c r="D270" s="15" t="s">
        <v>1883</v>
      </c>
      <c r="E270" s="15" t="s">
        <v>13</v>
      </c>
      <c r="F270" s="15" t="str">
        <f t="shared" si="13"/>
        <v>Male</v>
      </c>
      <c r="G270" s="15" t="s">
        <v>1884</v>
      </c>
      <c r="H270" s="15" t="s">
        <v>1885</v>
      </c>
      <c r="I270" s="15">
        <v>269</v>
      </c>
      <c r="J270" s="15">
        <v>269</v>
      </c>
      <c r="K270" s="15" t="s">
        <v>5</v>
      </c>
      <c r="L270" s="15" t="s">
        <v>1886</v>
      </c>
      <c r="M270" s="15" t="s">
        <v>1887</v>
      </c>
      <c r="N270" s="15" t="s">
        <v>99</v>
      </c>
      <c r="O270" s="15" t="s">
        <v>100</v>
      </c>
      <c r="P270" s="15" t="s">
        <v>1888</v>
      </c>
      <c r="Q270" s="22">
        <f t="shared" si="14"/>
        <v>146630000</v>
      </c>
      <c r="R270" s="15">
        <v>792.89</v>
      </c>
      <c r="S270" s="16">
        <v>-1.48</v>
      </c>
      <c r="T270" s="15">
        <v>104024539</v>
      </c>
      <c r="U270" s="17">
        <v>44094</v>
      </c>
      <c r="V270" s="15" t="str">
        <f t="shared" si="12"/>
        <v>Complete</v>
      </c>
    </row>
    <row r="271" spans="1:22" ht="14.5" customHeight="1" x14ac:dyDescent="0.35">
      <c r="A271" s="18" t="s">
        <v>7071</v>
      </c>
      <c r="B271" s="18" t="s">
        <v>7072</v>
      </c>
      <c r="C271" s="18" t="s">
        <v>1889</v>
      </c>
      <c r="D271" s="18" t="s">
        <v>1890</v>
      </c>
      <c r="E271" s="18" t="s">
        <v>13</v>
      </c>
      <c r="F271" s="15" t="str">
        <f t="shared" si="13"/>
        <v>Male</v>
      </c>
      <c r="G271" s="18" t="s">
        <v>1891</v>
      </c>
      <c r="H271" s="18" t="s">
        <v>1892</v>
      </c>
      <c r="I271" s="18">
        <v>270</v>
      </c>
      <c r="J271" s="18">
        <v>270</v>
      </c>
      <c r="K271" s="18" t="s">
        <v>32</v>
      </c>
      <c r="L271" s="18" t="s">
        <v>1893</v>
      </c>
      <c r="M271" s="18" t="s">
        <v>1894</v>
      </c>
      <c r="N271" s="18" t="s">
        <v>8033</v>
      </c>
      <c r="O271" s="18" t="s">
        <v>8033</v>
      </c>
      <c r="P271" s="18" t="s">
        <v>8033</v>
      </c>
      <c r="Q271" s="22">
        <f t="shared" si="14"/>
        <v>0</v>
      </c>
      <c r="R271" s="18">
        <v>50.98</v>
      </c>
      <c r="S271" s="19">
        <v>0.99</v>
      </c>
      <c r="T271" s="18">
        <v>91378044</v>
      </c>
      <c r="U271" s="20">
        <v>43964</v>
      </c>
      <c r="V271" s="18" t="str">
        <f t="shared" si="12"/>
        <v>Missing</v>
      </c>
    </row>
    <row r="272" spans="1:22" ht="14.5" customHeight="1" x14ac:dyDescent="0.35">
      <c r="A272" s="15" t="s">
        <v>7073</v>
      </c>
      <c r="B272" s="15" t="s">
        <v>7074</v>
      </c>
      <c r="C272" s="15" t="s">
        <v>1895</v>
      </c>
      <c r="D272" s="15" t="s">
        <v>1896</v>
      </c>
      <c r="E272" s="15" t="s">
        <v>13</v>
      </c>
      <c r="F272" s="15" t="str">
        <f t="shared" si="13"/>
        <v>Male</v>
      </c>
      <c r="G272" s="15" t="s">
        <v>1897</v>
      </c>
      <c r="H272" s="15" t="s">
        <v>1898</v>
      </c>
      <c r="I272" s="15">
        <v>271</v>
      </c>
      <c r="J272" s="15">
        <v>271</v>
      </c>
      <c r="K272" s="15" t="s">
        <v>5</v>
      </c>
      <c r="L272" s="15" t="s">
        <v>1899</v>
      </c>
      <c r="M272" s="15" t="s">
        <v>1900</v>
      </c>
      <c r="N272" s="15" t="s">
        <v>8033</v>
      </c>
      <c r="O272" s="15" t="s">
        <v>8033</v>
      </c>
      <c r="P272" s="15" t="s">
        <v>1901</v>
      </c>
      <c r="Q272" s="22">
        <f t="shared" si="14"/>
        <v>17830000</v>
      </c>
      <c r="R272" s="15">
        <v>756.26</v>
      </c>
      <c r="S272" s="16">
        <v>19.34</v>
      </c>
      <c r="T272" s="15">
        <v>82882106</v>
      </c>
      <c r="U272" s="17">
        <v>45523</v>
      </c>
      <c r="V272" s="15" t="str">
        <f t="shared" si="12"/>
        <v>Missing</v>
      </c>
    </row>
    <row r="273" spans="1:22" ht="14.5" customHeight="1" x14ac:dyDescent="0.35">
      <c r="A273" s="18" t="s">
        <v>7075</v>
      </c>
      <c r="B273" s="18" t="s">
        <v>7076</v>
      </c>
      <c r="C273" s="18" t="s">
        <v>1902</v>
      </c>
      <c r="D273" s="18" t="s">
        <v>1903</v>
      </c>
      <c r="E273" s="18" t="s">
        <v>13</v>
      </c>
      <c r="F273" s="15" t="str">
        <f t="shared" si="13"/>
        <v>Male</v>
      </c>
      <c r="G273" s="18" t="s">
        <v>1904</v>
      </c>
      <c r="H273" s="18" t="s">
        <v>1905</v>
      </c>
      <c r="I273" s="18">
        <v>272</v>
      </c>
      <c r="J273" s="18">
        <v>272</v>
      </c>
      <c r="K273" s="18" t="s">
        <v>5</v>
      </c>
      <c r="L273" s="18" t="s">
        <v>1906</v>
      </c>
      <c r="M273" s="18" t="s">
        <v>1907</v>
      </c>
      <c r="N273" s="18" t="s">
        <v>48</v>
      </c>
      <c r="O273" s="18" t="s">
        <v>49</v>
      </c>
      <c r="P273" s="18" t="s">
        <v>8033</v>
      </c>
      <c r="Q273" s="22">
        <f t="shared" si="14"/>
        <v>0</v>
      </c>
      <c r="R273" s="18">
        <v>129.44</v>
      </c>
      <c r="S273" s="19">
        <v>-11.31</v>
      </c>
      <c r="T273" s="18">
        <v>15449067</v>
      </c>
      <c r="U273" s="20">
        <v>45246</v>
      </c>
      <c r="V273" s="18" t="str">
        <f t="shared" si="12"/>
        <v>Missing</v>
      </c>
    </row>
    <row r="274" spans="1:22" ht="14.5" customHeight="1" x14ac:dyDescent="0.35">
      <c r="A274" s="15" t="s">
        <v>7077</v>
      </c>
      <c r="B274" s="15" t="s">
        <v>7078</v>
      </c>
      <c r="C274" s="15" t="s">
        <v>1908</v>
      </c>
      <c r="D274" s="15" t="s">
        <v>1909</v>
      </c>
      <c r="E274" s="15" t="s">
        <v>13</v>
      </c>
      <c r="F274" s="15" t="str">
        <f t="shared" si="13"/>
        <v>Male</v>
      </c>
      <c r="G274" s="15" t="s">
        <v>1910</v>
      </c>
      <c r="H274" s="15" t="s">
        <v>1911</v>
      </c>
      <c r="I274" s="15">
        <v>273</v>
      </c>
      <c r="J274" s="15">
        <v>273</v>
      </c>
      <c r="K274" s="15" t="s">
        <v>5</v>
      </c>
      <c r="L274" s="15" t="s">
        <v>1912</v>
      </c>
      <c r="M274" s="15" t="s">
        <v>1913</v>
      </c>
      <c r="N274" s="15" t="s">
        <v>48</v>
      </c>
      <c r="O274" s="15" t="s">
        <v>118</v>
      </c>
      <c r="P274" s="15" t="s">
        <v>1914</v>
      </c>
      <c r="Q274" s="22">
        <f t="shared" si="14"/>
        <v>83790000</v>
      </c>
      <c r="R274" s="15">
        <v>351.48</v>
      </c>
      <c r="S274" s="16">
        <v>3.09</v>
      </c>
      <c r="T274" s="15">
        <v>180209957</v>
      </c>
      <c r="U274" s="17">
        <v>45973</v>
      </c>
      <c r="V274" s="15" t="str">
        <f t="shared" si="12"/>
        <v>Complete</v>
      </c>
    </row>
    <row r="275" spans="1:22" ht="14.5" customHeight="1" x14ac:dyDescent="0.35">
      <c r="A275" s="18" t="s">
        <v>7079</v>
      </c>
      <c r="B275" s="18" t="s">
        <v>7080</v>
      </c>
      <c r="C275" s="18" t="s">
        <v>1915</v>
      </c>
      <c r="D275" s="18" t="s">
        <v>1916</v>
      </c>
      <c r="E275" s="18" t="s">
        <v>13</v>
      </c>
      <c r="F275" s="15" t="str">
        <f t="shared" si="13"/>
        <v>Male</v>
      </c>
      <c r="G275" s="18" t="s">
        <v>1917</v>
      </c>
      <c r="H275" s="18" t="s">
        <v>1918</v>
      </c>
      <c r="I275" s="18">
        <v>274</v>
      </c>
      <c r="J275" s="18">
        <v>274</v>
      </c>
      <c r="K275" s="18" t="s">
        <v>32</v>
      </c>
      <c r="L275" s="18" t="s">
        <v>1919</v>
      </c>
      <c r="M275" s="18" t="s">
        <v>1920</v>
      </c>
      <c r="N275" s="18" t="s">
        <v>1291</v>
      </c>
      <c r="O275" s="18" t="s">
        <v>1921</v>
      </c>
      <c r="P275" s="18" t="s">
        <v>1922</v>
      </c>
      <c r="Q275" s="22">
        <f t="shared" si="14"/>
        <v>23780000000</v>
      </c>
      <c r="R275" s="18">
        <v>580.01</v>
      </c>
      <c r="S275" s="19">
        <v>-7.82</v>
      </c>
      <c r="T275" s="18">
        <v>95531932</v>
      </c>
      <c r="U275" s="20">
        <v>44167</v>
      </c>
      <c r="V275" s="18" t="str">
        <f t="shared" si="12"/>
        <v>Complete</v>
      </c>
    </row>
    <row r="276" spans="1:22" ht="14.5" customHeight="1" x14ac:dyDescent="0.35">
      <c r="A276" s="15" t="s">
        <v>7081</v>
      </c>
      <c r="B276" s="15" t="s">
        <v>6799</v>
      </c>
      <c r="C276" s="15" t="s">
        <v>1923</v>
      </c>
      <c r="D276" s="15" t="s">
        <v>1924</v>
      </c>
      <c r="E276" s="15" t="s">
        <v>13</v>
      </c>
      <c r="F276" s="15" t="str">
        <f t="shared" si="13"/>
        <v>Male</v>
      </c>
      <c r="G276" s="15" t="s">
        <v>1925</v>
      </c>
      <c r="H276" s="15" t="s">
        <v>1926</v>
      </c>
      <c r="I276" s="15">
        <v>275</v>
      </c>
      <c r="J276" s="15">
        <v>275</v>
      </c>
      <c r="K276" s="15" t="s">
        <v>5</v>
      </c>
      <c r="L276" s="15" t="s">
        <v>1927</v>
      </c>
      <c r="M276" s="15" t="s">
        <v>1928</v>
      </c>
      <c r="N276" s="15" t="s">
        <v>99</v>
      </c>
      <c r="O276" s="15" t="s">
        <v>1929</v>
      </c>
      <c r="P276" s="15" t="s">
        <v>1930</v>
      </c>
      <c r="Q276" s="22">
        <f t="shared" si="14"/>
        <v>2780000000</v>
      </c>
      <c r="R276" s="15">
        <v>701.76</v>
      </c>
      <c r="S276" s="16">
        <v>14.26</v>
      </c>
      <c r="T276" s="15">
        <v>167477214</v>
      </c>
      <c r="U276" s="17">
        <v>43935</v>
      </c>
      <c r="V276" s="15" t="str">
        <f t="shared" si="12"/>
        <v>Complete</v>
      </c>
    </row>
    <row r="277" spans="1:22" ht="14.5" customHeight="1" x14ac:dyDescent="0.35">
      <c r="A277" s="18" t="s">
        <v>7082</v>
      </c>
      <c r="B277" s="18" t="s">
        <v>7083</v>
      </c>
      <c r="C277" s="18" t="s">
        <v>1931</v>
      </c>
      <c r="D277" s="18" t="s">
        <v>1932</v>
      </c>
      <c r="E277" s="18" t="s">
        <v>13</v>
      </c>
      <c r="F277" s="15" t="str">
        <f t="shared" si="13"/>
        <v>Male</v>
      </c>
      <c r="G277" s="18" t="s">
        <v>1933</v>
      </c>
      <c r="H277" s="18" t="s">
        <v>1934</v>
      </c>
      <c r="I277" s="18">
        <v>276</v>
      </c>
      <c r="J277" s="18">
        <v>276</v>
      </c>
      <c r="K277" s="18" t="s">
        <v>32</v>
      </c>
      <c r="L277" s="18" t="s">
        <v>1935</v>
      </c>
      <c r="M277" s="18" t="s">
        <v>1936</v>
      </c>
      <c r="N277" s="18" t="s">
        <v>1291</v>
      </c>
      <c r="O277" s="18" t="s">
        <v>1937</v>
      </c>
      <c r="P277" s="18" t="s">
        <v>1938</v>
      </c>
      <c r="Q277" s="22">
        <f t="shared" si="14"/>
        <v>61920000000</v>
      </c>
      <c r="R277" s="18">
        <v>1086.98</v>
      </c>
      <c r="S277" s="19">
        <v>-8.39</v>
      </c>
      <c r="T277" s="18">
        <v>184861044</v>
      </c>
      <c r="U277" s="20">
        <v>45573</v>
      </c>
      <c r="V277" s="18" t="str">
        <f t="shared" si="12"/>
        <v>Complete</v>
      </c>
    </row>
    <row r="278" spans="1:22" ht="14.5" customHeight="1" x14ac:dyDescent="0.35">
      <c r="A278" s="15" t="s">
        <v>7084</v>
      </c>
      <c r="B278" s="15" t="s">
        <v>6676</v>
      </c>
      <c r="C278" s="15" t="s">
        <v>1939</v>
      </c>
      <c r="D278" s="15" t="s">
        <v>1940</v>
      </c>
      <c r="E278" s="15" t="s">
        <v>2</v>
      </c>
      <c r="F278" s="15" t="str">
        <f t="shared" si="13"/>
        <v>Female</v>
      </c>
      <c r="G278" s="15" t="s">
        <v>1941</v>
      </c>
      <c r="H278" s="15" t="s">
        <v>1942</v>
      </c>
      <c r="I278" s="15">
        <v>277</v>
      </c>
      <c r="J278" s="15">
        <v>277</v>
      </c>
      <c r="K278" s="15" t="s">
        <v>5</v>
      </c>
      <c r="L278" s="15" t="s">
        <v>1943</v>
      </c>
      <c r="M278" s="15" t="s">
        <v>1944</v>
      </c>
      <c r="N278" s="15" t="s">
        <v>48</v>
      </c>
      <c r="O278" s="15" t="s">
        <v>484</v>
      </c>
      <c r="P278" s="15" t="s">
        <v>1945</v>
      </c>
      <c r="Q278" s="22">
        <f t="shared" si="14"/>
        <v>462310000</v>
      </c>
      <c r="R278" s="15">
        <v>411.33</v>
      </c>
      <c r="S278" s="16">
        <v>-15.16</v>
      </c>
      <c r="T278" s="15">
        <v>101790872</v>
      </c>
      <c r="U278" s="17">
        <v>45033</v>
      </c>
      <c r="V278" s="15" t="str">
        <f t="shared" si="12"/>
        <v>Complete</v>
      </c>
    </row>
    <row r="279" spans="1:22" ht="14.5" customHeight="1" x14ac:dyDescent="0.35">
      <c r="A279" s="18" t="s">
        <v>7085</v>
      </c>
      <c r="B279" s="18" t="s">
        <v>7086</v>
      </c>
      <c r="C279" s="18" t="s">
        <v>1946</v>
      </c>
      <c r="D279" s="18" t="s">
        <v>1947</v>
      </c>
      <c r="E279" s="18" t="s">
        <v>2</v>
      </c>
      <c r="F279" s="15" t="str">
        <f t="shared" si="13"/>
        <v>Female</v>
      </c>
      <c r="G279" s="18" t="s">
        <v>1948</v>
      </c>
      <c r="H279" s="18" t="s">
        <v>1949</v>
      </c>
      <c r="I279" s="18">
        <v>278</v>
      </c>
      <c r="J279" s="18">
        <v>278</v>
      </c>
      <c r="K279" s="18" t="s">
        <v>5</v>
      </c>
      <c r="L279" s="18" t="s">
        <v>1583</v>
      </c>
      <c r="M279" s="18" t="s">
        <v>1584</v>
      </c>
      <c r="N279" s="18" t="s">
        <v>66</v>
      </c>
      <c r="O279" s="18" t="s">
        <v>293</v>
      </c>
      <c r="P279" s="18" t="s">
        <v>1585</v>
      </c>
      <c r="Q279" s="22">
        <f t="shared" si="14"/>
        <v>2680000000</v>
      </c>
      <c r="R279" s="18">
        <v>639.41</v>
      </c>
      <c r="S279" s="19">
        <v>12.15</v>
      </c>
      <c r="T279" s="18">
        <v>150279677</v>
      </c>
      <c r="U279" s="20">
        <v>44997</v>
      </c>
      <c r="V279" s="18" t="str">
        <f t="shared" si="12"/>
        <v>Complete</v>
      </c>
    </row>
    <row r="280" spans="1:22" ht="14.5" customHeight="1" x14ac:dyDescent="0.35">
      <c r="A280" s="15" t="s">
        <v>7087</v>
      </c>
      <c r="B280" s="15" t="s">
        <v>7088</v>
      </c>
      <c r="C280" s="15" t="s">
        <v>1950</v>
      </c>
      <c r="D280" s="15" t="s">
        <v>1951</v>
      </c>
      <c r="E280" s="15" t="s">
        <v>2</v>
      </c>
      <c r="F280" s="15" t="str">
        <f t="shared" si="13"/>
        <v>Female</v>
      </c>
      <c r="G280" s="15" t="s">
        <v>1952</v>
      </c>
      <c r="H280" s="15" t="s">
        <v>1953</v>
      </c>
      <c r="I280" s="15">
        <v>279</v>
      </c>
      <c r="J280" s="15">
        <v>279</v>
      </c>
      <c r="K280" s="15" t="s">
        <v>32</v>
      </c>
      <c r="L280" s="15" t="s">
        <v>1954</v>
      </c>
      <c r="M280" s="15" t="s">
        <v>1955</v>
      </c>
      <c r="N280" s="15" t="s">
        <v>8033</v>
      </c>
      <c r="O280" s="15" t="s">
        <v>8033</v>
      </c>
      <c r="P280" s="15" t="s">
        <v>1956</v>
      </c>
      <c r="Q280" s="22">
        <f t="shared" si="14"/>
        <v>129880000</v>
      </c>
      <c r="R280" s="15">
        <v>606.04</v>
      </c>
      <c r="S280" s="16">
        <v>-17.64</v>
      </c>
      <c r="T280" s="15">
        <v>63313914</v>
      </c>
      <c r="U280" s="17">
        <v>44846</v>
      </c>
      <c r="V280" s="15" t="str">
        <f t="shared" si="12"/>
        <v>Missing</v>
      </c>
    </row>
    <row r="281" spans="1:22" ht="14.5" customHeight="1" x14ac:dyDescent="0.35">
      <c r="A281" s="18" t="s">
        <v>7089</v>
      </c>
      <c r="B281" s="18" t="s">
        <v>7090</v>
      </c>
      <c r="C281" s="18" t="s">
        <v>1957</v>
      </c>
      <c r="D281" s="18" t="s">
        <v>1958</v>
      </c>
      <c r="E281" s="18" t="s">
        <v>52</v>
      </c>
      <c r="F281" s="15" t="str">
        <f t="shared" si="13"/>
        <v>Other</v>
      </c>
      <c r="G281" s="18" t="s">
        <v>1959</v>
      </c>
      <c r="H281" s="18" t="s">
        <v>1960</v>
      </c>
      <c r="I281" s="18">
        <v>280</v>
      </c>
      <c r="J281" s="18">
        <v>280</v>
      </c>
      <c r="K281" s="18" t="s">
        <v>5</v>
      </c>
      <c r="L281" s="18" t="s">
        <v>1961</v>
      </c>
      <c r="M281" s="18" t="s">
        <v>1962</v>
      </c>
      <c r="N281" s="18" t="s">
        <v>66</v>
      </c>
      <c r="O281" s="18" t="s">
        <v>422</v>
      </c>
      <c r="P281" s="18" t="s">
        <v>1963</v>
      </c>
      <c r="Q281" s="22">
        <f t="shared" si="14"/>
        <v>316820000</v>
      </c>
      <c r="R281" s="18">
        <v>769.58</v>
      </c>
      <c r="S281" s="19">
        <v>17.25</v>
      </c>
      <c r="T281" s="18">
        <v>80581347</v>
      </c>
      <c r="U281" s="20">
        <v>45878</v>
      </c>
      <c r="V281" s="18" t="str">
        <f t="shared" si="12"/>
        <v>Complete</v>
      </c>
    </row>
    <row r="282" spans="1:22" ht="14.5" customHeight="1" x14ac:dyDescent="0.35">
      <c r="A282" s="15" t="s">
        <v>7091</v>
      </c>
      <c r="B282" s="15" t="s">
        <v>6920</v>
      </c>
      <c r="C282" s="15" t="s">
        <v>1964</v>
      </c>
      <c r="D282" s="15" t="s">
        <v>1965</v>
      </c>
      <c r="E282" s="15" t="s">
        <v>13</v>
      </c>
      <c r="F282" s="15" t="str">
        <f t="shared" si="13"/>
        <v>Male</v>
      </c>
      <c r="G282" s="15" t="s">
        <v>1966</v>
      </c>
      <c r="H282" s="15" t="s">
        <v>1967</v>
      </c>
      <c r="I282" s="15">
        <v>281</v>
      </c>
      <c r="J282" s="15">
        <v>281</v>
      </c>
      <c r="K282" s="15" t="s">
        <v>5</v>
      </c>
      <c r="L282" s="15" t="s">
        <v>1968</v>
      </c>
      <c r="M282" s="15" t="s">
        <v>1969</v>
      </c>
      <c r="N282" s="15" t="s">
        <v>8033</v>
      </c>
      <c r="O282" s="15" t="s">
        <v>8033</v>
      </c>
      <c r="P282" s="15" t="s">
        <v>1970</v>
      </c>
      <c r="Q282" s="22">
        <f t="shared" si="14"/>
        <v>268640000</v>
      </c>
      <c r="R282" s="15">
        <v>52.88</v>
      </c>
      <c r="S282" s="16">
        <v>17.78</v>
      </c>
      <c r="T282" s="15">
        <v>96107237</v>
      </c>
      <c r="U282" s="17">
        <v>46249</v>
      </c>
      <c r="V282" s="15" t="str">
        <f t="shared" si="12"/>
        <v>Missing</v>
      </c>
    </row>
    <row r="283" spans="1:22" ht="14.5" customHeight="1" x14ac:dyDescent="0.35">
      <c r="A283" s="18" t="s">
        <v>7092</v>
      </c>
      <c r="B283" s="18" t="s">
        <v>7012</v>
      </c>
      <c r="C283" s="18" t="s">
        <v>1971</v>
      </c>
      <c r="D283" s="18" t="s">
        <v>1972</v>
      </c>
      <c r="E283" s="18" t="s">
        <v>13</v>
      </c>
      <c r="F283" s="15" t="str">
        <f t="shared" si="13"/>
        <v>Male</v>
      </c>
      <c r="G283" s="18" t="s">
        <v>1973</v>
      </c>
      <c r="H283" s="18" t="s">
        <v>1974</v>
      </c>
      <c r="I283" s="18">
        <v>282</v>
      </c>
      <c r="J283" s="18">
        <v>282</v>
      </c>
      <c r="K283" s="18" t="s">
        <v>32</v>
      </c>
      <c r="L283" s="18" t="s">
        <v>1975</v>
      </c>
      <c r="M283" s="18" t="s">
        <v>1976</v>
      </c>
      <c r="N283" s="18" t="s">
        <v>8033</v>
      </c>
      <c r="O283" s="18" t="s">
        <v>8033</v>
      </c>
      <c r="P283" s="18" t="s">
        <v>1977</v>
      </c>
      <c r="Q283" s="22">
        <f t="shared" si="14"/>
        <v>311580000</v>
      </c>
      <c r="R283" s="18">
        <v>1559.67</v>
      </c>
      <c r="S283" s="19">
        <v>-1.61</v>
      </c>
      <c r="T283" s="18">
        <v>29259096</v>
      </c>
      <c r="U283" s="20">
        <v>44682</v>
      </c>
      <c r="V283" s="18" t="str">
        <f t="shared" si="12"/>
        <v>Missing</v>
      </c>
    </row>
    <row r="284" spans="1:22" ht="14.5" customHeight="1" x14ac:dyDescent="0.35">
      <c r="A284" s="15" t="s">
        <v>7093</v>
      </c>
      <c r="B284" s="15" t="s">
        <v>7094</v>
      </c>
      <c r="C284" s="15" t="s">
        <v>1978</v>
      </c>
      <c r="D284" s="15" t="s">
        <v>1979</v>
      </c>
      <c r="E284" s="15" t="s">
        <v>2</v>
      </c>
      <c r="F284" s="15" t="str">
        <f t="shared" si="13"/>
        <v>Female</v>
      </c>
      <c r="G284" s="15" t="s">
        <v>1980</v>
      </c>
      <c r="H284" s="15" t="s">
        <v>1981</v>
      </c>
      <c r="I284" s="15">
        <v>283</v>
      </c>
      <c r="J284" s="15">
        <v>283</v>
      </c>
      <c r="K284" s="15" t="s">
        <v>32</v>
      </c>
      <c r="L284" s="15" t="s">
        <v>1982</v>
      </c>
      <c r="M284" s="15" t="s">
        <v>1983</v>
      </c>
      <c r="N284" s="15" t="s">
        <v>99</v>
      </c>
      <c r="O284" s="15" t="s">
        <v>1929</v>
      </c>
      <c r="P284" s="15" t="s">
        <v>1984</v>
      </c>
      <c r="Q284" s="22">
        <f t="shared" si="14"/>
        <v>2850000000</v>
      </c>
      <c r="R284" s="15">
        <v>1059.52</v>
      </c>
      <c r="S284" s="16">
        <v>-0.01</v>
      </c>
      <c r="T284" s="15">
        <v>15770529</v>
      </c>
      <c r="U284" s="17">
        <v>45579</v>
      </c>
      <c r="V284" s="15" t="str">
        <f t="shared" si="12"/>
        <v>Complete</v>
      </c>
    </row>
    <row r="285" spans="1:22" ht="14.5" customHeight="1" x14ac:dyDescent="0.35">
      <c r="A285" s="18" t="s">
        <v>7095</v>
      </c>
      <c r="B285" s="18" t="s">
        <v>6667</v>
      </c>
      <c r="C285" s="18" t="s">
        <v>1985</v>
      </c>
      <c r="D285" s="18" t="s">
        <v>1986</v>
      </c>
      <c r="E285" s="18" t="s">
        <v>2</v>
      </c>
      <c r="F285" s="15" t="str">
        <f t="shared" si="13"/>
        <v>Female</v>
      </c>
      <c r="G285" s="18" t="s">
        <v>1987</v>
      </c>
      <c r="H285" s="18" t="s">
        <v>1988</v>
      </c>
      <c r="I285" s="18">
        <v>284</v>
      </c>
      <c r="J285" s="18">
        <v>284</v>
      </c>
      <c r="K285" s="18" t="s">
        <v>5</v>
      </c>
      <c r="L285" s="18" t="s">
        <v>1886</v>
      </c>
      <c r="M285" s="18" t="s">
        <v>1887</v>
      </c>
      <c r="N285" s="18" t="s">
        <v>99</v>
      </c>
      <c r="O285" s="18" t="s">
        <v>100</v>
      </c>
      <c r="P285" s="18" t="s">
        <v>1888</v>
      </c>
      <c r="Q285" s="22">
        <f t="shared" si="14"/>
        <v>146630000</v>
      </c>
      <c r="R285" s="18">
        <v>1059.1600000000001</v>
      </c>
      <c r="S285" s="19">
        <v>5.31</v>
      </c>
      <c r="T285" s="18">
        <v>67847839</v>
      </c>
      <c r="U285" s="20">
        <v>44656</v>
      </c>
      <c r="V285" s="18" t="str">
        <f t="shared" si="12"/>
        <v>Complete</v>
      </c>
    </row>
    <row r="286" spans="1:22" ht="14.5" customHeight="1" x14ac:dyDescent="0.35">
      <c r="A286" s="15" t="s">
        <v>7096</v>
      </c>
      <c r="B286" s="15" t="s">
        <v>7097</v>
      </c>
      <c r="C286" s="15" t="s">
        <v>1989</v>
      </c>
      <c r="D286" s="15" t="s">
        <v>1990</v>
      </c>
      <c r="E286" s="15" t="s">
        <v>13</v>
      </c>
      <c r="F286" s="15" t="str">
        <f t="shared" si="13"/>
        <v>Male</v>
      </c>
      <c r="G286" s="15" t="s">
        <v>1991</v>
      </c>
      <c r="H286" s="15" t="s">
        <v>1992</v>
      </c>
      <c r="I286" s="15">
        <v>285</v>
      </c>
      <c r="J286" s="15">
        <v>285</v>
      </c>
      <c r="K286" s="15" t="s">
        <v>32</v>
      </c>
      <c r="L286" s="15" t="s">
        <v>1993</v>
      </c>
      <c r="M286" s="15" t="s">
        <v>1994</v>
      </c>
      <c r="N286" s="15" t="s">
        <v>99</v>
      </c>
      <c r="O286" s="15" t="s">
        <v>100</v>
      </c>
      <c r="P286" s="15" t="s">
        <v>1995</v>
      </c>
      <c r="Q286" s="22">
        <f t="shared" si="14"/>
        <v>2500000000</v>
      </c>
      <c r="R286" s="15">
        <v>1104.29</v>
      </c>
      <c r="S286" s="16">
        <v>-19.18</v>
      </c>
      <c r="T286" s="15">
        <v>125007445</v>
      </c>
      <c r="U286" s="17">
        <v>46225</v>
      </c>
      <c r="V286" s="15" t="str">
        <f t="shared" si="12"/>
        <v>Complete</v>
      </c>
    </row>
    <row r="287" spans="1:22" ht="14.5" customHeight="1" x14ac:dyDescent="0.35">
      <c r="A287" s="18" t="s">
        <v>7098</v>
      </c>
      <c r="B287" s="18" t="s">
        <v>7099</v>
      </c>
      <c r="C287" s="18" t="s">
        <v>1996</v>
      </c>
      <c r="D287" s="18" t="s">
        <v>1997</v>
      </c>
      <c r="E287" s="18" t="s">
        <v>2</v>
      </c>
      <c r="F287" s="15" t="str">
        <f t="shared" si="13"/>
        <v>Female</v>
      </c>
      <c r="G287" s="18" t="s">
        <v>1998</v>
      </c>
      <c r="H287" s="18" t="s">
        <v>1999</v>
      </c>
      <c r="I287" s="18">
        <v>286</v>
      </c>
      <c r="J287" s="18">
        <v>286</v>
      </c>
      <c r="K287" s="18" t="s">
        <v>5</v>
      </c>
      <c r="L287" s="18" t="s">
        <v>2000</v>
      </c>
      <c r="M287" s="18" t="s">
        <v>2001</v>
      </c>
      <c r="N287" s="18" t="s">
        <v>48</v>
      </c>
      <c r="O287" s="18" t="s">
        <v>49</v>
      </c>
      <c r="P287" s="18" t="s">
        <v>2002</v>
      </c>
      <c r="Q287" s="22">
        <f t="shared" si="14"/>
        <v>1090000000</v>
      </c>
      <c r="R287" s="18">
        <v>902.52</v>
      </c>
      <c r="S287" s="19">
        <v>8.18</v>
      </c>
      <c r="T287" s="18">
        <v>141283955</v>
      </c>
      <c r="U287" s="20">
        <v>43983</v>
      </c>
      <c r="V287" s="18" t="str">
        <f t="shared" si="12"/>
        <v>Complete</v>
      </c>
    </row>
    <row r="288" spans="1:22" ht="14.5" customHeight="1" x14ac:dyDescent="0.35">
      <c r="A288" s="15" t="s">
        <v>7100</v>
      </c>
      <c r="B288" s="15" t="s">
        <v>6878</v>
      </c>
      <c r="C288" s="15" t="s">
        <v>2003</v>
      </c>
      <c r="D288" s="15" t="s">
        <v>2004</v>
      </c>
      <c r="E288" s="15" t="s">
        <v>13</v>
      </c>
      <c r="F288" s="15" t="str">
        <f t="shared" si="13"/>
        <v>Male</v>
      </c>
      <c r="G288" s="15" t="s">
        <v>2005</v>
      </c>
      <c r="H288" s="15" t="s">
        <v>2006</v>
      </c>
      <c r="I288" s="15">
        <v>287</v>
      </c>
      <c r="J288" s="15">
        <v>287</v>
      </c>
      <c r="K288" s="15" t="s">
        <v>5</v>
      </c>
      <c r="L288" s="15" t="s">
        <v>2007</v>
      </c>
      <c r="M288" s="15" t="s">
        <v>2008</v>
      </c>
      <c r="N288" s="15" t="s">
        <v>66</v>
      </c>
      <c r="O288" s="15" t="s">
        <v>422</v>
      </c>
      <c r="P288" s="15" t="s">
        <v>2009</v>
      </c>
      <c r="Q288" s="22">
        <f t="shared" si="14"/>
        <v>301600000</v>
      </c>
      <c r="R288" s="15">
        <v>584.03</v>
      </c>
      <c r="S288" s="16">
        <v>-1.6</v>
      </c>
      <c r="T288" s="15">
        <v>102542990</v>
      </c>
      <c r="U288" s="17">
        <v>45687</v>
      </c>
      <c r="V288" s="15" t="str">
        <f t="shared" si="12"/>
        <v>Complete</v>
      </c>
    </row>
    <row r="289" spans="1:22" ht="14.5" customHeight="1" x14ac:dyDescent="0.35">
      <c r="A289" s="18" t="s">
        <v>7101</v>
      </c>
      <c r="B289" s="18" t="s">
        <v>7102</v>
      </c>
      <c r="C289" s="18" t="s">
        <v>2010</v>
      </c>
      <c r="D289" s="18" t="s">
        <v>2011</v>
      </c>
      <c r="E289" s="18" t="s">
        <v>2</v>
      </c>
      <c r="F289" s="15" t="str">
        <f t="shared" si="13"/>
        <v>Female</v>
      </c>
      <c r="G289" s="18" t="s">
        <v>2012</v>
      </c>
      <c r="H289" s="18" t="s">
        <v>2013</v>
      </c>
      <c r="I289" s="18">
        <v>288</v>
      </c>
      <c r="J289" s="18">
        <v>288</v>
      </c>
      <c r="K289" s="18" t="s">
        <v>32</v>
      </c>
      <c r="L289" s="18" t="s">
        <v>2014</v>
      </c>
      <c r="M289" s="18" t="s">
        <v>2015</v>
      </c>
      <c r="N289" s="18" t="s">
        <v>8033</v>
      </c>
      <c r="O289" s="18" t="s">
        <v>8033</v>
      </c>
      <c r="P289" s="18" t="s">
        <v>2016</v>
      </c>
      <c r="Q289" s="22">
        <f t="shared" si="14"/>
        <v>337670000</v>
      </c>
      <c r="R289" s="18">
        <v>162.24</v>
      </c>
      <c r="S289" s="19">
        <v>0.4</v>
      </c>
      <c r="T289" s="18">
        <v>153990436</v>
      </c>
      <c r="U289" s="20">
        <v>46207</v>
      </c>
      <c r="V289" s="18" t="str">
        <f t="shared" si="12"/>
        <v>Missing</v>
      </c>
    </row>
    <row r="290" spans="1:22" ht="14.5" customHeight="1" x14ac:dyDescent="0.35">
      <c r="A290" s="15" t="s">
        <v>7103</v>
      </c>
      <c r="B290" s="15" t="s">
        <v>6741</v>
      </c>
      <c r="C290" s="15" t="s">
        <v>2017</v>
      </c>
      <c r="D290" s="15" t="s">
        <v>2018</v>
      </c>
      <c r="E290" s="15" t="s">
        <v>13</v>
      </c>
      <c r="F290" s="15" t="str">
        <f t="shared" si="13"/>
        <v>Male</v>
      </c>
      <c r="G290" s="15" t="s">
        <v>2019</v>
      </c>
      <c r="H290" s="15" t="s">
        <v>2020</v>
      </c>
      <c r="I290" s="15">
        <v>289</v>
      </c>
      <c r="J290" s="15">
        <v>289</v>
      </c>
      <c r="K290" s="15" t="s">
        <v>32</v>
      </c>
      <c r="L290" s="15" t="s">
        <v>2021</v>
      </c>
      <c r="M290" s="15" t="s">
        <v>2022</v>
      </c>
      <c r="N290" s="15" t="s">
        <v>8033</v>
      </c>
      <c r="O290" s="15" t="s">
        <v>8033</v>
      </c>
      <c r="P290" s="15" t="s">
        <v>8033</v>
      </c>
      <c r="Q290" s="22">
        <f t="shared" si="14"/>
        <v>0</v>
      </c>
      <c r="R290" s="15">
        <v>998.8</v>
      </c>
      <c r="S290" s="16">
        <v>10</v>
      </c>
      <c r="T290" s="15">
        <v>69199402</v>
      </c>
      <c r="U290" s="17">
        <v>44278</v>
      </c>
      <c r="V290" s="15" t="str">
        <f t="shared" si="12"/>
        <v>Missing</v>
      </c>
    </row>
    <row r="291" spans="1:22" ht="14.5" customHeight="1" x14ac:dyDescent="0.35">
      <c r="A291" s="18" t="s">
        <v>7104</v>
      </c>
      <c r="B291" s="18" t="s">
        <v>7038</v>
      </c>
      <c r="C291" s="18" t="s">
        <v>2023</v>
      </c>
      <c r="D291" s="18" t="s">
        <v>2024</v>
      </c>
      <c r="E291" s="18" t="s">
        <v>13</v>
      </c>
      <c r="F291" s="15" t="str">
        <f t="shared" si="13"/>
        <v>Male</v>
      </c>
      <c r="G291" s="18" t="s">
        <v>2025</v>
      </c>
      <c r="H291" s="18" t="s">
        <v>2026</v>
      </c>
      <c r="I291" s="18">
        <v>290</v>
      </c>
      <c r="J291" s="18">
        <v>290</v>
      </c>
      <c r="K291" s="18" t="s">
        <v>32</v>
      </c>
      <c r="L291" s="18" t="s">
        <v>2027</v>
      </c>
      <c r="M291" s="18" t="s">
        <v>2028</v>
      </c>
      <c r="N291" s="18" t="s">
        <v>8033</v>
      </c>
      <c r="O291" s="18" t="s">
        <v>8033</v>
      </c>
      <c r="P291" s="18" t="s">
        <v>8033</v>
      </c>
      <c r="Q291" s="22">
        <f t="shared" si="14"/>
        <v>0</v>
      </c>
      <c r="R291" s="18">
        <v>1713.35</v>
      </c>
      <c r="S291" s="19">
        <v>-10.23</v>
      </c>
      <c r="T291" s="18">
        <v>9785662</v>
      </c>
      <c r="U291" s="20">
        <v>44848</v>
      </c>
      <c r="V291" s="18" t="str">
        <f t="shared" si="12"/>
        <v>Missing</v>
      </c>
    </row>
    <row r="292" spans="1:22" ht="14.5" customHeight="1" x14ac:dyDescent="0.35">
      <c r="A292" s="15" t="s">
        <v>7105</v>
      </c>
      <c r="B292" s="15" t="s">
        <v>7025</v>
      </c>
      <c r="C292" s="15" t="s">
        <v>2029</v>
      </c>
      <c r="D292" s="15" t="s">
        <v>2030</v>
      </c>
      <c r="E292" s="15" t="s">
        <v>2</v>
      </c>
      <c r="F292" s="15" t="str">
        <f t="shared" si="13"/>
        <v>Female</v>
      </c>
      <c r="G292" s="15" t="s">
        <v>2031</v>
      </c>
      <c r="H292" s="15" t="s">
        <v>2032</v>
      </c>
      <c r="I292" s="15">
        <v>291</v>
      </c>
      <c r="J292" s="15">
        <v>291</v>
      </c>
      <c r="K292" s="15" t="s">
        <v>5</v>
      </c>
      <c r="L292" s="15" t="s">
        <v>2033</v>
      </c>
      <c r="M292" s="15" t="s">
        <v>2034</v>
      </c>
      <c r="N292" s="15" t="s">
        <v>66</v>
      </c>
      <c r="O292" s="15" t="s">
        <v>293</v>
      </c>
      <c r="P292" s="15" t="s">
        <v>2035</v>
      </c>
      <c r="Q292" s="22">
        <f t="shared" si="14"/>
        <v>7840000000</v>
      </c>
      <c r="R292" s="15">
        <v>1467.44</v>
      </c>
      <c r="S292" s="16">
        <v>-19.96</v>
      </c>
      <c r="T292" s="15">
        <v>109056575</v>
      </c>
      <c r="U292" s="17">
        <v>44637</v>
      </c>
      <c r="V292" s="15" t="str">
        <f t="shared" si="12"/>
        <v>Complete</v>
      </c>
    </row>
    <row r="293" spans="1:22" ht="14.5" customHeight="1" x14ac:dyDescent="0.35">
      <c r="A293" s="18" t="s">
        <v>7106</v>
      </c>
      <c r="B293" s="18" t="s">
        <v>7107</v>
      </c>
      <c r="C293" s="18" t="s">
        <v>2036</v>
      </c>
      <c r="D293" s="18" t="s">
        <v>2037</v>
      </c>
      <c r="E293" s="18" t="s">
        <v>13</v>
      </c>
      <c r="F293" s="15" t="str">
        <f t="shared" si="13"/>
        <v>Male</v>
      </c>
      <c r="G293" s="18" t="s">
        <v>2038</v>
      </c>
      <c r="H293" s="18" t="s">
        <v>2039</v>
      </c>
      <c r="I293" s="18">
        <v>292</v>
      </c>
      <c r="J293" s="18">
        <v>292</v>
      </c>
      <c r="K293" s="18" t="s">
        <v>5</v>
      </c>
      <c r="L293" s="18" t="s">
        <v>2040</v>
      </c>
      <c r="M293" s="18" t="s">
        <v>2041</v>
      </c>
      <c r="N293" s="18" t="s">
        <v>25</v>
      </c>
      <c r="O293" s="18" t="s">
        <v>613</v>
      </c>
      <c r="P293" s="18" t="s">
        <v>2042</v>
      </c>
      <c r="Q293" s="22">
        <f t="shared" si="14"/>
        <v>896340000</v>
      </c>
      <c r="R293" s="18">
        <v>957.79</v>
      </c>
      <c r="S293" s="19">
        <v>19.21</v>
      </c>
      <c r="T293" s="18">
        <v>187638003</v>
      </c>
      <c r="U293" s="20">
        <v>45952</v>
      </c>
      <c r="V293" s="18" t="str">
        <f t="shared" si="12"/>
        <v>Complete</v>
      </c>
    </row>
    <row r="294" spans="1:22" ht="14.5" customHeight="1" x14ac:dyDescent="0.35">
      <c r="A294" s="15" t="s">
        <v>7108</v>
      </c>
      <c r="B294" s="15" t="s">
        <v>7109</v>
      </c>
      <c r="C294" s="15" t="s">
        <v>2043</v>
      </c>
      <c r="D294" s="15" t="s">
        <v>2044</v>
      </c>
      <c r="E294" s="15" t="s">
        <v>13</v>
      </c>
      <c r="F294" s="15" t="str">
        <f t="shared" si="13"/>
        <v>Male</v>
      </c>
      <c r="G294" s="15" t="s">
        <v>2045</v>
      </c>
      <c r="H294" s="15" t="s">
        <v>2046</v>
      </c>
      <c r="I294" s="15">
        <v>293</v>
      </c>
      <c r="J294" s="15">
        <v>293</v>
      </c>
      <c r="K294" s="15" t="s">
        <v>32</v>
      </c>
      <c r="L294" s="15" t="s">
        <v>2047</v>
      </c>
      <c r="M294" s="15" t="s">
        <v>2048</v>
      </c>
      <c r="N294" s="15" t="s">
        <v>8033</v>
      </c>
      <c r="O294" s="15" t="s">
        <v>8033</v>
      </c>
      <c r="P294" s="15" t="s">
        <v>8033</v>
      </c>
      <c r="Q294" s="22">
        <f t="shared" si="14"/>
        <v>0</v>
      </c>
      <c r="R294" s="15">
        <v>1875.57</v>
      </c>
      <c r="S294" s="16">
        <v>18.989999999999998</v>
      </c>
      <c r="T294" s="15">
        <v>48929380</v>
      </c>
      <c r="U294" s="17">
        <v>45918</v>
      </c>
      <c r="V294" s="15" t="str">
        <f t="shared" si="12"/>
        <v>Missing</v>
      </c>
    </row>
    <row r="295" spans="1:22" ht="14.5" customHeight="1" x14ac:dyDescent="0.35">
      <c r="A295" s="18" t="s">
        <v>7110</v>
      </c>
      <c r="B295" s="18" t="s">
        <v>7111</v>
      </c>
      <c r="C295" s="18" t="s">
        <v>714</v>
      </c>
      <c r="D295" s="18" t="s">
        <v>2049</v>
      </c>
      <c r="E295" s="18" t="s">
        <v>13</v>
      </c>
      <c r="F295" s="15" t="str">
        <f t="shared" si="13"/>
        <v>Male</v>
      </c>
      <c r="G295" s="18" t="s">
        <v>2050</v>
      </c>
      <c r="H295" s="18" t="s">
        <v>2051</v>
      </c>
      <c r="I295" s="18">
        <v>294</v>
      </c>
      <c r="J295" s="18">
        <v>294</v>
      </c>
      <c r="K295" s="18" t="s">
        <v>5</v>
      </c>
      <c r="L295" s="18" t="s">
        <v>2052</v>
      </c>
      <c r="M295" s="18" t="s">
        <v>2053</v>
      </c>
      <c r="N295" s="18" t="s">
        <v>323</v>
      </c>
      <c r="O295" s="18" t="s">
        <v>2054</v>
      </c>
      <c r="P295" s="18" t="s">
        <v>331</v>
      </c>
      <c r="Q295" s="22">
        <f t="shared" si="14"/>
        <v>2640000000</v>
      </c>
      <c r="R295" s="18">
        <v>455.38</v>
      </c>
      <c r="S295" s="19">
        <v>6.71</v>
      </c>
      <c r="T295" s="18">
        <v>144684098</v>
      </c>
      <c r="U295" s="20">
        <v>44210</v>
      </c>
      <c r="V295" s="18" t="str">
        <f t="shared" si="12"/>
        <v>Complete</v>
      </c>
    </row>
    <row r="296" spans="1:22" ht="14.5" customHeight="1" x14ac:dyDescent="0.35">
      <c r="A296" s="15" t="s">
        <v>7112</v>
      </c>
      <c r="B296" s="15" t="s">
        <v>6750</v>
      </c>
      <c r="C296" s="15" t="s">
        <v>2055</v>
      </c>
      <c r="D296" s="15" t="s">
        <v>2056</v>
      </c>
      <c r="E296" s="15" t="s">
        <v>2</v>
      </c>
      <c r="F296" s="15" t="str">
        <f t="shared" si="13"/>
        <v>Female</v>
      </c>
      <c r="G296" s="15" t="s">
        <v>2057</v>
      </c>
      <c r="H296" s="15" t="s">
        <v>2058</v>
      </c>
      <c r="I296" s="15">
        <v>295</v>
      </c>
      <c r="J296" s="15">
        <v>295</v>
      </c>
      <c r="K296" s="15" t="s">
        <v>5</v>
      </c>
      <c r="L296" s="15" t="s">
        <v>2059</v>
      </c>
      <c r="M296" s="15" t="s">
        <v>2060</v>
      </c>
      <c r="N296" s="15" t="s">
        <v>8</v>
      </c>
      <c r="O296" s="15" t="s">
        <v>18</v>
      </c>
      <c r="P296" s="15" t="s">
        <v>2061</v>
      </c>
      <c r="Q296" s="22">
        <f t="shared" si="14"/>
        <v>52750000</v>
      </c>
      <c r="R296" s="15">
        <v>626.28</v>
      </c>
      <c r="S296" s="16">
        <v>2.73</v>
      </c>
      <c r="T296" s="15">
        <v>33935815</v>
      </c>
      <c r="U296" s="17">
        <v>44428</v>
      </c>
      <c r="V296" s="15" t="str">
        <f t="shared" si="12"/>
        <v>Complete</v>
      </c>
    </row>
    <row r="297" spans="1:22" ht="14.5" customHeight="1" x14ac:dyDescent="0.35">
      <c r="A297" s="18" t="s">
        <v>7113</v>
      </c>
      <c r="B297" s="18" t="s">
        <v>6773</v>
      </c>
      <c r="C297" s="18" t="s">
        <v>2062</v>
      </c>
      <c r="D297" s="18" t="s">
        <v>2063</v>
      </c>
      <c r="E297" s="18" t="s">
        <v>13</v>
      </c>
      <c r="F297" s="15" t="str">
        <f t="shared" si="13"/>
        <v>Male</v>
      </c>
      <c r="G297" s="18" t="s">
        <v>2064</v>
      </c>
      <c r="H297" s="18" t="s">
        <v>2065</v>
      </c>
      <c r="I297" s="18">
        <v>296</v>
      </c>
      <c r="J297" s="18">
        <v>296</v>
      </c>
      <c r="K297" s="18" t="s">
        <v>32</v>
      </c>
      <c r="L297" s="18" t="s">
        <v>2066</v>
      </c>
      <c r="M297" s="18" t="s">
        <v>2067</v>
      </c>
      <c r="N297" s="18" t="s">
        <v>8033</v>
      </c>
      <c r="O297" s="18" t="s">
        <v>8033</v>
      </c>
      <c r="P297" s="18" t="s">
        <v>2068</v>
      </c>
      <c r="Q297" s="22">
        <f t="shared" si="14"/>
        <v>162350000</v>
      </c>
      <c r="R297" s="18">
        <v>1308.04</v>
      </c>
      <c r="S297" s="19">
        <v>5.0199999999999996</v>
      </c>
      <c r="T297" s="18">
        <v>187690684</v>
      </c>
      <c r="U297" s="20">
        <v>44375</v>
      </c>
      <c r="V297" s="18" t="str">
        <f t="shared" si="12"/>
        <v>Missing</v>
      </c>
    </row>
    <row r="298" spans="1:22" ht="14.5" customHeight="1" x14ac:dyDescent="0.35">
      <c r="A298" s="15" t="s">
        <v>7114</v>
      </c>
      <c r="B298" s="15" t="s">
        <v>7115</v>
      </c>
      <c r="C298" s="15" t="s">
        <v>2069</v>
      </c>
      <c r="D298" s="15" t="s">
        <v>2070</v>
      </c>
      <c r="E298" s="15" t="s">
        <v>2</v>
      </c>
      <c r="F298" s="15" t="str">
        <f t="shared" si="13"/>
        <v>Female</v>
      </c>
      <c r="G298" s="15" t="s">
        <v>2071</v>
      </c>
      <c r="H298" s="15" t="s">
        <v>2072</v>
      </c>
      <c r="I298" s="15">
        <v>297</v>
      </c>
      <c r="J298" s="15">
        <v>297</v>
      </c>
      <c r="K298" s="15" t="s">
        <v>5</v>
      </c>
      <c r="L298" s="15" t="s">
        <v>2073</v>
      </c>
      <c r="M298" s="15" t="s">
        <v>2074</v>
      </c>
      <c r="N298" s="15" t="s">
        <v>66</v>
      </c>
      <c r="O298" s="15" t="s">
        <v>293</v>
      </c>
      <c r="P298" s="15" t="s">
        <v>2075</v>
      </c>
      <c r="Q298" s="22">
        <f t="shared" si="14"/>
        <v>80040000</v>
      </c>
      <c r="R298" s="15">
        <v>43.52</v>
      </c>
      <c r="S298" s="16">
        <v>-19.47</v>
      </c>
      <c r="T298" s="15">
        <v>137031219</v>
      </c>
      <c r="U298" s="17">
        <v>45486</v>
      </c>
      <c r="V298" s="15" t="str">
        <f t="shared" si="12"/>
        <v>Complete</v>
      </c>
    </row>
    <row r="299" spans="1:22" ht="14.5" customHeight="1" x14ac:dyDescent="0.35">
      <c r="A299" s="18" t="s">
        <v>7116</v>
      </c>
      <c r="B299" s="18" t="s">
        <v>7117</v>
      </c>
      <c r="C299" s="18" t="s">
        <v>2076</v>
      </c>
      <c r="D299" s="18" t="s">
        <v>2077</v>
      </c>
      <c r="E299" s="18" t="s">
        <v>2</v>
      </c>
      <c r="F299" s="15" t="str">
        <f t="shared" si="13"/>
        <v>Female</v>
      </c>
      <c r="G299" s="18" t="s">
        <v>2078</v>
      </c>
      <c r="H299" s="18" t="s">
        <v>2079</v>
      </c>
      <c r="I299" s="18">
        <v>298</v>
      </c>
      <c r="J299" s="18">
        <v>298</v>
      </c>
      <c r="K299" s="18" t="s">
        <v>32</v>
      </c>
      <c r="L299" s="18" t="s">
        <v>2080</v>
      </c>
      <c r="M299" s="18" t="s">
        <v>2081</v>
      </c>
      <c r="N299" s="18" t="s">
        <v>8033</v>
      </c>
      <c r="O299" s="18" t="s">
        <v>8033</v>
      </c>
      <c r="P299" s="18" t="s">
        <v>8033</v>
      </c>
      <c r="Q299" s="22">
        <f t="shared" si="14"/>
        <v>0</v>
      </c>
      <c r="R299" s="18">
        <v>778.94</v>
      </c>
      <c r="S299" s="19">
        <v>-2.97</v>
      </c>
      <c r="T299" s="18">
        <v>39253055</v>
      </c>
      <c r="U299" s="20">
        <v>44189</v>
      </c>
      <c r="V299" s="18" t="str">
        <f t="shared" si="12"/>
        <v>Missing</v>
      </c>
    </row>
    <row r="300" spans="1:22" ht="14.5" customHeight="1" x14ac:dyDescent="0.35">
      <c r="A300" s="15" t="s">
        <v>7118</v>
      </c>
      <c r="B300" s="15" t="s">
        <v>7119</v>
      </c>
      <c r="C300" s="15" t="s">
        <v>2082</v>
      </c>
      <c r="D300" s="15" t="s">
        <v>2083</v>
      </c>
      <c r="E300" s="15" t="s">
        <v>13</v>
      </c>
      <c r="F300" s="15" t="str">
        <f t="shared" si="13"/>
        <v>Male</v>
      </c>
      <c r="G300" s="15" t="s">
        <v>2084</v>
      </c>
      <c r="H300" s="15" t="s">
        <v>2085</v>
      </c>
      <c r="I300" s="15">
        <v>299</v>
      </c>
      <c r="J300" s="15">
        <v>299</v>
      </c>
      <c r="K300" s="15" t="s">
        <v>32</v>
      </c>
      <c r="L300" s="15" t="s">
        <v>2086</v>
      </c>
      <c r="M300" s="15" t="s">
        <v>2087</v>
      </c>
      <c r="N300" s="15" t="s">
        <v>25</v>
      </c>
      <c r="O300" s="15" t="s">
        <v>684</v>
      </c>
      <c r="P300" s="15" t="s">
        <v>2088</v>
      </c>
      <c r="Q300" s="22">
        <f t="shared" si="14"/>
        <v>2610000000</v>
      </c>
      <c r="R300" s="15">
        <v>1502.15</v>
      </c>
      <c r="S300" s="16">
        <v>8.65</v>
      </c>
      <c r="T300" s="15">
        <v>183243233</v>
      </c>
      <c r="U300" s="17">
        <v>45942</v>
      </c>
      <c r="V300" s="15" t="str">
        <f t="shared" si="12"/>
        <v>Complete</v>
      </c>
    </row>
    <row r="301" spans="1:22" ht="14.5" customHeight="1" x14ac:dyDescent="0.35">
      <c r="A301" s="18" t="s">
        <v>7120</v>
      </c>
      <c r="B301" s="18" t="s">
        <v>7107</v>
      </c>
      <c r="C301" s="18" t="s">
        <v>2089</v>
      </c>
      <c r="D301" s="18" t="s">
        <v>2090</v>
      </c>
      <c r="E301" s="18" t="s">
        <v>2</v>
      </c>
      <c r="F301" s="15" t="str">
        <f t="shared" si="13"/>
        <v>Female</v>
      </c>
      <c r="G301" s="18" t="s">
        <v>2091</v>
      </c>
      <c r="H301" s="18" t="s">
        <v>2092</v>
      </c>
      <c r="I301" s="18">
        <v>300</v>
      </c>
      <c r="J301" s="18">
        <v>300</v>
      </c>
      <c r="K301" s="18" t="s">
        <v>32</v>
      </c>
      <c r="L301" s="18" t="s">
        <v>2093</v>
      </c>
      <c r="M301" s="18" t="s">
        <v>2094</v>
      </c>
      <c r="N301" s="18" t="s">
        <v>25</v>
      </c>
      <c r="O301" s="18" t="s">
        <v>613</v>
      </c>
      <c r="P301" s="18" t="s">
        <v>2095</v>
      </c>
      <c r="Q301" s="22">
        <f t="shared" si="14"/>
        <v>2150000000</v>
      </c>
      <c r="R301" s="18">
        <v>242.19</v>
      </c>
      <c r="S301" s="19">
        <v>12.81</v>
      </c>
      <c r="T301" s="18">
        <v>155927056</v>
      </c>
      <c r="U301" s="20">
        <v>44441</v>
      </c>
      <c r="V301" s="18" t="str">
        <f t="shared" si="12"/>
        <v>Complete</v>
      </c>
    </row>
    <row r="302" spans="1:22" ht="14.5" customHeight="1" x14ac:dyDescent="0.35">
      <c r="A302" s="15" t="s">
        <v>7121</v>
      </c>
      <c r="B302" s="15" t="s">
        <v>6605</v>
      </c>
      <c r="C302" s="15" t="s">
        <v>2096</v>
      </c>
      <c r="D302" s="15" t="s">
        <v>2097</v>
      </c>
      <c r="E302" s="15" t="s">
        <v>2</v>
      </c>
      <c r="F302" s="15" t="str">
        <f t="shared" si="13"/>
        <v>Female</v>
      </c>
      <c r="G302" s="15" t="s">
        <v>2098</v>
      </c>
      <c r="H302" s="15" t="s">
        <v>2099</v>
      </c>
      <c r="I302" s="15">
        <v>301</v>
      </c>
      <c r="J302" s="15">
        <v>301</v>
      </c>
      <c r="K302" s="15" t="s">
        <v>32</v>
      </c>
      <c r="L302" s="15" t="s">
        <v>2100</v>
      </c>
      <c r="M302" s="15" t="s">
        <v>2101</v>
      </c>
      <c r="N302" s="15" t="s">
        <v>8033</v>
      </c>
      <c r="O302" s="15" t="s">
        <v>8033</v>
      </c>
      <c r="P302" s="15" t="s">
        <v>8033</v>
      </c>
      <c r="Q302" s="22">
        <f t="shared" si="14"/>
        <v>0</v>
      </c>
      <c r="R302" s="15">
        <v>1175.18</v>
      </c>
      <c r="S302" s="16">
        <v>-11.49</v>
      </c>
      <c r="T302" s="15">
        <v>116531278</v>
      </c>
      <c r="U302" s="17">
        <v>45639</v>
      </c>
      <c r="V302" s="15" t="str">
        <f t="shared" si="12"/>
        <v>Missing</v>
      </c>
    </row>
    <row r="303" spans="1:22" ht="14.5" customHeight="1" x14ac:dyDescent="0.35">
      <c r="A303" s="18" t="s">
        <v>7122</v>
      </c>
      <c r="B303" s="18" t="s">
        <v>7123</v>
      </c>
      <c r="C303" s="18" t="s">
        <v>2102</v>
      </c>
      <c r="D303" s="18" t="s">
        <v>2103</v>
      </c>
      <c r="E303" s="18" t="s">
        <v>13</v>
      </c>
      <c r="F303" s="15" t="str">
        <f t="shared" si="13"/>
        <v>Male</v>
      </c>
      <c r="G303" s="18" t="s">
        <v>2104</v>
      </c>
      <c r="H303" s="18" t="s">
        <v>2105</v>
      </c>
      <c r="I303" s="18">
        <v>302</v>
      </c>
      <c r="J303" s="18">
        <v>302</v>
      </c>
      <c r="K303" s="18" t="s">
        <v>32</v>
      </c>
      <c r="L303" s="18" t="s">
        <v>2106</v>
      </c>
      <c r="M303" s="18" t="s">
        <v>2107</v>
      </c>
      <c r="N303" s="18" t="s">
        <v>48</v>
      </c>
      <c r="O303" s="18" t="s">
        <v>364</v>
      </c>
      <c r="P303" s="18" t="s">
        <v>8033</v>
      </c>
      <c r="Q303" s="22">
        <f t="shared" si="14"/>
        <v>0</v>
      </c>
      <c r="R303" s="18">
        <v>836.11</v>
      </c>
      <c r="S303" s="19">
        <v>11.92</v>
      </c>
      <c r="T303" s="18">
        <v>157573822</v>
      </c>
      <c r="U303" s="20">
        <v>44521</v>
      </c>
      <c r="V303" s="18" t="str">
        <f t="shared" si="12"/>
        <v>Missing</v>
      </c>
    </row>
    <row r="304" spans="1:22" ht="14.5" customHeight="1" x14ac:dyDescent="0.35">
      <c r="A304" s="15" t="s">
        <v>7124</v>
      </c>
      <c r="B304" s="15" t="s">
        <v>7125</v>
      </c>
      <c r="C304" s="15" t="s">
        <v>2108</v>
      </c>
      <c r="D304" s="15" t="s">
        <v>2109</v>
      </c>
      <c r="E304" s="15" t="s">
        <v>2</v>
      </c>
      <c r="F304" s="15" t="str">
        <f t="shared" si="13"/>
        <v>Female</v>
      </c>
      <c r="G304" s="15" t="s">
        <v>2110</v>
      </c>
      <c r="H304" s="15" t="s">
        <v>2111</v>
      </c>
      <c r="I304" s="15">
        <v>303</v>
      </c>
      <c r="J304" s="15">
        <v>303</v>
      </c>
      <c r="K304" s="15" t="s">
        <v>32</v>
      </c>
      <c r="L304" s="15" t="s">
        <v>2112</v>
      </c>
      <c r="M304" s="15" t="s">
        <v>2113</v>
      </c>
      <c r="N304" s="15" t="s">
        <v>90</v>
      </c>
      <c r="O304" s="15" t="s">
        <v>2114</v>
      </c>
      <c r="P304" s="15" t="s">
        <v>2115</v>
      </c>
      <c r="Q304" s="22">
        <f t="shared" si="14"/>
        <v>914420000</v>
      </c>
      <c r="R304" s="15">
        <v>1324.7</v>
      </c>
      <c r="S304" s="16">
        <v>-6.69</v>
      </c>
      <c r="T304" s="15">
        <v>10271607</v>
      </c>
      <c r="U304" s="17">
        <v>45437</v>
      </c>
      <c r="V304" s="15" t="str">
        <f t="shared" si="12"/>
        <v>Complete</v>
      </c>
    </row>
    <row r="305" spans="1:22" ht="14.5" customHeight="1" x14ac:dyDescent="0.35">
      <c r="A305" s="18" t="s">
        <v>7126</v>
      </c>
      <c r="B305" s="18" t="s">
        <v>6737</v>
      </c>
      <c r="C305" s="18" t="s">
        <v>856</v>
      </c>
      <c r="D305" s="18" t="s">
        <v>2116</v>
      </c>
      <c r="E305" s="18" t="s">
        <v>13</v>
      </c>
      <c r="F305" s="15" t="str">
        <f t="shared" si="13"/>
        <v>Male</v>
      </c>
      <c r="G305" s="18" t="s">
        <v>2117</v>
      </c>
      <c r="H305" s="18" t="s">
        <v>2118</v>
      </c>
      <c r="I305" s="18">
        <v>304</v>
      </c>
      <c r="J305" s="18">
        <v>304</v>
      </c>
      <c r="K305" s="18" t="s">
        <v>5</v>
      </c>
      <c r="L305" s="18" t="s">
        <v>2119</v>
      </c>
      <c r="M305" s="18" t="s">
        <v>2120</v>
      </c>
      <c r="N305" s="18" t="s">
        <v>48</v>
      </c>
      <c r="O305" s="18" t="s">
        <v>57</v>
      </c>
      <c r="P305" s="18" t="s">
        <v>2121</v>
      </c>
      <c r="Q305" s="22">
        <f t="shared" si="14"/>
        <v>2550000000</v>
      </c>
      <c r="R305" s="18">
        <v>1793.99</v>
      </c>
      <c r="S305" s="19">
        <v>16</v>
      </c>
      <c r="T305" s="18">
        <v>156317958</v>
      </c>
      <c r="U305" s="20">
        <v>45045</v>
      </c>
      <c r="V305" s="18" t="str">
        <f t="shared" si="12"/>
        <v>Complete</v>
      </c>
    </row>
    <row r="306" spans="1:22" ht="14.5" customHeight="1" x14ac:dyDescent="0.35">
      <c r="A306" s="15" t="s">
        <v>7127</v>
      </c>
      <c r="B306" s="15" t="s">
        <v>7128</v>
      </c>
      <c r="C306" s="15" t="s">
        <v>2122</v>
      </c>
      <c r="D306" s="15" t="s">
        <v>2123</v>
      </c>
      <c r="E306" s="15" t="s">
        <v>13</v>
      </c>
      <c r="F306" s="15" t="str">
        <f t="shared" si="13"/>
        <v>Male</v>
      </c>
      <c r="G306" s="15" t="s">
        <v>2124</v>
      </c>
      <c r="H306" s="15" t="s">
        <v>2125</v>
      </c>
      <c r="I306" s="15">
        <v>305</v>
      </c>
      <c r="J306" s="15">
        <v>305</v>
      </c>
      <c r="K306" s="15" t="s">
        <v>32</v>
      </c>
      <c r="L306" s="15" t="s">
        <v>2126</v>
      </c>
      <c r="M306" s="15" t="s">
        <v>2127</v>
      </c>
      <c r="N306" s="15" t="s">
        <v>8033</v>
      </c>
      <c r="O306" s="15" t="s">
        <v>8033</v>
      </c>
      <c r="P306" s="15" t="s">
        <v>2128</v>
      </c>
      <c r="Q306" s="22">
        <f t="shared" si="14"/>
        <v>285580000</v>
      </c>
      <c r="R306" s="15">
        <v>1455.1</v>
      </c>
      <c r="S306" s="16">
        <v>16.8</v>
      </c>
      <c r="T306" s="15">
        <v>133703697</v>
      </c>
      <c r="U306" s="17">
        <v>44348</v>
      </c>
      <c r="V306" s="15" t="str">
        <f t="shared" si="12"/>
        <v>Missing</v>
      </c>
    </row>
    <row r="307" spans="1:22" ht="14.5" customHeight="1" x14ac:dyDescent="0.35">
      <c r="A307" s="18" t="s">
        <v>7129</v>
      </c>
      <c r="B307" s="18" t="s">
        <v>6780</v>
      </c>
      <c r="C307" s="18" t="s">
        <v>2129</v>
      </c>
      <c r="D307" s="18" t="s">
        <v>2130</v>
      </c>
      <c r="E307" s="18" t="s">
        <v>2</v>
      </c>
      <c r="F307" s="15" t="str">
        <f t="shared" si="13"/>
        <v>Female</v>
      </c>
      <c r="G307" s="18" t="s">
        <v>2131</v>
      </c>
      <c r="H307" s="18" t="s">
        <v>2132</v>
      </c>
      <c r="I307" s="18">
        <v>306</v>
      </c>
      <c r="J307" s="18">
        <v>306</v>
      </c>
      <c r="K307" s="18" t="s">
        <v>5</v>
      </c>
      <c r="L307" s="18" t="s">
        <v>2133</v>
      </c>
      <c r="M307" s="18" t="s">
        <v>2134</v>
      </c>
      <c r="N307" s="18" t="s">
        <v>90</v>
      </c>
      <c r="O307" s="18" t="s">
        <v>562</v>
      </c>
      <c r="P307" s="18" t="s">
        <v>8033</v>
      </c>
      <c r="Q307" s="22">
        <f t="shared" si="14"/>
        <v>0</v>
      </c>
      <c r="R307" s="18">
        <v>969.53</v>
      </c>
      <c r="S307" s="19">
        <v>-8.6199999999999992</v>
      </c>
      <c r="T307" s="18">
        <v>154837284</v>
      </c>
      <c r="U307" s="20">
        <v>46042</v>
      </c>
      <c r="V307" s="18" t="str">
        <f t="shared" si="12"/>
        <v>Missing</v>
      </c>
    </row>
    <row r="308" spans="1:22" ht="14.5" customHeight="1" x14ac:dyDescent="0.35">
      <c r="A308" s="15" t="s">
        <v>7130</v>
      </c>
      <c r="B308" s="15" t="s">
        <v>6719</v>
      </c>
      <c r="C308" s="15" t="s">
        <v>2135</v>
      </c>
      <c r="D308" s="15" t="s">
        <v>2136</v>
      </c>
      <c r="E308" s="15" t="s">
        <v>2</v>
      </c>
      <c r="F308" s="15" t="str">
        <f t="shared" si="13"/>
        <v>Female</v>
      </c>
      <c r="G308" s="15" t="s">
        <v>2137</v>
      </c>
      <c r="H308" s="15" t="s">
        <v>2138</v>
      </c>
      <c r="I308" s="15">
        <v>307</v>
      </c>
      <c r="J308" s="15">
        <v>307</v>
      </c>
      <c r="K308" s="15" t="s">
        <v>5</v>
      </c>
      <c r="L308" s="15" t="s">
        <v>2139</v>
      </c>
      <c r="M308" s="15" t="s">
        <v>2140</v>
      </c>
      <c r="N308" s="15" t="s">
        <v>90</v>
      </c>
      <c r="O308" s="15" t="s">
        <v>2141</v>
      </c>
      <c r="P308" s="15" t="s">
        <v>2142</v>
      </c>
      <c r="Q308" s="22">
        <f t="shared" si="14"/>
        <v>320190000</v>
      </c>
      <c r="R308" s="15">
        <v>1315.06</v>
      </c>
      <c r="S308" s="16">
        <v>-18.010000000000002</v>
      </c>
      <c r="T308" s="15">
        <v>148004942</v>
      </c>
      <c r="U308" s="17">
        <v>45777</v>
      </c>
      <c r="V308" s="15" t="str">
        <f t="shared" si="12"/>
        <v>Complete</v>
      </c>
    </row>
    <row r="309" spans="1:22" ht="14.5" customHeight="1" x14ac:dyDescent="0.35">
      <c r="A309" s="18" t="s">
        <v>7131</v>
      </c>
      <c r="B309" s="18" t="s">
        <v>7132</v>
      </c>
      <c r="C309" s="18" t="s">
        <v>2143</v>
      </c>
      <c r="D309" s="18" t="s">
        <v>2144</v>
      </c>
      <c r="E309" s="18" t="s">
        <v>13</v>
      </c>
      <c r="F309" s="15" t="str">
        <f t="shared" si="13"/>
        <v>Male</v>
      </c>
      <c r="G309" s="18" t="s">
        <v>2145</v>
      </c>
      <c r="H309" s="18" t="s">
        <v>2146</v>
      </c>
      <c r="I309" s="18">
        <v>308</v>
      </c>
      <c r="J309" s="18">
        <v>308</v>
      </c>
      <c r="K309" s="18" t="s">
        <v>5</v>
      </c>
      <c r="L309" s="18" t="s">
        <v>2147</v>
      </c>
      <c r="M309" s="18" t="s">
        <v>2148</v>
      </c>
      <c r="N309" s="18" t="s">
        <v>66</v>
      </c>
      <c r="O309" s="18" t="s">
        <v>422</v>
      </c>
      <c r="P309" s="18" t="s">
        <v>2149</v>
      </c>
      <c r="Q309" s="22">
        <f t="shared" si="14"/>
        <v>8710000000</v>
      </c>
      <c r="R309" s="18">
        <v>1259.07</v>
      </c>
      <c r="S309" s="19">
        <v>17.420000000000002</v>
      </c>
      <c r="T309" s="18">
        <v>16179325</v>
      </c>
      <c r="U309" s="20">
        <v>45881</v>
      </c>
      <c r="V309" s="18" t="str">
        <f t="shared" si="12"/>
        <v>Complete</v>
      </c>
    </row>
    <row r="310" spans="1:22" ht="14.5" customHeight="1" x14ac:dyDescent="0.35">
      <c r="A310" s="15" t="s">
        <v>7133</v>
      </c>
      <c r="B310" s="15" t="s">
        <v>7134</v>
      </c>
      <c r="C310" s="15" t="s">
        <v>2150</v>
      </c>
      <c r="D310" s="15" t="s">
        <v>2151</v>
      </c>
      <c r="E310" s="15" t="s">
        <v>13</v>
      </c>
      <c r="F310" s="15" t="str">
        <f t="shared" si="13"/>
        <v>Male</v>
      </c>
      <c r="G310" s="15" t="s">
        <v>2152</v>
      </c>
      <c r="H310" s="15" t="s">
        <v>2153</v>
      </c>
      <c r="I310" s="15">
        <v>309</v>
      </c>
      <c r="J310" s="15">
        <v>309</v>
      </c>
      <c r="K310" s="15" t="s">
        <v>5</v>
      </c>
      <c r="L310" s="15" t="s">
        <v>2154</v>
      </c>
      <c r="M310" s="15" t="s">
        <v>2155</v>
      </c>
      <c r="N310" s="15" t="s">
        <v>323</v>
      </c>
      <c r="O310" s="15" t="s">
        <v>135</v>
      </c>
      <c r="P310" s="15" t="s">
        <v>8033</v>
      </c>
      <c r="Q310" s="22">
        <f t="shared" si="14"/>
        <v>0</v>
      </c>
      <c r="R310" s="15">
        <v>163.04</v>
      </c>
      <c r="S310" s="16">
        <v>12.47</v>
      </c>
      <c r="T310" s="15">
        <v>11917724</v>
      </c>
      <c r="U310" s="17">
        <v>44434</v>
      </c>
      <c r="V310" s="15" t="str">
        <f t="shared" si="12"/>
        <v>Missing</v>
      </c>
    </row>
    <row r="311" spans="1:22" ht="14.5" customHeight="1" x14ac:dyDescent="0.35">
      <c r="A311" s="18" t="s">
        <v>7135</v>
      </c>
      <c r="B311" s="18" t="s">
        <v>6708</v>
      </c>
      <c r="C311" s="18" t="s">
        <v>2156</v>
      </c>
      <c r="D311" s="18" t="s">
        <v>2157</v>
      </c>
      <c r="E311" s="18" t="s">
        <v>13</v>
      </c>
      <c r="F311" s="15" t="str">
        <f t="shared" si="13"/>
        <v>Male</v>
      </c>
      <c r="G311" s="18" t="s">
        <v>2158</v>
      </c>
      <c r="H311" s="18" t="s">
        <v>2159</v>
      </c>
      <c r="I311" s="18">
        <v>310</v>
      </c>
      <c r="J311" s="18">
        <v>310</v>
      </c>
      <c r="K311" s="18" t="s">
        <v>5</v>
      </c>
      <c r="L311" s="18" t="s">
        <v>2160</v>
      </c>
      <c r="M311" s="18" t="s">
        <v>2161</v>
      </c>
      <c r="N311" s="18" t="s">
        <v>8</v>
      </c>
      <c r="O311" s="18" t="s">
        <v>9</v>
      </c>
      <c r="P311" s="18" t="s">
        <v>2162</v>
      </c>
      <c r="Q311" s="22">
        <f t="shared" si="14"/>
        <v>56290000</v>
      </c>
      <c r="R311" s="18">
        <v>1829.84</v>
      </c>
      <c r="S311" s="19">
        <v>16.079999999999998</v>
      </c>
      <c r="T311" s="18">
        <v>39665531</v>
      </c>
      <c r="U311" s="20">
        <v>45254</v>
      </c>
      <c r="V311" s="18" t="str">
        <f t="shared" si="12"/>
        <v>Complete</v>
      </c>
    </row>
    <row r="312" spans="1:22" ht="14.5" customHeight="1" x14ac:dyDescent="0.35">
      <c r="A312" s="15" t="s">
        <v>7136</v>
      </c>
      <c r="B312" s="15" t="s">
        <v>7029</v>
      </c>
      <c r="C312" s="15" t="s">
        <v>2163</v>
      </c>
      <c r="D312" s="15" t="s">
        <v>2164</v>
      </c>
      <c r="E312" s="15" t="s">
        <v>13</v>
      </c>
      <c r="F312" s="15" t="str">
        <f t="shared" si="13"/>
        <v>Male</v>
      </c>
      <c r="G312" s="15" t="s">
        <v>2165</v>
      </c>
      <c r="H312" s="15" t="s">
        <v>2166</v>
      </c>
      <c r="I312" s="15">
        <v>311</v>
      </c>
      <c r="J312" s="15">
        <v>311</v>
      </c>
      <c r="K312" s="15" t="s">
        <v>5</v>
      </c>
      <c r="L312" s="15" t="s">
        <v>2167</v>
      </c>
      <c r="M312" s="15" t="s">
        <v>2168</v>
      </c>
      <c r="N312" s="15" t="s">
        <v>8</v>
      </c>
      <c r="O312" s="15" t="s">
        <v>840</v>
      </c>
      <c r="P312" s="15" t="s">
        <v>2169</v>
      </c>
      <c r="Q312" s="22">
        <f t="shared" si="14"/>
        <v>4170000000</v>
      </c>
      <c r="R312" s="15">
        <v>4.79</v>
      </c>
      <c r="S312" s="16">
        <v>8.24</v>
      </c>
      <c r="T312" s="15">
        <v>129516827</v>
      </c>
      <c r="U312" s="17">
        <v>46304</v>
      </c>
      <c r="V312" s="15" t="str">
        <f t="shared" si="12"/>
        <v>Complete</v>
      </c>
    </row>
    <row r="313" spans="1:22" ht="14.5" customHeight="1" x14ac:dyDescent="0.35">
      <c r="A313" s="18" t="s">
        <v>7137</v>
      </c>
      <c r="B313" s="18" t="s">
        <v>6733</v>
      </c>
      <c r="C313" s="18" t="s">
        <v>2170</v>
      </c>
      <c r="D313" s="18" t="s">
        <v>2171</v>
      </c>
      <c r="E313" s="18" t="s">
        <v>13</v>
      </c>
      <c r="F313" s="15" t="str">
        <f t="shared" si="13"/>
        <v>Male</v>
      </c>
      <c r="G313" s="18" t="s">
        <v>2172</v>
      </c>
      <c r="H313" s="18" t="s">
        <v>2173</v>
      </c>
      <c r="I313" s="18">
        <v>312</v>
      </c>
      <c r="J313" s="18">
        <v>312</v>
      </c>
      <c r="K313" s="18" t="s">
        <v>32</v>
      </c>
      <c r="L313" s="18" t="s">
        <v>2174</v>
      </c>
      <c r="M313" s="18" t="s">
        <v>2175</v>
      </c>
      <c r="N313" s="18" t="s">
        <v>134</v>
      </c>
      <c r="O313" s="18" t="s">
        <v>2176</v>
      </c>
      <c r="P313" s="18" t="s">
        <v>2177</v>
      </c>
      <c r="Q313" s="22">
        <f t="shared" si="14"/>
        <v>4320000000</v>
      </c>
      <c r="R313" s="18">
        <v>1632.03</v>
      </c>
      <c r="S313" s="19">
        <v>-19.86</v>
      </c>
      <c r="T313" s="18">
        <v>194272572</v>
      </c>
      <c r="U313" s="20">
        <v>43972</v>
      </c>
      <c r="V313" s="18" t="str">
        <f t="shared" si="12"/>
        <v>Complete</v>
      </c>
    </row>
    <row r="314" spans="1:22" ht="14.5" customHeight="1" x14ac:dyDescent="0.35">
      <c r="A314" s="15" t="s">
        <v>7138</v>
      </c>
      <c r="B314" s="15" t="s">
        <v>6947</v>
      </c>
      <c r="C314" s="15" t="s">
        <v>2178</v>
      </c>
      <c r="D314" s="15" t="s">
        <v>2179</v>
      </c>
      <c r="E314" s="15" t="s">
        <v>2</v>
      </c>
      <c r="F314" s="15" t="str">
        <f t="shared" si="13"/>
        <v>Female</v>
      </c>
      <c r="G314" s="15" t="s">
        <v>2180</v>
      </c>
      <c r="H314" s="15" t="s">
        <v>2181</v>
      </c>
      <c r="I314" s="15">
        <v>313</v>
      </c>
      <c r="J314" s="15">
        <v>313</v>
      </c>
      <c r="K314" s="15" t="s">
        <v>5</v>
      </c>
      <c r="L314" s="15" t="s">
        <v>2182</v>
      </c>
      <c r="M314" s="15" t="s">
        <v>2183</v>
      </c>
      <c r="N314" s="15" t="s">
        <v>48</v>
      </c>
      <c r="O314" s="15" t="s">
        <v>118</v>
      </c>
      <c r="P314" s="15" t="s">
        <v>8033</v>
      </c>
      <c r="Q314" s="22">
        <f t="shared" si="14"/>
        <v>0</v>
      </c>
      <c r="R314" s="15">
        <v>1108.6099999999999</v>
      </c>
      <c r="S314" s="16">
        <v>9.08</v>
      </c>
      <c r="T314" s="15">
        <v>12124246</v>
      </c>
      <c r="U314" s="17">
        <v>46092</v>
      </c>
      <c r="V314" s="15" t="str">
        <f t="shared" si="12"/>
        <v>Missing</v>
      </c>
    </row>
    <row r="315" spans="1:22" ht="14.5" customHeight="1" x14ac:dyDescent="0.35">
      <c r="A315" s="18" t="s">
        <v>7139</v>
      </c>
      <c r="B315" s="18" t="s">
        <v>7044</v>
      </c>
      <c r="C315" s="18" t="s">
        <v>2184</v>
      </c>
      <c r="D315" s="18" t="s">
        <v>2185</v>
      </c>
      <c r="E315" s="18" t="s">
        <v>208</v>
      </c>
      <c r="F315" s="15" t="str">
        <f t="shared" si="13"/>
        <v>Other</v>
      </c>
      <c r="G315" s="18" t="s">
        <v>2186</v>
      </c>
      <c r="H315" s="18" t="s">
        <v>2187</v>
      </c>
      <c r="I315" s="18">
        <v>314</v>
      </c>
      <c r="J315" s="18">
        <v>314</v>
      </c>
      <c r="K315" s="18" t="s">
        <v>32</v>
      </c>
      <c r="L315" s="18" t="s">
        <v>2188</v>
      </c>
      <c r="M315" s="18" t="s">
        <v>2189</v>
      </c>
      <c r="N315" s="18" t="s">
        <v>134</v>
      </c>
      <c r="O315" s="18" t="s">
        <v>173</v>
      </c>
      <c r="P315" s="18" t="s">
        <v>198</v>
      </c>
      <c r="Q315" s="22">
        <f t="shared" si="14"/>
        <v>6280000000</v>
      </c>
      <c r="R315" s="18">
        <v>1173.24</v>
      </c>
      <c r="S315" s="19">
        <v>18.87</v>
      </c>
      <c r="T315" s="18">
        <v>94993907</v>
      </c>
      <c r="U315" s="20">
        <v>44428</v>
      </c>
      <c r="V315" s="18" t="str">
        <f t="shared" si="12"/>
        <v>Complete</v>
      </c>
    </row>
    <row r="316" spans="1:22" ht="14.5" customHeight="1" x14ac:dyDescent="0.35">
      <c r="A316" s="15" t="s">
        <v>7140</v>
      </c>
      <c r="B316" s="15" t="s">
        <v>7141</v>
      </c>
      <c r="C316" s="15" t="s">
        <v>2190</v>
      </c>
      <c r="D316" s="15" t="s">
        <v>2191</v>
      </c>
      <c r="E316" s="15" t="s">
        <v>2</v>
      </c>
      <c r="F316" s="15" t="str">
        <f t="shared" si="13"/>
        <v>Female</v>
      </c>
      <c r="G316" s="15" t="s">
        <v>2192</v>
      </c>
      <c r="H316" s="15" t="s">
        <v>2193</v>
      </c>
      <c r="I316" s="15">
        <v>315</v>
      </c>
      <c r="J316" s="15">
        <v>315</v>
      </c>
      <c r="K316" s="15" t="s">
        <v>5</v>
      </c>
      <c r="L316" s="15" t="s">
        <v>2194</v>
      </c>
      <c r="M316" s="15" t="s">
        <v>2195</v>
      </c>
      <c r="N316" s="15" t="s">
        <v>48</v>
      </c>
      <c r="O316" s="15" t="s">
        <v>204</v>
      </c>
      <c r="P316" s="15" t="s">
        <v>2196</v>
      </c>
      <c r="Q316" s="22">
        <f t="shared" si="14"/>
        <v>12810000</v>
      </c>
      <c r="R316" s="15">
        <v>746.69</v>
      </c>
      <c r="S316" s="16">
        <v>10.81</v>
      </c>
      <c r="T316" s="15">
        <v>139513839</v>
      </c>
      <c r="U316" s="17">
        <v>45574</v>
      </c>
      <c r="V316" s="15" t="str">
        <f t="shared" si="12"/>
        <v>Complete</v>
      </c>
    </row>
    <row r="317" spans="1:22" ht="14.5" customHeight="1" x14ac:dyDescent="0.35">
      <c r="A317" s="18" t="s">
        <v>7142</v>
      </c>
      <c r="B317" s="18" t="s">
        <v>7143</v>
      </c>
      <c r="C317" s="18" t="s">
        <v>2197</v>
      </c>
      <c r="D317" s="18" t="s">
        <v>2198</v>
      </c>
      <c r="E317" s="18" t="s">
        <v>13</v>
      </c>
      <c r="F317" s="15" t="str">
        <f t="shared" si="13"/>
        <v>Male</v>
      </c>
      <c r="G317" s="18" t="s">
        <v>2199</v>
      </c>
      <c r="H317" s="18" t="s">
        <v>2200</v>
      </c>
      <c r="I317" s="18">
        <v>316</v>
      </c>
      <c r="J317" s="18">
        <v>316</v>
      </c>
      <c r="K317" s="18" t="s">
        <v>32</v>
      </c>
      <c r="L317" s="18" t="s">
        <v>2201</v>
      </c>
      <c r="M317" s="18" t="s">
        <v>2202</v>
      </c>
      <c r="N317" s="18" t="s">
        <v>99</v>
      </c>
      <c r="O317" s="18" t="s">
        <v>100</v>
      </c>
      <c r="P317" s="18" t="s">
        <v>2203</v>
      </c>
      <c r="Q317" s="22">
        <f t="shared" si="14"/>
        <v>1650000000</v>
      </c>
      <c r="R317" s="18">
        <v>59.78</v>
      </c>
      <c r="S317" s="19">
        <v>2.65</v>
      </c>
      <c r="T317" s="18">
        <v>119188670</v>
      </c>
      <c r="U317" s="20">
        <v>43920</v>
      </c>
      <c r="V317" s="18" t="str">
        <f t="shared" si="12"/>
        <v>Complete</v>
      </c>
    </row>
    <row r="318" spans="1:22" ht="14.5" customHeight="1" x14ac:dyDescent="0.35">
      <c r="A318" s="15" t="s">
        <v>7144</v>
      </c>
      <c r="B318" s="15" t="s">
        <v>6912</v>
      </c>
      <c r="C318" s="15" t="s">
        <v>2204</v>
      </c>
      <c r="D318" s="15" t="s">
        <v>2205</v>
      </c>
      <c r="E318" s="15" t="s">
        <v>13</v>
      </c>
      <c r="F318" s="15" t="str">
        <f t="shared" si="13"/>
        <v>Male</v>
      </c>
      <c r="G318" s="15" t="s">
        <v>2206</v>
      </c>
      <c r="H318" s="15" t="s">
        <v>2207</v>
      </c>
      <c r="I318" s="15">
        <v>317</v>
      </c>
      <c r="J318" s="15">
        <v>317</v>
      </c>
      <c r="K318" s="15" t="s">
        <v>5</v>
      </c>
      <c r="L318" s="15" t="s">
        <v>2208</v>
      </c>
      <c r="M318" s="15" t="s">
        <v>2209</v>
      </c>
      <c r="N318" s="15" t="s">
        <v>189</v>
      </c>
      <c r="O318" s="15" t="s">
        <v>1269</v>
      </c>
      <c r="P318" s="15" t="s">
        <v>101</v>
      </c>
      <c r="Q318" s="22">
        <f t="shared" si="14"/>
        <v>1100000000</v>
      </c>
      <c r="R318" s="15">
        <v>1564.82</v>
      </c>
      <c r="S318" s="16">
        <v>-9.14</v>
      </c>
      <c r="T318" s="15">
        <v>163972100</v>
      </c>
      <c r="U318" s="17">
        <v>45717</v>
      </c>
      <c r="V318" s="15" t="str">
        <f t="shared" si="12"/>
        <v>Complete</v>
      </c>
    </row>
    <row r="319" spans="1:22" ht="14.5" customHeight="1" x14ac:dyDescent="0.35">
      <c r="A319" s="18" t="s">
        <v>7145</v>
      </c>
      <c r="B319" s="18" t="s">
        <v>7146</v>
      </c>
      <c r="C319" s="18" t="s">
        <v>2210</v>
      </c>
      <c r="D319" s="18" t="s">
        <v>2211</v>
      </c>
      <c r="E319" s="18" t="s">
        <v>13</v>
      </c>
      <c r="F319" s="15" t="str">
        <f t="shared" si="13"/>
        <v>Male</v>
      </c>
      <c r="G319" s="18" t="s">
        <v>2212</v>
      </c>
      <c r="H319" s="18" t="s">
        <v>2213</v>
      </c>
      <c r="I319" s="18">
        <v>318</v>
      </c>
      <c r="J319" s="18">
        <v>318</v>
      </c>
      <c r="K319" s="18" t="s">
        <v>32</v>
      </c>
      <c r="L319" s="18" t="s">
        <v>2214</v>
      </c>
      <c r="M319" s="18" t="s">
        <v>2215</v>
      </c>
      <c r="N319" s="18" t="s">
        <v>8033</v>
      </c>
      <c r="O319" s="18" t="s">
        <v>8033</v>
      </c>
      <c r="P319" s="18" t="s">
        <v>2216</v>
      </c>
      <c r="Q319" s="22">
        <f t="shared" si="14"/>
        <v>271310000</v>
      </c>
      <c r="R319" s="18">
        <v>680.86</v>
      </c>
      <c r="S319" s="19">
        <v>13.77</v>
      </c>
      <c r="T319" s="18">
        <v>119444592</v>
      </c>
      <c r="U319" s="20">
        <v>44125</v>
      </c>
      <c r="V319" s="18" t="str">
        <f t="shared" si="12"/>
        <v>Missing</v>
      </c>
    </row>
    <row r="320" spans="1:22" ht="14.5" customHeight="1" x14ac:dyDescent="0.35">
      <c r="A320" s="15" t="s">
        <v>7147</v>
      </c>
      <c r="B320" s="15" t="s">
        <v>7148</v>
      </c>
      <c r="C320" s="15" t="s">
        <v>2217</v>
      </c>
      <c r="D320" s="15" t="s">
        <v>2218</v>
      </c>
      <c r="E320" s="15" t="s">
        <v>13</v>
      </c>
      <c r="F320" s="15" t="str">
        <f t="shared" si="13"/>
        <v>Male</v>
      </c>
      <c r="G320" s="15" t="s">
        <v>2219</v>
      </c>
      <c r="H320" s="15" t="s">
        <v>2220</v>
      </c>
      <c r="I320" s="15">
        <v>319</v>
      </c>
      <c r="J320" s="15">
        <v>319</v>
      </c>
      <c r="K320" s="15" t="s">
        <v>32</v>
      </c>
      <c r="L320" s="15" t="s">
        <v>2221</v>
      </c>
      <c r="M320" s="15" t="s">
        <v>2222</v>
      </c>
      <c r="N320" s="15" t="s">
        <v>90</v>
      </c>
      <c r="O320" s="15" t="s">
        <v>2223</v>
      </c>
      <c r="P320" s="15" t="s">
        <v>2224</v>
      </c>
      <c r="Q320" s="22">
        <f t="shared" si="14"/>
        <v>3600000000</v>
      </c>
      <c r="R320" s="15">
        <v>1990.33</v>
      </c>
      <c r="S320" s="16">
        <v>-11.7</v>
      </c>
      <c r="T320" s="15">
        <v>89835457</v>
      </c>
      <c r="U320" s="17">
        <v>45499</v>
      </c>
      <c r="V320" s="15" t="str">
        <f t="shared" si="12"/>
        <v>Complete</v>
      </c>
    </row>
    <row r="321" spans="1:22" ht="14.5" customHeight="1" x14ac:dyDescent="0.35">
      <c r="A321" s="18" t="s">
        <v>7149</v>
      </c>
      <c r="B321" s="18" t="s">
        <v>7090</v>
      </c>
      <c r="C321" s="18" t="s">
        <v>2225</v>
      </c>
      <c r="D321" s="18" t="s">
        <v>2226</v>
      </c>
      <c r="E321" s="18" t="s">
        <v>13</v>
      </c>
      <c r="F321" s="15" t="str">
        <f t="shared" si="13"/>
        <v>Male</v>
      </c>
      <c r="G321" s="18" t="s">
        <v>2227</v>
      </c>
      <c r="H321" s="18" t="s">
        <v>2228</v>
      </c>
      <c r="I321" s="18">
        <v>320</v>
      </c>
      <c r="J321" s="18">
        <v>320</v>
      </c>
      <c r="K321" s="18" t="s">
        <v>32</v>
      </c>
      <c r="L321" s="18" t="s">
        <v>2229</v>
      </c>
      <c r="M321" s="18" t="s">
        <v>2230</v>
      </c>
      <c r="N321" s="18" t="s">
        <v>134</v>
      </c>
      <c r="O321" s="18" t="s">
        <v>135</v>
      </c>
      <c r="P321" s="18" t="s">
        <v>8033</v>
      </c>
      <c r="Q321" s="22">
        <f t="shared" si="14"/>
        <v>0</v>
      </c>
      <c r="R321" s="18">
        <v>1152.96</v>
      </c>
      <c r="S321" s="19">
        <v>5.3</v>
      </c>
      <c r="T321" s="18">
        <v>183700921</v>
      </c>
      <c r="U321" s="20">
        <v>45493</v>
      </c>
      <c r="V321" s="18" t="str">
        <f t="shared" si="12"/>
        <v>Missing</v>
      </c>
    </row>
    <row r="322" spans="1:22" ht="14.5" customHeight="1" x14ac:dyDescent="0.35">
      <c r="A322" s="15" t="s">
        <v>7150</v>
      </c>
      <c r="B322" s="15" t="s">
        <v>6990</v>
      </c>
      <c r="C322" s="15" t="s">
        <v>2231</v>
      </c>
      <c r="D322" s="15" t="s">
        <v>2232</v>
      </c>
      <c r="E322" s="15" t="s">
        <v>2</v>
      </c>
      <c r="F322" s="15" t="str">
        <f t="shared" si="13"/>
        <v>Female</v>
      </c>
      <c r="G322" s="15" t="s">
        <v>2233</v>
      </c>
      <c r="H322" s="15" t="s">
        <v>2234</v>
      </c>
      <c r="I322" s="15">
        <v>321</v>
      </c>
      <c r="J322" s="15">
        <v>321</v>
      </c>
      <c r="K322" s="15" t="s">
        <v>5</v>
      </c>
      <c r="L322" s="15" t="s">
        <v>2235</v>
      </c>
      <c r="M322" s="15" t="s">
        <v>2236</v>
      </c>
      <c r="N322" s="15" t="s">
        <v>66</v>
      </c>
      <c r="O322" s="15" t="s">
        <v>422</v>
      </c>
      <c r="P322" s="15" t="s">
        <v>2237</v>
      </c>
      <c r="Q322" s="22">
        <f t="shared" si="14"/>
        <v>513830000.00000006</v>
      </c>
      <c r="R322" s="15">
        <v>1667.56</v>
      </c>
      <c r="S322" s="16">
        <v>-18.100000000000001</v>
      </c>
      <c r="T322" s="15">
        <v>17284662</v>
      </c>
      <c r="U322" s="17">
        <v>44248</v>
      </c>
      <c r="V322" s="15" t="str">
        <f t="shared" ref="V322:V385" si="15">IF(OR(N:N="n/a", O:O="n/a", P:P="n/a"), "Missing", "Complete")</f>
        <v>Complete</v>
      </c>
    </row>
    <row r="323" spans="1:22" ht="14.5" customHeight="1" x14ac:dyDescent="0.35">
      <c r="A323" s="18" t="s">
        <v>7151</v>
      </c>
      <c r="B323" s="18" t="s">
        <v>7152</v>
      </c>
      <c r="C323" s="18" t="s">
        <v>2238</v>
      </c>
      <c r="D323" s="18" t="s">
        <v>2239</v>
      </c>
      <c r="E323" s="18" t="s">
        <v>13</v>
      </c>
      <c r="F323" s="15" t="str">
        <f t="shared" ref="F323:F386" si="16">IF(OR(E323="female", E323="male"), PROPER(E323), "Other")</f>
        <v>Male</v>
      </c>
      <c r="G323" s="18" t="s">
        <v>2240</v>
      </c>
      <c r="H323" s="18" t="s">
        <v>2241</v>
      </c>
      <c r="I323" s="18">
        <v>322</v>
      </c>
      <c r="J323" s="18">
        <v>322</v>
      </c>
      <c r="K323" s="18" t="s">
        <v>32</v>
      </c>
      <c r="L323" s="18" t="s">
        <v>2242</v>
      </c>
      <c r="M323" s="18" t="s">
        <v>2243</v>
      </c>
      <c r="N323" s="18" t="s">
        <v>134</v>
      </c>
      <c r="O323" s="18" t="s">
        <v>143</v>
      </c>
      <c r="P323" s="18" t="s">
        <v>2244</v>
      </c>
      <c r="Q323" s="22">
        <f t="shared" ref="Q323:Q386" si="17">IF(P323="n/a", 0, IF(RIGHT(P323, 1)="B", VALUE(MID(P323, 2, LEN(P323)-2)*1000000000), VALUE(MID(P323, 2, LEN(P323)-2)*1000000)))</f>
        <v>1230000000</v>
      </c>
      <c r="R323" s="18">
        <v>693.37</v>
      </c>
      <c r="S323" s="19">
        <v>-10.64</v>
      </c>
      <c r="T323" s="18">
        <v>69441453</v>
      </c>
      <c r="U323" s="20">
        <v>44691</v>
      </c>
      <c r="V323" s="18" t="str">
        <f t="shared" si="15"/>
        <v>Complete</v>
      </c>
    </row>
    <row r="324" spans="1:22" ht="14.5" customHeight="1" x14ac:dyDescent="0.35">
      <c r="A324" s="15" t="s">
        <v>7153</v>
      </c>
      <c r="B324" s="15" t="s">
        <v>7154</v>
      </c>
      <c r="C324" s="15" t="s">
        <v>2245</v>
      </c>
      <c r="D324" s="15" t="s">
        <v>2246</v>
      </c>
      <c r="E324" s="15" t="s">
        <v>13</v>
      </c>
      <c r="F324" s="15" t="str">
        <f t="shared" si="16"/>
        <v>Male</v>
      </c>
      <c r="G324" s="15" t="s">
        <v>2247</v>
      </c>
      <c r="H324" s="15" t="s">
        <v>2248</v>
      </c>
      <c r="I324" s="15">
        <v>323</v>
      </c>
      <c r="J324" s="15">
        <v>323</v>
      </c>
      <c r="K324" s="15" t="s">
        <v>5</v>
      </c>
      <c r="L324" s="15" t="s">
        <v>1402</v>
      </c>
      <c r="M324" s="15" t="s">
        <v>1403</v>
      </c>
      <c r="N324" s="15" t="s">
        <v>48</v>
      </c>
      <c r="O324" s="15" t="s">
        <v>57</v>
      </c>
      <c r="P324" s="15" t="s">
        <v>1404</v>
      </c>
      <c r="Q324" s="22">
        <f t="shared" si="17"/>
        <v>53700000</v>
      </c>
      <c r="R324" s="15">
        <v>217.03</v>
      </c>
      <c r="S324" s="16">
        <v>-8.9600000000000009</v>
      </c>
      <c r="T324" s="15">
        <v>173718796</v>
      </c>
      <c r="U324" s="17">
        <v>44326</v>
      </c>
      <c r="V324" s="15" t="str">
        <f t="shared" si="15"/>
        <v>Complete</v>
      </c>
    </row>
    <row r="325" spans="1:22" ht="14.5" customHeight="1" x14ac:dyDescent="0.35">
      <c r="A325" s="18" t="s">
        <v>7155</v>
      </c>
      <c r="B325" s="18" t="s">
        <v>7156</v>
      </c>
      <c r="C325" s="18" t="s">
        <v>2249</v>
      </c>
      <c r="D325" s="18" t="s">
        <v>2250</v>
      </c>
      <c r="E325" s="18" t="s">
        <v>2</v>
      </c>
      <c r="F325" s="15" t="str">
        <f t="shared" si="16"/>
        <v>Female</v>
      </c>
      <c r="G325" s="18" t="s">
        <v>2251</v>
      </c>
      <c r="H325" s="18" t="s">
        <v>2252</v>
      </c>
      <c r="I325" s="18">
        <v>324</v>
      </c>
      <c r="J325" s="18">
        <v>324</v>
      </c>
      <c r="K325" s="18" t="s">
        <v>32</v>
      </c>
      <c r="L325" s="18" t="s">
        <v>2253</v>
      </c>
      <c r="M325" s="18" t="s">
        <v>2254</v>
      </c>
      <c r="N325" s="18" t="s">
        <v>66</v>
      </c>
      <c r="O325" s="18" t="s">
        <v>492</v>
      </c>
      <c r="P325" s="18" t="s">
        <v>2255</v>
      </c>
      <c r="Q325" s="22">
        <f t="shared" si="17"/>
        <v>1170000000</v>
      </c>
      <c r="R325" s="18">
        <v>1525.26</v>
      </c>
      <c r="S325" s="19">
        <v>-8.7100000000000009</v>
      </c>
      <c r="T325" s="18">
        <v>32564146</v>
      </c>
      <c r="U325" s="20">
        <v>45648</v>
      </c>
      <c r="V325" s="18" t="str">
        <f t="shared" si="15"/>
        <v>Complete</v>
      </c>
    </row>
    <row r="326" spans="1:22" ht="14.5" customHeight="1" x14ac:dyDescent="0.35">
      <c r="A326" s="15" t="s">
        <v>7157</v>
      </c>
      <c r="B326" s="15" t="s">
        <v>7158</v>
      </c>
      <c r="C326" s="15" t="s">
        <v>2256</v>
      </c>
      <c r="D326" s="15" t="s">
        <v>2257</v>
      </c>
      <c r="E326" s="15" t="s">
        <v>13</v>
      </c>
      <c r="F326" s="15" t="str">
        <f t="shared" si="16"/>
        <v>Male</v>
      </c>
      <c r="G326" s="15" t="s">
        <v>2258</v>
      </c>
      <c r="H326" s="15" t="s">
        <v>2259</v>
      </c>
      <c r="I326" s="15">
        <v>325</v>
      </c>
      <c r="J326" s="15">
        <v>325</v>
      </c>
      <c r="K326" s="15" t="s">
        <v>32</v>
      </c>
      <c r="L326" s="15" t="s">
        <v>2260</v>
      </c>
      <c r="M326" s="15" t="s">
        <v>1290</v>
      </c>
      <c r="N326" s="15" t="s">
        <v>8033</v>
      </c>
      <c r="O326" s="15" t="s">
        <v>8033</v>
      </c>
      <c r="P326" s="15" t="s">
        <v>8033</v>
      </c>
      <c r="Q326" s="22">
        <f t="shared" si="17"/>
        <v>0</v>
      </c>
      <c r="R326" s="15">
        <v>897.96</v>
      </c>
      <c r="S326" s="16">
        <v>9.84</v>
      </c>
      <c r="T326" s="15">
        <v>20986618</v>
      </c>
      <c r="U326" s="17">
        <v>45613</v>
      </c>
      <c r="V326" s="15" t="str">
        <f t="shared" si="15"/>
        <v>Missing</v>
      </c>
    </row>
    <row r="327" spans="1:22" ht="14.5" customHeight="1" x14ac:dyDescent="0.35">
      <c r="A327" s="18" t="s">
        <v>7159</v>
      </c>
      <c r="B327" s="18" t="s">
        <v>7160</v>
      </c>
      <c r="C327" s="18" t="s">
        <v>2261</v>
      </c>
      <c r="D327" s="18" t="s">
        <v>2262</v>
      </c>
      <c r="E327" s="18" t="s">
        <v>2</v>
      </c>
      <c r="F327" s="15" t="str">
        <f t="shared" si="16"/>
        <v>Female</v>
      </c>
      <c r="G327" s="18" t="s">
        <v>2263</v>
      </c>
      <c r="H327" s="18" t="s">
        <v>2264</v>
      </c>
      <c r="I327" s="18">
        <v>326</v>
      </c>
      <c r="J327" s="18">
        <v>326</v>
      </c>
      <c r="K327" s="18" t="s">
        <v>5</v>
      </c>
      <c r="L327" s="18" t="s">
        <v>2265</v>
      </c>
      <c r="M327" s="18" t="s">
        <v>2266</v>
      </c>
      <c r="N327" s="18" t="s">
        <v>66</v>
      </c>
      <c r="O327" s="18" t="s">
        <v>2267</v>
      </c>
      <c r="P327" s="18" t="s">
        <v>706</v>
      </c>
      <c r="Q327" s="22">
        <f t="shared" si="17"/>
        <v>2830000000</v>
      </c>
      <c r="R327" s="18">
        <v>1496.26</v>
      </c>
      <c r="S327" s="19">
        <v>-7.21</v>
      </c>
      <c r="T327" s="18">
        <v>94274035</v>
      </c>
      <c r="U327" s="20">
        <v>44077</v>
      </c>
      <c r="V327" s="18" t="str">
        <f t="shared" si="15"/>
        <v>Complete</v>
      </c>
    </row>
    <row r="328" spans="1:22" ht="14.5" customHeight="1" x14ac:dyDescent="0.35">
      <c r="A328" s="15" t="s">
        <v>7161</v>
      </c>
      <c r="B328" s="15" t="s">
        <v>6882</v>
      </c>
      <c r="C328" s="15" t="s">
        <v>2268</v>
      </c>
      <c r="D328" s="15" t="s">
        <v>2269</v>
      </c>
      <c r="E328" s="15" t="s">
        <v>13</v>
      </c>
      <c r="F328" s="15" t="str">
        <f t="shared" si="16"/>
        <v>Male</v>
      </c>
      <c r="G328" s="15" t="s">
        <v>2270</v>
      </c>
      <c r="H328" s="15" t="s">
        <v>2271</v>
      </c>
      <c r="I328" s="15">
        <v>327</v>
      </c>
      <c r="J328" s="15">
        <v>327</v>
      </c>
      <c r="K328" s="15" t="s">
        <v>5</v>
      </c>
      <c r="L328" s="15" t="s">
        <v>2272</v>
      </c>
      <c r="M328" s="15" t="s">
        <v>2273</v>
      </c>
      <c r="N328" s="15" t="s">
        <v>8</v>
      </c>
      <c r="O328" s="15" t="s">
        <v>9</v>
      </c>
      <c r="P328" s="15" t="s">
        <v>2274</v>
      </c>
      <c r="Q328" s="22">
        <f t="shared" si="17"/>
        <v>508240000</v>
      </c>
      <c r="R328" s="15">
        <v>482.29</v>
      </c>
      <c r="S328" s="16">
        <v>-8</v>
      </c>
      <c r="T328" s="15">
        <v>106878539</v>
      </c>
      <c r="U328" s="17">
        <v>45988</v>
      </c>
      <c r="V328" s="15" t="str">
        <f t="shared" si="15"/>
        <v>Complete</v>
      </c>
    </row>
    <row r="329" spans="1:22" ht="14.5" customHeight="1" x14ac:dyDescent="0.35">
      <c r="A329" s="18" t="s">
        <v>7162</v>
      </c>
      <c r="B329" s="18" t="s">
        <v>7163</v>
      </c>
      <c r="C329" s="18" t="s">
        <v>2275</v>
      </c>
      <c r="D329" s="18" t="s">
        <v>2276</v>
      </c>
      <c r="E329" s="18" t="s">
        <v>2</v>
      </c>
      <c r="F329" s="15" t="str">
        <f t="shared" si="16"/>
        <v>Female</v>
      </c>
      <c r="G329" s="18" t="s">
        <v>2277</v>
      </c>
      <c r="H329" s="18" t="s">
        <v>2278</v>
      </c>
      <c r="I329" s="18">
        <v>328</v>
      </c>
      <c r="J329" s="18">
        <v>328</v>
      </c>
      <c r="K329" s="18" t="s">
        <v>32</v>
      </c>
      <c r="L329" s="18" t="s">
        <v>2279</v>
      </c>
      <c r="M329" s="18" t="s">
        <v>2280</v>
      </c>
      <c r="N329" s="18" t="s">
        <v>142</v>
      </c>
      <c r="O329" s="18" t="s">
        <v>2281</v>
      </c>
      <c r="P329" s="18" t="s">
        <v>2282</v>
      </c>
      <c r="Q329" s="22">
        <f t="shared" si="17"/>
        <v>4110000.0000000005</v>
      </c>
      <c r="R329" s="18">
        <v>494.65</v>
      </c>
      <c r="S329" s="19">
        <v>17.68</v>
      </c>
      <c r="T329" s="18">
        <v>93174297</v>
      </c>
      <c r="U329" s="20">
        <v>44280</v>
      </c>
      <c r="V329" s="18" t="str">
        <f t="shared" si="15"/>
        <v>Complete</v>
      </c>
    </row>
    <row r="330" spans="1:22" ht="14.5" customHeight="1" x14ac:dyDescent="0.35">
      <c r="A330" s="15" t="s">
        <v>7164</v>
      </c>
      <c r="B330" s="15" t="s">
        <v>6773</v>
      </c>
      <c r="C330" s="15" t="s">
        <v>2283</v>
      </c>
      <c r="D330" s="15" t="s">
        <v>2284</v>
      </c>
      <c r="E330" s="15" t="s">
        <v>1407</v>
      </c>
      <c r="F330" s="15" t="str">
        <f t="shared" si="16"/>
        <v>Other</v>
      </c>
      <c r="G330" s="15" t="s">
        <v>2285</v>
      </c>
      <c r="H330" s="15" t="s">
        <v>2286</v>
      </c>
      <c r="I330" s="15">
        <v>329</v>
      </c>
      <c r="J330" s="15">
        <v>329</v>
      </c>
      <c r="K330" s="15" t="s">
        <v>32</v>
      </c>
      <c r="L330" s="15" t="s">
        <v>2287</v>
      </c>
      <c r="M330" s="15" t="s">
        <v>2288</v>
      </c>
      <c r="N330" s="15" t="s">
        <v>8033</v>
      </c>
      <c r="O330" s="15" t="s">
        <v>8033</v>
      </c>
      <c r="P330" s="15" t="s">
        <v>8033</v>
      </c>
      <c r="Q330" s="22">
        <f t="shared" si="17"/>
        <v>0</v>
      </c>
      <c r="R330" s="15">
        <v>1441.44</v>
      </c>
      <c r="S330" s="16">
        <v>-11.85</v>
      </c>
      <c r="T330" s="15">
        <v>100737683</v>
      </c>
      <c r="U330" s="17">
        <v>46180</v>
      </c>
      <c r="V330" s="15" t="str">
        <f t="shared" si="15"/>
        <v>Missing</v>
      </c>
    </row>
    <row r="331" spans="1:22" ht="14.5" customHeight="1" x14ac:dyDescent="0.35">
      <c r="A331" s="18" t="s">
        <v>7165</v>
      </c>
      <c r="B331" s="18" t="s">
        <v>7166</v>
      </c>
      <c r="C331" s="18" t="s">
        <v>2289</v>
      </c>
      <c r="D331" s="18" t="s">
        <v>2290</v>
      </c>
      <c r="E331" s="18" t="s">
        <v>13</v>
      </c>
      <c r="F331" s="15" t="str">
        <f t="shared" si="16"/>
        <v>Male</v>
      </c>
      <c r="G331" s="18" t="s">
        <v>2291</v>
      </c>
      <c r="H331" s="18" t="s">
        <v>2292</v>
      </c>
      <c r="I331" s="18">
        <v>330</v>
      </c>
      <c r="J331" s="18">
        <v>330</v>
      </c>
      <c r="K331" s="18" t="s">
        <v>32</v>
      </c>
      <c r="L331" s="18" t="s">
        <v>2293</v>
      </c>
      <c r="M331" s="18" t="s">
        <v>2294</v>
      </c>
      <c r="N331" s="18" t="s">
        <v>99</v>
      </c>
      <c r="O331" s="18" t="s">
        <v>100</v>
      </c>
      <c r="P331" s="18" t="s">
        <v>2295</v>
      </c>
      <c r="Q331" s="22">
        <f t="shared" si="17"/>
        <v>12590000000</v>
      </c>
      <c r="R331" s="18">
        <v>1771.1</v>
      </c>
      <c r="S331" s="19">
        <v>-6.81</v>
      </c>
      <c r="T331" s="18">
        <v>131504020</v>
      </c>
      <c r="U331" s="20">
        <v>45480</v>
      </c>
      <c r="V331" s="18" t="str">
        <f t="shared" si="15"/>
        <v>Complete</v>
      </c>
    </row>
    <row r="332" spans="1:22" ht="14.5" customHeight="1" x14ac:dyDescent="0.35">
      <c r="A332" s="15" t="s">
        <v>7167</v>
      </c>
      <c r="B332" s="15" t="s">
        <v>7168</v>
      </c>
      <c r="C332" s="15" t="s">
        <v>663</v>
      </c>
      <c r="D332" s="15" t="s">
        <v>2296</v>
      </c>
      <c r="E332" s="15" t="s">
        <v>13</v>
      </c>
      <c r="F332" s="15" t="str">
        <f t="shared" si="16"/>
        <v>Male</v>
      </c>
      <c r="G332" s="15" t="s">
        <v>2297</v>
      </c>
      <c r="H332" s="15" t="s">
        <v>2298</v>
      </c>
      <c r="I332" s="15">
        <v>331</v>
      </c>
      <c r="J332" s="15">
        <v>331</v>
      </c>
      <c r="K332" s="15" t="s">
        <v>5</v>
      </c>
      <c r="L332" s="15" t="s">
        <v>2299</v>
      </c>
      <c r="M332" s="15" t="s">
        <v>2300</v>
      </c>
      <c r="N332" s="15" t="s">
        <v>25</v>
      </c>
      <c r="O332" s="15" t="s">
        <v>2301</v>
      </c>
      <c r="P332" s="15" t="s">
        <v>2302</v>
      </c>
      <c r="Q332" s="22">
        <f t="shared" si="17"/>
        <v>1530000000</v>
      </c>
      <c r="R332" s="15">
        <v>1282.06</v>
      </c>
      <c r="S332" s="16">
        <v>1.59</v>
      </c>
      <c r="T332" s="15">
        <v>40809876</v>
      </c>
      <c r="U332" s="17">
        <v>44159</v>
      </c>
      <c r="V332" s="15" t="str">
        <f t="shared" si="15"/>
        <v>Complete</v>
      </c>
    </row>
    <row r="333" spans="1:22" ht="14.5" customHeight="1" x14ac:dyDescent="0.35">
      <c r="A333" s="18" t="s">
        <v>7169</v>
      </c>
      <c r="B333" s="18" t="s">
        <v>7170</v>
      </c>
      <c r="C333" s="18" t="s">
        <v>2303</v>
      </c>
      <c r="D333" s="18" t="s">
        <v>2304</v>
      </c>
      <c r="E333" s="18" t="s">
        <v>13</v>
      </c>
      <c r="F333" s="15" t="str">
        <f t="shared" si="16"/>
        <v>Male</v>
      </c>
      <c r="G333" s="18" t="s">
        <v>2305</v>
      </c>
      <c r="H333" s="18" t="s">
        <v>2306</v>
      </c>
      <c r="I333" s="18">
        <v>332</v>
      </c>
      <c r="J333" s="18">
        <v>332</v>
      </c>
      <c r="K333" s="18" t="s">
        <v>5</v>
      </c>
      <c r="L333" s="18" t="s">
        <v>2307</v>
      </c>
      <c r="M333" s="18" t="s">
        <v>2308</v>
      </c>
      <c r="N333" s="18" t="s">
        <v>8</v>
      </c>
      <c r="O333" s="18" t="s">
        <v>9</v>
      </c>
      <c r="P333" s="18" t="s">
        <v>2309</v>
      </c>
      <c r="Q333" s="22">
        <f t="shared" si="17"/>
        <v>74570000</v>
      </c>
      <c r="R333" s="18">
        <v>1962.33</v>
      </c>
      <c r="S333" s="19">
        <v>-3.34</v>
      </c>
      <c r="T333" s="18">
        <v>16495184</v>
      </c>
      <c r="U333" s="20">
        <v>46284</v>
      </c>
      <c r="V333" s="18" t="str">
        <f t="shared" si="15"/>
        <v>Complete</v>
      </c>
    </row>
    <row r="334" spans="1:22" ht="14.5" customHeight="1" x14ac:dyDescent="0.35">
      <c r="A334" s="15" t="s">
        <v>7171</v>
      </c>
      <c r="B334" s="15" t="s">
        <v>7172</v>
      </c>
      <c r="C334" s="15" t="s">
        <v>2310</v>
      </c>
      <c r="D334" s="15" t="s">
        <v>2311</v>
      </c>
      <c r="E334" s="15" t="s">
        <v>1407</v>
      </c>
      <c r="F334" s="15" t="str">
        <f t="shared" si="16"/>
        <v>Other</v>
      </c>
      <c r="G334" s="15" t="s">
        <v>2312</v>
      </c>
      <c r="H334" s="15" t="s">
        <v>2313</v>
      </c>
      <c r="I334" s="15">
        <v>333</v>
      </c>
      <c r="J334" s="15">
        <v>333</v>
      </c>
      <c r="K334" s="15" t="s">
        <v>5</v>
      </c>
      <c r="L334" s="15" t="s">
        <v>2314</v>
      </c>
      <c r="M334" s="15" t="s">
        <v>2315</v>
      </c>
      <c r="N334" s="15" t="s">
        <v>8</v>
      </c>
      <c r="O334" s="15" t="s">
        <v>9</v>
      </c>
      <c r="P334" s="15" t="s">
        <v>2316</v>
      </c>
      <c r="Q334" s="22">
        <f t="shared" si="17"/>
        <v>56730000</v>
      </c>
      <c r="R334" s="15">
        <v>1780.63</v>
      </c>
      <c r="S334" s="16">
        <v>2.23</v>
      </c>
      <c r="T334" s="15">
        <v>122798646</v>
      </c>
      <c r="U334" s="17">
        <v>44378</v>
      </c>
      <c r="V334" s="15" t="str">
        <f t="shared" si="15"/>
        <v>Complete</v>
      </c>
    </row>
    <row r="335" spans="1:22" ht="14.5" customHeight="1" x14ac:dyDescent="0.35">
      <c r="A335" s="18" t="s">
        <v>7173</v>
      </c>
      <c r="B335" s="18" t="s">
        <v>6888</v>
      </c>
      <c r="C335" s="18" t="s">
        <v>2317</v>
      </c>
      <c r="D335" s="18" t="s">
        <v>2318</v>
      </c>
      <c r="E335" s="18" t="s">
        <v>2</v>
      </c>
      <c r="F335" s="15" t="str">
        <f t="shared" si="16"/>
        <v>Female</v>
      </c>
      <c r="G335" s="18" t="s">
        <v>2319</v>
      </c>
      <c r="H335" s="18" t="s">
        <v>2320</v>
      </c>
      <c r="I335" s="18">
        <v>334</v>
      </c>
      <c r="J335" s="18">
        <v>334</v>
      </c>
      <c r="K335" s="18" t="s">
        <v>32</v>
      </c>
      <c r="L335" s="18" t="s">
        <v>2321</v>
      </c>
      <c r="M335" s="18" t="s">
        <v>2322</v>
      </c>
      <c r="N335" s="18" t="s">
        <v>48</v>
      </c>
      <c r="O335" s="18" t="s">
        <v>2323</v>
      </c>
      <c r="P335" s="18" t="s">
        <v>2324</v>
      </c>
      <c r="Q335" s="22">
        <f t="shared" si="17"/>
        <v>1820000000</v>
      </c>
      <c r="R335" s="18">
        <v>1568.09</v>
      </c>
      <c r="S335" s="19">
        <v>-6.62</v>
      </c>
      <c r="T335" s="18">
        <v>37867331</v>
      </c>
      <c r="U335" s="20">
        <v>46096</v>
      </c>
      <c r="V335" s="18" t="str">
        <f t="shared" si="15"/>
        <v>Complete</v>
      </c>
    </row>
    <row r="336" spans="1:22" ht="14.5" customHeight="1" x14ac:dyDescent="0.35">
      <c r="A336" s="15" t="s">
        <v>7174</v>
      </c>
      <c r="B336" s="15" t="s">
        <v>6999</v>
      </c>
      <c r="C336" s="15" t="s">
        <v>2325</v>
      </c>
      <c r="D336" s="15" t="s">
        <v>2326</v>
      </c>
      <c r="E336" s="15" t="s">
        <v>13</v>
      </c>
      <c r="F336" s="15" t="str">
        <f t="shared" si="16"/>
        <v>Male</v>
      </c>
      <c r="G336" s="15" t="s">
        <v>2327</v>
      </c>
      <c r="H336" s="15" t="s">
        <v>2328</v>
      </c>
      <c r="I336" s="15">
        <v>335</v>
      </c>
      <c r="J336" s="15">
        <v>335</v>
      </c>
      <c r="K336" s="15" t="s">
        <v>5</v>
      </c>
      <c r="L336" s="15" t="s">
        <v>2329</v>
      </c>
      <c r="M336" s="15" t="s">
        <v>2330</v>
      </c>
      <c r="N336" s="15" t="s">
        <v>8</v>
      </c>
      <c r="O336" s="15" t="s">
        <v>9</v>
      </c>
      <c r="P336" s="15" t="s">
        <v>2331</v>
      </c>
      <c r="Q336" s="22">
        <f t="shared" si="17"/>
        <v>499800000</v>
      </c>
      <c r="R336" s="15">
        <v>138.49</v>
      </c>
      <c r="S336" s="16">
        <v>-5.91</v>
      </c>
      <c r="T336" s="15">
        <v>140683598</v>
      </c>
      <c r="U336" s="17">
        <v>44828</v>
      </c>
      <c r="V336" s="15" t="str">
        <f t="shared" si="15"/>
        <v>Complete</v>
      </c>
    </row>
    <row r="337" spans="1:22" ht="14.5" customHeight="1" x14ac:dyDescent="0.35">
      <c r="A337" s="18" t="s">
        <v>7175</v>
      </c>
      <c r="B337" s="18" t="s">
        <v>6971</v>
      </c>
      <c r="C337" s="18" t="s">
        <v>2332</v>
      </c>
      <c r="D337" s="18" t="s">
        <v>2333</v>
      </c>
      <c r="E337" s="18" t="s">
        <v>13</v>
      </c>
      <c r="F337" s="15" t="str">
        <f t="shared" si="16"/>
        <v>Male</v>
      </c>
      <c r="G337" s="18" t="s">
        <v>2334</v>
      </c>
      <c r="H337" s="18" t="s">
        <v>2335</v>
      </c>
      <c r="I337" s="18">
        <v>336</v>
      </c>
      <c r="J337" s="18">
        <v>336</v>
      </c>
      <c r="K337" s="18" t="s">
        <v>32</v>
      </c>
      <c r="L337" s="18" t="s">
        <v>2336</v>
      </c>
      <c r="M337" s="18" t="s">
        <v>2337</v>
      </c>
      <c r="N337" s="18" t="s">
        <v>99</v>
      </c>
      <c r="O337" s="18" t="s">
        <v>1498</v>
      </c>
      <c r="P337" s="18" t="s">
        <v>2338</v>
      </c>
      <c r="Q337" s="22">
        <f t="shared" si="17"/>
        <v>25340000000</v>
      </c>
      <c r="R337" s="18">
        <v>563.84</v>
      </c>
      <c r="S337" s="19">
        <v>6.75</v>
      </c>
      <c r="T337" s="18">
        <v>122346355</v>
      </c>
      <c r="U337" s="20">
        <v>44750</v>
      </c>
      <c r="V337" s="18" t="str">
        <f t="shared" si="15"/>
        <v>Complete</v>
      </c>
    </row>
    <row r="338" spans="1:22" ht="14.5" customHeight="1" x14ac:dyDescent="0.35">
      <c r="A338" s="15" t="s">
        <v>7176</v>
      </c>
      <c r="B338" s="15" t="s">
        <v>7177</v>
      </c>
      <c r="C338" s="15" t="s">
        <v>2339</v>
      </c>
      <c r="D338" s="15" t="s">
        <v>2340</v>
      </c>
      <c r="E338" s="15" t="s">
        <v>61</v>
      </c>
      <c r="F338" s="15" t="str">
        <f t="shared" si="16"/>
        <v>Other</v>
      </c>
      <c r="G338" s="15" t="s">
        <v>2341</v>
      </c>
      <c r="H338" s="15" t="s">
        <v>2342</v>
      </c>
      <c r="I338" s="15">
        <v>337</v>
      </c>
      <c r="J338" s="15">
        <v>337</v>
      </c>
      <c r="K338" s="15" t="s">
        <v>32</v>
      </c>
      <c r="L338" s="15" t="s">
        <v>2343</v>
      </c>
      <c r="M338" s="15" t="s">
        <v>2344</v>
      </c>
      <c r="N338" s="15" t="s">
        <v>66</v>
      </c>
      <c r="O338" s="15" t="s">
        <v>762</v>
      </c>
      <c r="P338" s="15" t="s">
        <v>2345</v>
      </c>
      <c r="Q338" s="22">
        <f t="shared" si="17"/>
        <v>1880000000</v>
      </c>
      <c r="R338" s="15">
        <v>910.66</v>
      </c>
      <c r="S338" s="16">
        <v>-10.72</v>
      </c>
      <c r="T338" s="15">
        <v>142021219</v>
      </c>
      <c r="U338" s="17">
        <v>45407</v>
      </c>
      <c r="V338" s="15" t="str">
        <f t="shared" si="15"/>
        <v>Complete</v>
      </c>
    </row>
    <row r="339" spans="1:22" ht="14.5" customHeight="1" x14ac:dyDescent="0.35">
      <c r="A339" s="18" t="s">
        <v>7178</v>
      </c>
      <c r="B339" s="18" t="s">
        <v>7179</v>
      </c>
      <c r="C339" s="18" t="s">
        <v>2346</v>
      </c>
      <c r="D339" s="18" t="s">
        <v>2347</v>
      </c>
      <c r="E339" s="18" t="s">
        <v>2</v>
      </c>
      <c r="F339" s="15" t="str">
        <f t="shared" si="16"/>
        <v>Female</v>
      </c>
      <c r="G339" s="18" t="s">
        <v>2348</v>
      </c>
      <c r="H339" s="18" t="s">
        <v>2349</v>
      </c>
      <c r="I339" s="18">
        <v>338</v>
      </c>
      <c r="J339" s="18">
        <v>338</v>
      </c>
      <c r="K339" s="18" t="s">
        <v>5</v>
      </c>
      <c r="L339" s="18" t="s">
        <v>342</v>
      </c>
      <c r="M339" s="18" t="s">
        <v>343</v>
      </c>
      <c r="N339" s="18" t="s">
        <v>142</v>
      </c>
      <c r="O339" s="18" t="s">
        <v>344</v>
      </c>
      <c r="P339" s="18" t="s">
        <v>345</v>
      </c>
      <c r="Q339" s="22">
        <f t="shared" si="17"/>
        <v>12310000</v>
      </c>
      <c r="R339" s="18">
        <v>570.61</v>
      </c>
      <c r="S339" s="19">
        <v>4.45</v>
      </c>
      <c r="T339" s="18">
        <v>115226075</v>
      </c>
      <c r="U339" s="20">
        <v>44511</v>
      </c>
      <c r="V339" s="18" t="str">
        <f t="shared" si="15"/>
        <v>Complete</v>
      </c>
    </row>
    <row r="340" spans="1:22" ht="14.5" customHeight="1" x14ac:dyDescent="0.35">
      <c r="A340" s="15" t="s">
        <v>7180</v>
      </c>
      <c r="B340" s="15" t="s">
        <v>7181</v>
      </c>
      <c r="C340" s="15" t="s">
        <v>2350</v>
      </c>
      <c r="D340" s="15" t="s">
        <v>2351</v>
      </c>
      <c r="E340" s="15" t="s">
        <v>2</v>
      </c>
      <c r="F340" s="15" t="str">
        <f t="shared" si="16"/>
        <v>Female</v>
      </c>
      <c r="G340" s="15" t="s">
        <v>2352</v>
      </c>
      <c r="H340" s="15" t="s">
        <v>2353</v>
      </c>
      <c r="I340" s="15">
        <v>339</v>
      </c>
      <c r="J340" s="15">
        <v>339</v>
      </c>
      <c r="K340" s="15" t="s">
        <v>5</v>
      </c>
      <c r="L340" s="15" t="s">
        <v>2354</v>
      </c>
      <c r="M340" s="15" t="s">
        <v>2355</v>
      </c>
      <c r="N340" s="15" t="s">
        <v>66</v>
      </c>
      <c r="O340" s="15" t="s">
        <v>293</v>
      </c>
      <c r="P340" s="15" t="s">
        <v>2356</v>
      </c>
      <c r="Q340" s="22">
        <f t="shared" si="17"/>
        <v>7960000000</v>
      </c>
      <c r="R340" s="15">
        <v>258.56</v>
      </c>
      <c r="S340" s="16">
        <v>14.48</v>
      </c>
      <c r="T340" s="15">
        <v>117669960</v>
      </c>
      <c r="U340" s="17">
        <v>44022</v>
      </c>
      <c r="V340" s="15" t="str">
        <f t="shared" si="15"/>
        <v>Complete</v>
      </c>
    </row>
    <row r="341" spans="1:22" ht="14.5" customHeight="1" x14ac:dyDescent="0.35">
      <c r="A341" s="18" t="s">
        <v>7182</v>
      </c>
      <c r="B341" s="18" t="s">
        <v>6909</v>
      </c>
      <c r="C341" s="18" t="s">
        <v>2357</v>
      </c>
      <c r="D341" s="18" t="s">
        <v>2358</v>
      </c>
      <c r="E341" s="18" t="s">
        <v>2</v>
      </c>
      <c r="F341" s="15" t="str">
        <f t="shared" si="16"/>
        <v>Female</v>
      </c>
      <c r="G341" s="18" t="s">
        <v>2359</v>
      </c>
      <c r="H341" s="18" t="s">
        <v>2360</v>
      </c>
      <c r="I341" s="18">
        <v>340</v>
      </c>
      <c r="J341" s="18">
        <v>340</v>
      </c>
      <c r="K341" s="18" t="s">
        <v>5</v>
      </c>
      <c r="L341" s="18" t="s">
        <v>2361</v>
      </c>
      <c r="M341" s="18" t="s">
        <v>2362</v>
      </c>
      <c r="N341" s="18" t="s">
        <v>8033</v>
      </c>
      <c r="O341" s="18" t="s">
        <v>8033</v>
      </c>
      <c r="P341" s="18" t="s">
        <v>2363</v>
      </c>
      <c r="Q341" s="22">
        <f t="shared" si="17"/>
        <v>23350000</v>
      </c>
      <c r="R341" s="18">
        <v>1462.64</v>
      </c>
      <c r="S341" s="19">
        <v>0.01</v>
      </c>
      <c r="T341" s="18">
        <v>163635499</v>
      </c>
      <c r="U341" s="20">
        <v>46032</v>
      </c>
      <c r="V341" s="18" t="str">
        <f t="shared" si="15"/>
        <v>Missing</v>
      </c>
    </row>
    <row r="342" spans="1:22" ht="14.5" customHeight="1" x14ac:dyDescent="0.35">
      <c r="A342" s="15" t="s">
        <v>7183</v>
      </c>
      <c r="B342" s="15" t="s">
        <v>6739</v>
      </c>
      <c r="C342" s="15" t="s">
        <v>2364</v>
      </c>
      <c r="D342" s="15" t="s">
        <v>2365</v>
      </c>
      <c r="E342" s="15" t="s">
        <v>2</v>
      </c>
      <c r="F342" s="15" t="str">
        <f t="shared" si="16"/>
        <v>Female</v>
      </c>
      <c r="G342" s="15" t="s">
        <v>2366</v>
      </c>
      <c r="H342" s="15" t="s">
        <v>2367</v>
      </c>
      <c r="I342" s="15">
        <v>341</v>
      </c>
      <c r="J342" s="15">
        <v>341</v>
      </c>
      <c r="K342" s="15" t="s">
        <v>5</v>
      </c>
      <c r="L342" s="15" t="s">
        <v>2368</v>
      </c>
      <c r="M342" s="15" t="s">
        <v>2369</v>
      </c>
      <c r="N342" s="15" t="s">
        <v>8</v>
      </c>
      <c r="O342" s="15" t="s">
        <v>9</v>
      </c>
      <c r="P342" s="15" t="s">
        <v>1452</v>
      </c>
      <c r="Q342" s="22">
        <f t="shared" si="17"/>
        <v>1040000000</v>
      </c>
      <c r="R342" s="15">
        <v>431.87</v>
      </c>
      <c r="S342" s="16">
        <v>-14.02</v>
      </c>
      <c r="T342" s="15">
        <v>198843671</v>
      </c>
      <c r="U342" s="17">
        <v>44394</v>
      </c>
      <c r="V342" s="15" t="str">
        <f t="shared" si="15"/>
        <v>Complete</v>
      </c>
    </row>
    <row r="343" spans="1:22" ht="14.5" customHeight="1" x14ac:dyDescent="0.35">
      <c r="A343" s="18" t="s">
        <v>7184</v>
      </c>
      <c r="B343" s="18" t="s">
        <v>7185</v>
      </c>
      <c r="C343" s="18" t="s">
        <v>2370</v>
      </c>
      <c r="D343" s="18" t="s">
        <v>2371</v>
      </c>
      <c r="E343" s="18" t="s">
        <v>2</v>
      </c>
      <c r="F343" s="15" t="str">
        <f t="shared" si="16"/>
        <v>Female</v>
      </c>
      <c r="G343" s="18" t="s">
        <v>2372</v>
      </c>
      <c r="H343" s="18" t="s">
        <v>2373</v>
      </c>
      <c r="I343" s="18">
        <v>342</v>
      </c>
      <c r="J343" s="18">
        <v>342</v>
      </c>
      <c r="K343" s="18" t="s">
        <v>32</v>
      </c>
      <c r="L343" s="18" t="s">
        <v>2374</v>
      </c>
      <c r="M343" s="18" t="s">
        <v>2375</v>
      </c>
      <c r="N343" s="18" t="s">
        <v>8033</v>
      </c>
      <c r="O343" s="18" t="s">
        <v>8033</v>
      </c>
      <c r="P343" s="18" t="s">
        <v>2376</v>
      </c>
      <c r="Q343" s="22">
        <f t="shared" si="17"/>
        <v>605930000</v>
      </c>
      <c r="R343" s="18">
        <v>1459.25</v>
      </c>
      <c r="S343" s="19">
        <v>0.87</v>
      </c>
      <c r="T343" s="18">
        <v>54679515</v>
      </c>
      <c r="U343" s="20">
        <v>45757</v>
      </c>
      <c r="V343" s="18" t="str">
        <f t="shared" si="15"/>
        <v>Missing</v>
      </c>
    </row>
    <row r="344" spans="1:22" ht="14.5" customHeight="1" x14ac:dyDescent="0.35">
      <c r="A344" s="15" t="s">
        <v>7186</v>
      </c>
      <c r="B344" s="15" t="s">
        <v>6949</v>
      </c>
      <c r="C344" s="15" t="s">
        <v>2377</v>
      </c>
      <c r="D344" s="15" t="s">
        <v>2378</v>
      </c>
      <c r="E344" s="15" t="s">
        <v>2</v>
      </c>
      <c r="F344" s="15" t="str">
        <f t="shared" si="16"/>
        <v>Female</v>
      </c>
      <c r="G344" s="15" t="s">
        <v>2379</v>
      </c>
      <c r="H344" s="15" t="s">
        <v>2380</v>
      </c>
      <c r="I344" s="15">
        <v>343</v>
      </c>
      <c r="J344" s="15">
        <v>343</v>
      </c>
      <c r="K344" s="15" t="s">
        <v>32</v>
      </c>
      <c r="L344" s="15" t="s">
        <v>2381</v>
      </c>
      <c r="M344" s="15" t="s">
        <v>2382</v>
      </c>
      <c r="N344" s="15" t="s">
        <v>8033</v>
      </c>
      <c r="O344" s="15" t="s">
        <v>8033</v>
      </c>
      <c r="P344" s="15" t="s">
        <v>8033</v>
      </c>
      <c r="Q344" s="22">
        <f t="shared" si="17"/>
        <v>0</v>
      </c>
      <c r="R344" s="15">
        <v>1662.5</v>
      </c>
      <c r="S344" s="16">
        <v>-17.46</v>
      </c>
      <c r="T344" s="15">
        <v>85818132</v>
      </c>
      <c r="U344" s="17">
        <v>45900</v>
      </c>
      <c r="V344" s="15" t="str">
        <f t="shared" si="15"/>
        <v>Missing</v>
      </c>
    </row>
    <row r="345" spans="1:22" ht="14.5" customHeight="1" x14ac:dyDescent="0.35">
      <c r="A345" s="18" t="s">
        <v>7187</v>
      </c>
      <c r="B345" s="18" t="s">
        <v>7188</v>
      </c>
      <c r="C345" s="18" t="s">
        <v>2383</v>
      </c>
      <c r="D345" s="18" t="s">
        <v>2384</v>
      </c>
      <c r="E345" s="18" t="s">
        <v>13</v>
      </c>
      <c r="F345" s="15" t="str">
        <f t="shared" si="16"/>
        <v>Male</v>
      </c>
      <c r="G345" s="18" t="s">
        <v>2385</v>
      </c>
      <c r="H345" s="18" t="s">
        <v>2386</v>
      </c>
      <c r="I345" s="18">
        <v>344</v>
      </c>
      <c r="J345" s="18">
        <v>344</v>
      </c>
      <c r="K345" s="18" t="s">
        <v>5</v>
      </c>
      <c r="L345" s="18" t="s">
        <v>2387</v>
      </c>
      <c r="M345" s="18" t="s">
        <v>2388</v>
      </c>
      <c r="N345" s="18" t="s">
        <v>48</v>
      </c>
      <c r="O345" s="18" t="s">
        <v>57</v>
      </c>
      <c r="P345" s="18" t="s">
        <v>2389</v>
      </c>
      <c r="Q345" s="22">
        <f t="shared" si="17"/>
        <v>201190000</v>
      </c>
      <c r="R345" s="18">
        <v>1705.11</v>
      </c>
      <c r="S345" s="19">
        <v>-12.75</v>
      </c>
      <c r="T345" s="18">
        <v>70789318</v>
      </c>
      <c r="U345" s="20">
        <v>44409</v>
      </c>
      <c r="V345" s="18" t="str">
        <f t="shared" si="15"/>
        <v>Complete</v>
      </c>
    </row>
    <row r="346" spans="1:22" ht="14.5" customHeight="1" x14ac:dyDescent="0.35">
      <c r="A346" s="15" t="s">
        <v>7189</v>
      </c>
      <c r="B346" s="15" t="s">
        <v>6605</v>
      </c>
      <c r="C346" s="15" t="s">
        <v>2390</v>
      </c>
      <c r="D346" s="15" t="s">
        <v>2391</v>
      </c>
      <c r="E346" s="15" t="s">
        <v>2</v>
      </c>
      <c r="F346" s="15" t="str">
        <f t="shared" si="16"/>
        <v>Female</v>
      </c>
      <c r="G346" s="15" t="s">
        <v>2392</v>
      </c>
      <c r="H346" s="15" t="s">
        <v>2393</v>
      </c>
      <c r="I346" s="15">
        <v>345</v>
      </c>
      <c r="J346" s="15">
        <v>345</v>
      </c>
      <c r="K346" s="15" t="s">
        <v>5</v>
      </c>
      <c r="L346" s="15" t="s">
        <v>1450</v>
      </c>
      <c r="M346" s="15" t="s">
        <v>1451</v>
      </c>
      <c r="N346" s="15" t="s">
        <v>142</v>
      </c>
      <c r="O346" s="15" t="s">
        <v>344</v>
      </c>
      <c r="P346" s="15" t="s">
        <v>1452</v>
      </c>
      <c r="Q346" s="22">
        <f t="shared" si="17"/>
        <v>1040000000</v>
      </c>
      <c r="R346" s="15">
        <v>1337.51</v>
      </c>
      <c r="S346" s="16">
        <v>-17.510000000000002</v>
      </c>
      <c r="T346" s="15">
        <v>170970217</v>
      </c>
      <c r="U346" s="17">
        <v>46297</v>
      </c>
      <c r="V346" s="15" t="str">
        <f t="shared" si="15"/>
        <v>Complete</v>
      </c>
    </row>
    <row r="347" spans="1:22" ht="14.5" customHeight="1" x14ac:dyDescent="0.35">
      <c r="A347" s="18" t="s">
        <v>7190</v>
      </c>
      <c r="B347" s="18" t="s">
        <v>6639</v>
      </c>
      <c r="C347" s="18" t="s">
        <v>2394</v>
      </c>
      <c r="D347" s="18" t="s">
        <v>2395</v>
      </c>
      <c r="E347" s="18" t="s">
        <v>2</v>
      </c>
      <c r="F347" s="15" t="str">
        <f t="shared" si="16"/>
        <v>Female</v>
      </c>
      <c r="G347" s="18" t="s">
        <v>2396</v>
      </c>
      <c r="H347" s="18" t="s">
        <v>2397</v>
      </c>
      <c r="I347" s="18">
        <v>346</v>
      </c>
      <c r="J347" s="18">
        <v>346</v>
      </c>
      <c r="K347" s="18" t="s">
        <v>5</v>
      </c>
      <c r="L347" s="18" t="s">
        <v>2398</v>
      </c>
      <c r="M347" s="18" t="s">
        <v>2399</v>
      </c>
      <c r="N347" s="18" t="s">
        <v>48</v>
      </c>
      <c r="O347" s="18" t="s">
        <v>57</v>
      </c>
      <c r="P347" s="18" t="s">
        <v>2400</v>
      </c>
      <c r="Q347" s="22">
        <f t="shared" si="17"/>
        <v>691580000</v>
      </c>
      <c r="R347" s="18">
        <v>1114.3900000000001</v>
      </c>
      <c r="S347" s="19">
        <v>-5.09</v>
      </c>
      <c r="T347" s="18">
        <v>113956253</v>
      </c>
      <c r="U347" s="20">
        <v>44654</v>
      </c>
      <c r="V347" s="18" t="str">
        <f t="shared" si="15"/>
        <v>Complete</v>
      </c>
    </row>
    <row r="348" spans="1:22" ht="14.5" customHeight="1" x14ac:dyDescent="0.35">
      <c r="A348" s="15" t="s">
        <v>7191</v>
      </c>
      <c r="B348" s="15" t="s">
        <v>7046</v>
      </c>
      <c r="C348" s="15" t="s">
        <v>2401</v>
      </c>
      <c r="D348" s="15" t="s">
        <v>2402</v>
      </c>
      <c r="E348" s="15" t="s">
        <v>2</v>
      </c>
      <c r="F348" s="15" t="str">
        <f t="shared" si="16"/>
        <v>Female</v>
      </c>
      <c r="G348" s="15" t="s">
        <v>2403</v>
      </c>
      <c r="H348" s="15" t="s">
        <v>2404</v>
      </c>
      <c r="I348" s="15">
        <v>347</v>
      </c>
      <c r="J348" s="15">
        <v>347</v>
      </c>
      <c r="K348" s="15" t="s">
        <v>5</v>
      </c>
      <c r="L348" s="15" t="s">
        <v>2405</v>
      </c>
      <c r="M348" s="15" t="s">
        <v>2406</v>
      </c>
      <c r="N348" s="15" t="s">
        <v>48</v>
      </c>
      <c r="O348" s="15" t="s">
        <v>57</v>
      </c>
      <c r="P348" s="15" t="s">
        <v>2407</v>
      </c>
      <c r="Q348" s="22">
        <f t="shared" si="17"/>
        <v>3680000000</v>
      </c>
      <c r="R348" s="15">
        <v>1606.86</v>
      </c>
      <c r="S348" s="16">
        <v>15.36</v>
      </c>
      <c r="T348" s="15">
        <v>87171198</v>
      </c>
      <c r="U348" s="17">
        <v>46225</v>
      </c>
      <c r="V348" s="15" t="str">
        <f t="shared" si="15"/>
        <v>Complete</v>
      </c>
    </row>
    <row r="349" spans="1:22" ht="14.5" customHeight="1" x14ac:dyDescent="0.35">
      <c r="A349" s="18" t="s">
        <v>7192</v>
      </c>
      <c r="B349" s="18" t="s">
        <v>6870</v>
      </c>
      <c r="C349" s="18" t="s">
        <v>2408</v>
      </c>
      <c r="D349" s="18" t="s">
        <v>2409</v>
      </c>
      <c r="E349" s="18" t="s">
        <v>2</v>
      </c>
      <c r="F349" s="15" t="str">
        <f t="shared" si="16"/>
        <v>Female</v>
      </c>
      <c r="G349" s="18" t="s">
        <v>2410</v>
      </c>
      <c r="H349" s="18" t="s">
        <v>2411</v>
      </c>
      <c r="I349" s="18">
        <v>348</v>
      </c>
      <c r="J349" s="18">
        <v>348</v>
      </c>
      <c r="K349" s="18" t="s">
        <v>5</v>
      </c>
      <c r="L349" s="18" t="s">
        <v>2412</v>
      </c>
      <c r="M349" s="18" t="s">
        <v>1504</v>
      </c>
      <c r="N349" s="18" t="s">
        <v>134</v>
      </c>
      <c r="O349" s="18" t="s">
        <v>1138</v>
      </c>
      <c r="P349" s="18" t="s">
        <v>8033</v>
      </c>
      <c r="Q349" s="22">
        <f t="shared" si="17"/>
        <v>0</v>
      </c>
      <c r="R349" s="18">
        <v>1469.5</v>
      </c>
      <c r="S349" s="19">
        <v>8.69</v>
      </c>
      <c r="T349" s="18">
        <v>41104603</v>
      </c>
      <c r="U349" s="20">
        <v>44208</v>
      </c>
      <c r="V349" s="18" t="str">
        <f t="shared" si="15"/>
        <v>Missing</v>
      </c>
    </row>
    <row r="350" spans="1:22" ht="14.5" customHeight="1" x14ac:dyDescent="0.35">
      <c r="A350" s="15" t="s">
        <v>7193</v>
      </c>
      <c r="B350" s="15" t="s">
        <v>7194</v>
      </c>
      <c r="C350" s="15" t="s">
        <v>2394</v>
      </c>
      <c r="D350" s="15" t="s">
        <v>2413</v>
      </c>
      <c r="E350" s="15" t="s">
        <v>2</v>
      </c>
      <c r="F350" s="15" t="str">
        <f t="shared" si="16"/>
        <v>Female</v>
      </c>
      <c r="G350" s="15" t="s">
        <v>2414</v>
      </c>
      <c r="H350" s="15" t="s">
        <v>2415</v>
      </c>
      <c r="I350" s="15">
        <v>349</v>
      </c>
      <c r="J350" s="15">
        <v>349</v>
      </c>
      <c r="K350" s="15" t="s">
        <v>32</v>
      </c>
      <c r="L350" s="15" t="s">
        <v>2416</v>
      </c>
      <c r="M350" s="15" t="s">
        <v>2417</v>
      </c>
      <c r="N350" s="15" t="s">
        <v>48</v>
      </c>
      <c r="O350" s="15" t="s">
        <v>49</v>
      </c>
      <c r="P350" s="15" t="s">
        <v>2418</v>
      </c>
      <c r="Q350" s="22">
        <f t="shared" si="17"/>
        <v>882080000</v>
      </c>
      <c r="R350" s="15">
        <v>963.32</v>
      </c>
      <c r="S350" s="16">
        <v>11.63</v>
      </c>
      <c r="T350" s="15">
        <v>175407221</v>
      </c>
      <c r="U350" s="17">
        <v>45741</v>
      </c>
      <c r="V350" s="15" t="str">
        <f t="shared" si="15"/>
        <v>Complete</v>
      </c>
    </row>
    <row r="351" spans="1:22" ht="14.5" customHeight="1" x14ac:dyDescent="0.35">
      <c r="A351" s="18" t="s">
        <v>7195</v>
      </c>
      <c r="B351" s="18" t="s">
        <v>6725</v>
      </c>
      <c r="C351" s="18" t="s">
        <v>2419</v>
      </c>
      <c r="D351" s="18" t="s">
        <v>2420</v>
      </c>
      <c r="E351" s="18" t="s">
        <v>13</v>
      </c>
      <c r="F351" s="15" t="str">
        <f t="shared" si="16"/>
        <v>Male</v>
      </c>
      <c r="G351" s="18" t="s">
        <v>2421</v>
      </c>
      <c r="H351" s="18" t="s">
        <v>2422</v>
      </c>
      <c r="I351" s="18">
        <v>350</v>
      </c>
      <c r="J351" s="18">
        <v>350</v>
      </c>
      <c r="K351" s="18" t="s">
        <v>32</v>
      </c>
      <c r="L351" s="18" t="s">
        <v>2423</v>
      </c>
      <c r="M351" s="18" t="s">
        <v>2424</v>
      </c>
      <c r="N351" s="18" t="s">
        <v>8033</v>
      </c>
      <c r="O351" s="18" t="s">
        <v>8033</v>
      </c>
      <c r="P351" s="18" t="s">
        <v>8033</v>
      </c>
      <c r="Q351" s="22">
        <f t="shared" si="17"/>
        <v>0</v>
      </c>
      <c r="R351" s="18">
        <v>1402.43</v>
      </c>
      <c r="S351" s="19">
        <v>-17.600000000000001</v>
      </c>
      <c r="T351" s="18">
        <v>11505408</v>
      </c>
      <c r="U351" s="20">
        <v>44024</v>
      </c>
      <c r="V351" s="18" t="str">
        <f t="shared" si="15"/>
        <v>Missing</v>
      </c>
    </row>
    <row r="352" spans="1:22" ht="14.5" customHeight="1" x14ac:dyDescent="0.35">
      <c r="A352" s="15" t="s">
        <v>7196</v>
      </c>
      <c r="B352" s="15" t="s">
        <v>7197</v>
      </c>
      <c r="C352" s="15" t="s">
        <v>2425</v>
      </c>
      <c r="D352" s="15" t="s">
        <v>2426</v>
      </c>
      <c r="E352" s="15" t="s">
        <v>13</v>
      </c>
      <c r="F352" s="15" t="str">
        <f t="shared" si="16"/>
        <v>Male</v>
      </c>
      <c r="G352" s="15" t="s">
        <v>2427</v>
      </c>
      <c r="H352" s="15" t="s">
        <v>2428</v>
      </c>
      <c r="I352" s="15">
        <v>351</v>
      </c>
      <c r="J352" s="15">
        <v>351</v>
      </c>
      <c r="K352" s="15" t="s">
        <v>5</v>
      </c>
      <c r="L352" s="15" t="s">
        <v>1503</v>
      </c>
      <c r="M352" s="15" t="s">
        <v>1504</v>
      </c>
      <c r="N352" s="15" t="s">
        <v>134</v>
      </c>
      <c r="O352" s="15" t="s">
        <v>1138</v>
      </c>
      <c r="P352" s="15" t="s">
        <v>1505</v>
      </c>
      <c r="Q352" s="22">
        <f t="shared" si="17"/>
        <v>806930000</v>
      </c>
      <c r="R352" s="15">
        <v>1839.45</v>
      </c>
      <c r="S352" s="16">
        <v>0.69</v>
      </c>
      <c r="T352" s="15">
        <v>104252625</v>
      </c>
      <c r="U352" s="17">
        <v>44153</v>
      </c>
      <c r="V352" s="15" t="str">
        <f t="shared" si="15"/>
        <v>Complete</v>
      </c>
    </row>
    <row r="353" spans="1:22" ht="14.5" customHeight="1" x14ac:dyDescent="0.35">
      <c r="A353" s="18" t="s">
        <v>7198</v>
      </c>
      <c r="B353" s="18" t="s">
        <v>7199</v>
      </c>
      <c r="C353" s="18" t="s">
        <v>2429</v>
      </c>
      <c r="D353" s="18" t="s">
        <v>2430</v>
      </c>
      <c r="E353" s="18" t="s">
        <v>13</v>
      </c>
      <c r="F353" s="15" t="str">
        <f t="shared" si="16"/>
        <v>Male</v>
      </c>
      <c r="G353" s="18" t="s">
        <v>2431</v>
      </c>
      <c r="H353" s="18" t="s">
        <v>2432</v>
      </c>
      <c r="I353" s="18">
        <v>352</v>
      </c>
      <c r="J353" s="18">
        <v>352</v>
      </c>
      <c r="K353" s="18" t="s">
        <v>5</v>
      </c>
      <c r="L353" s="18" t="s">
        <v>2433</v>
      </c>
      <c r="M353" s="18" t="s">
        <v>2434</v>
      </c>
      <c r="N353" s="18" t="s">
        <v>189</v>
      </c>
      <c r="O353" s="18" t="s">
        <v>190</v>
      </c>
      <c r="P353" s="18" t="s">
        <v>2435</v>
      </c>
      <c r="Q353" s="22">
        <f t="shared" si="17"/>
        <v>855120000</v>
      </c>
      <c r="R353" s="18">
        <v>1147.93</v>
      </c>
      <c r="S353" s="19">
        <v>6.57</v>
      </c>
      <c r="T353" s="18">
        <v>62365170</v>
      </c>
      <c r="U353" s="20">
        <v>46378</v>
      </c>
      <c r="V353" s="18" t="str">
        <f t="shared" si="15"/>
        <v>Complete</v>
      </c>
    </row>
    <row r="354" spans="1:22" ht="14.5" customHeight="1" x14ac:dyDescent="0.35">
      <c r="A354" s="15" t="s">
        <v>7200</v>
      </c>
      <c r="B354" s="15" t="s">
        <v>7111</v>
      </c>
      <c r="C354" s="15" t="s">
        <v>1211</v>
      </c>
      <c r="D354" s="15" t="s">
        <v>2436</v>
      </c>
      <c r="E354" s="15" t="s">
        <v>2</v>
      </c>
      <c r="F354" s="15" t="str">
        <f t="shared" si="16"/>
        <v>Female</v>
      </c>
      <c r="G354" s="15" t="s">
        <v>2437</v>
      </c>
      <c r="H354" s="15" t="s">
        <v>2438</v>
      </c>
      <c r="I354" s="15">
        <v>353</v>
      </c>
      <c r="J354" s="15">
        <v>353</v>
      </c>
      <c r="K354" s="15" t="s">
        <v>5</v>
      </c>
      <c r="L354" s="15" t="s">
        <v>2439</v>
      </c>
      <c r="M354" s="15" t="s">
        <v>2440</v>
      </c>
      <c r="N354" s="15" t="s">
        <v>189</v>
      </c>
      <c r="O354" s="15" t="s">
        <v>190</v>
      </c>
      <c r="P354" s="15" t="s">
        <v>2441</v>
      </c>
      <c r="Q354" s="22">
        <f t="shared" si="17"/>
        <v>2560000000</v>
      </c>
      <c r="R354" s="15">
        <v>869.21</v>
      </c>
      <c r="S354" s="16">
        <v>-14.55</v>
      </c>
      <c r="T354" s="15">
        <v>146348123</v>
      </c>
      <c r="U354" s="17">
        <v>46284</v>
      </c>
      <c r="V354" s="15" t="str">
        <f t="shared" si="15"/>
        <v>Complete</v>
      </c>
    </row>
    <row r="355" spans="1:22" ht="14.5" customHeight="1" x14ac:dyDescent="0.35">
      <c r="A355" s="18" t="s">
        <v>7201</v>
      </c>
      <c r="B355" s="18" t="s">
        <v>7202</v>
      </c>
      <c r="C355" s="18" t="s">
        <v>2442</v>
      </c>
      <c r="D355" s="18" t="s">
        <v>2443</v>
      </c>
      <c r="E355" s="18" t="s">
        <v>13</v>
      </c>
      <c r="F355" s="15" t="str">
        <f t="shared" si="16"/>
        <v>Male</v>
      </c>
      <c r="G355" s="18" t="s">
        <v>2444</v>
      </c>
      <c r="H355" s="18" t="s">
        <v>2445</v>
      </c>
      <c r="I355" s="18">
        <v>354</v>
      </c>
      <c r="J355" s="18">
        <v>354</v>
      </c>
      <c r="K355" s="18" t="s">
        <v>5</v>
      </c>
      <c r="L355" s="18" t="s">
        <v>2446</v>
      </c>
      <c r="M355" s="18" t="s">
        <v>2447</v>
      </c>
      <c r="N355" s="18" t="s">
        <v>8</v>
      </c>
      <c r="O355" s="18" t="s">
        <v>1025</v>
      </c>
      <c r="P355" s="18" t="s">
        <v>8033</v>
      </c>
      <c r="Q355" s="22">
        <f t="shared" si="17"/>
        <v>0</v>
      </c>
      <c r="R355" s="18">
        <v>9</v>
      </c>
      <c r="S355" s="19">
        <v>-19.93</v>
      </c>
      <c r="T355" s="18">
        <v>21602581</v>
      </c>
      <c r="U355" s="20">
        <v>45900</v>
      </c>
      <c r="V355" s="18" t="str">
        <f t="shared" si="15"/>
        <v>Missing</v>
      </c>
    </row>
    <row r="356" spans="1:22" ht="14.5" customHeight="1" x14ac:dyDescent="0.35">
      <c r="A356" s="15" t="s">
        <v>7203</v>
      </c>
      <c r="B356" s="15" t="s">
        <v>7179</v>
      </c>
      <c r="C356" s="15" t="s">
        <v>2448</v>
      </c>
      <c r="D356" s="15" t="s">
        <v>2449</v>
      </c>
      <c r="E356" s="15" t="s">
        <v>13</v>
      </c>
      <c r="F356" s="15" t="str">
        <f t="shared" si="16"/>
        <v>Male</v>
      </c>
      <c r="G356" s="15" t="s">
        <v>2450</v>
      </c>
      <c r="H356" s="15" t="s">
        <v>2451</v>
      </c>
      <c r="I356" s="15">
        <v>355</v>
      </c>
      <c r="J356" s="15">
        <v>355</v>
      </c>
      <c r="K356" s="15" t="s">
        <v>32</v>
      </c>
      <c r="L356" s="15" t="s">
        <v>2452</v>
      </c>
      <c r="M356" s="15" t="s">
        <v>2453</v>
      </c>
      <c r="N356" s="15" t="s">
        <v>134</v>
      </c>
      <c r="O356" s="15" t="s">
        <v>2454</v>
      </c>
      <c r="P356" s="15" t="s">
        <v>1715</v>
      </c>
      <c r="Q356" s="22">
        <f t="shared" si="17"/>
        <v>1700000000</v>
      </c>
      <c r="R356" s="15">
        <v>457.76</v>
      </c>
      <c r="S356" s="16">
        <v>-0.27</v>
      </c>
      <c r="T356" s="15">
        <v>77862066</v>
      </c>
      <c r="U356" s="17">
        <v>44403</v>
      </c>
      <c r="V356" s="15" t="str">
        <f t="shared" si="15"/>
        <v>Complete</v>
      </c>
    </row>
    <row r="357" spans="1:22" ht="14.5" customHeight="1" x14ac:dyDescent="0.35">
      <c r="A357" s="18" t="s">
        <v>7204</v>
      </c>
      <c r="B357" s="18" t="s">
        <v>7109</v>
      </c>
      <c r="C357" s="18" t="s">
        <v>2455</v>
      </c>
      <c r="D357" s="18" t="s">
        <v>2456</v>
      </c>
      <c r="E357" s="18" t="s">
        <v>13</v>
      </c>
      <c r="F357" s="15" t="str">
        <f t="shared" si="16"/>
        <v>Male</v>
      </c>
      <c r="G357" s="18" t="s">
        <v>2457</v>
      </c>
      <c r="H357" s="18" t="s">
        <v>2458</v>
      </c>
      <c r="I357" s="18">
        <v>356</v>
      </c>
      <c r="J357" s="18">
        <v>356</v>
      </c>
      <c r="K357" s="18" t="s">
        <v>5</v>
      </c>
      <c r="L357" s="18" t="s">
        <v>2459</v>
      </c>
      <c r="M357" s="18" t="s">
        <v>2460</v>
      </c>
      <c r="N357" s="18" t="s">
        <v>8</v>
      </c>
      <c r="O357" s="18" t="s">
        <v>9</v>
      </c>
      <c r="P357" s="18" t="s">
        <v>2461</v>
      </c>
      <c r="Q357" s="22">
        <f t="shared" si="17"/>
        <v>578340000</v>
      </c>
      <c r="R357" s="18">
        <v>386.14</v>
      </c>
      <c r="S357" s="19">
        <v>1.36</v>
      </c>
      <c r="T357" s="18">
        <v>141010655</v>
      </c>
      <c r="U357" s="20">
        <v>44323</v>
      </c>
      <c r="V357" s="18" t="str">
        <f t="shared" si="15"/>
        <v>Complete</v>
      </c>
    </row>
    <row r="358" spans="1:22" ht="14.5" customHeight="1" x14ac:dyDescent="0.35">
      <c r="A358" s="15" t="s">
        <v>7205</v>
      </c>
      <c r="B358" s="15" t="s">
        <v>6674</v>
      </c>
      <c r="C358" s="15" t="s">
        <v>2462</v>
      </c>
      <c r="D358" s="15" t="s">
        <v>2463</v>
      </c>
      <c r="E358" s="15" t="s">
        <v>2</v>
      </c>
      <c r="F358" s="15" t="str">
        <f t="shared" si="16"/>
        <v>Female</v>
      </c>
      <c r="G358" s="15" t="s">
        <v>2464</v>
      </c>
      <c r="H358" s="15" t="s">
        <v>2465</v>
      </c>
      <c r="I358" s="15">
        <v>357</v>
      </c>
      <c r="J358" s="15">
        <v>357</v>
      </c>
      <c r="K358" s="15" t="s">
        <v>5</v>
      </c>
      <c r="L358" s="15" t="s">
        <v>2466</v>
      </c>
      <c r="M358" s="15" t="s">
        <v>2467</v>
      </c>
      <c r="N358" s="15" t="s">
        <v>8</v>
      </c>
      <c r="O358" s="15" t="s">
        <v>2468</v>
      </c>
      <c r="P358" s="15" t="s">
        <v>2469</v>
      </c>
      <c r="Q358" s="22">
        <f t="shared" si="17"/>
        <v>562750000</v>
      </c>
      <c r="R358" s="15">
        <v>1889.57</v>
      </c>
      <c r="S358" s="16">
        <v>-0.95</v>
      </c>
      <c r="T358" s="15">
        <v>173998589</v>
      </c>
      <c r="U358" s="17">
        <v>45897</v>
      </c>
      <c r="V358" s="15" t="str">
        <f t="shared" si="15"/>
        <v>Complete</v>
      </c>
    </row>
    <row r="359" spans="1:22" ht="14.5" customHeight="1" x14ac:dyDescent="0.35">
      <c r="A359" s="18" t="s">
        <v>7206</v>
      </c>
      <c r="B359" s="18" t="s">
        <v>7207</v>
      </c>
      <c r="C359" s="18" t="s">
        <v>1391</v>
      </c>
      <c r="D359" s="18" t="s">
        <v>2470</v>
      </c>
      <c r="E359" s="18" t="s">
        <v>2</v>
      </c>
      <c r="F359" s="15" t="str">
        <f t="shared" si="16"/>
        <v>Female</v>
      </c>
      <c r="G359" s="18" t="s">
        <v>2471</v>
      </c>
      <c r="H359" s="18" t="s">
        <v>2472</v>
      </c>
      <c r="I359" s="18">
        <v>358</v>
      </c>
      <c r="J359" s="18">
        <v>358</v>
      </c>
      <c r="K359" s="18" t="s">
        <v>32</v>
      </c>
      <c r="L359" s="18" t="s">
        <v>2473</v>
      </c>
      <c r="M359" s="18" t="s">
        <v>741</v>
      </c>
      <c r="N359" s="18" t="s">
        <v>8033</v>
      </c>
      <c r="O359" s="18" t="s">
        <v>8033</v>
      </c>
      <c r="P359" s="18" t="s">
        <v>8033</v>
      </c>
      <c r="Q359" s="22">
        <f t="shared" si="17"/>
        <v>0</v>
      </c>
      <c r="R359" s="18">
        <v>360.33</v>
      </c>
      <c r="S359" s="19">
        <v>17.170000000000002</v>
      </c>
      <c r="T359" s="18">
        <v>81328844</v>
      </c>
      <c r="U359" s="20">
        <v>44474</v>
      </c>
      <c r="V359" s="18" t="str">
        <f t="shared" si="15"/>
        <v>Missing</v>
      </c>
    </row>
    <row r="360" spans="1:22" ht="14.5" customHeight="1" x14ac:dyDescent="0.35">
      <c r="A360" s="15" t="s">
        <v>7208</v>
      </c>
      <c r="B360" s="15" t="s">
        <v>6832</v>
      </c>
      <c r="C360" s="15" t="s">
        <v>2474</v>
      </c>
      <c r="D360" s="15" t="s">
        <v>2475</v>
      </c>
      <c r="E360" s="15" t="s">
        <v>2</v>
      </c>
      <c r="F360" s="15" t="str">
        <f t="shared" si="16"/>
        <v>Female</v>
      </c>
      <c r="G360" s="15" t="s">
        <v>2476</v>
      </c>
      <c r="H360" s="15" t="s">
        <v>2477</v>
      </c>
      <c r="I360" s="15">
        <v>359</v>
      </c>
      <c r="J360" s="15">
        <v>359</v>
      </c>
      <c r="K360" s="15" t="s">
        <v>5</v>
      </c>
      <c r="L360" s="15" t="s">
        <v>2478</v>
      </c>
      <c r="M360" s="15" t="s">
        <v>2479</v>
      </c>
      <c r="N360" s="15" t="s">
        <v>48</v>
      </c>
      <c r="O360" s="15" t="s">
        <v>484</v>
      </c>
      <c r="P360" s="15" t="s">
        <v>2480</v>
      </c>
      <c r="Q360" s="22">
        <f t="shared" si="17"/>
        <v>225470000</v>
      </c>
      <c r="R360" s="15">
        <v>183.93</v>
      </c>
      <c r="S360" s="16">
        <v>-11.33</v>
      </c>
      <c r="T360" s="15">
        <v>175718609</v>
      </c>
      <c r="U360" s="17">
        <v>45096</v>
      </c>
      <c r="V360" s="15" t="str">
        <f t="shared" si="15"/>
        <v>Complete</v>
      </c>
    </row>
    <row r="361" spans="1:22" ht="14.5" customHeight="1" x14ac:dyDescent="0.35">
      <c r="A361" s="18" t="s">
        <v>7209</v>
      </c>
      <c r="B361" s="18" t="s">
        <v>6667</v>
      </c>
      <c r="C361" s="18" t="s">
        <v>2481</v>
      </c>
      <c r="D361" s="18" t="s">
        <v>2482</v>
      </c>
      <c r="E361" s="18" t="s">
        <v>2</v>
      </c>
      <c r="F361" s="15" t="str">
        <f t="shared" si="16"/>
        <v>Female</v>
      </c>
      <c r="G361" s="18" t="s">
        <v>2483</v>
      </c>
      <c r="H361" s="18" t="s">
        <v>2484</v>
      </c>
      <c r="I361" s="18">
        <v>360</v>
      </c>
      <c r="J361" s="18">
        <v>360</v>
      </c>
      <c r="K361" s="18" t="s">
        <v>32</v>
      </c>
      <c r="L361" s="18" t="s">
        <v>2485</v>
      </c>
      <c r="M361" s="18" t="s">
        <v>2486</v>
      </c>
      <c r="N361" s="18" t="s">
        <v>142</v>
      </c>
      <c r="O361" s="18" t="s">
        <v>143</v>
      </c>
      <c r="P361" s="18" t="s">
        <v>2487</v>
      </c>
      <c r="Q361" s="22">
        <f t="shared" si="17"/>
        <v>426470000</v>
      </c>
      <c r="R361" s="18">
        <v>157.61000000000001</v>
      </c>
      <c r="S361" s="19">
        <v>2.4</v>
      </c>
      <c r="T361" s="18">
        <v>109994523</v>
      </c>
      <c r="U361" s="20">
        <v>44502</v>
      </c>
      <c r="V361" s="18" t="str">
        <f t="shared" si="15"/>
        <v>Complete</v>
      </c>
    </row>
    <row r="362" spans="1:22" ht="14.5" customHeight="1" x14ac:dyDescent="0.35">
      <c r="A362" s="15" t="s">
        <v>7210</v>
      </c>
      <c r="B362" s="15" t="s">
        <v>7211</v>
      </c>
      <c r="C362" s="15" t="s">
        <v>2488</v>
      </c>
      <c r="D362" s="15" t="s">
        <v>2489</v>
      </c>
      <c r="E362" s="15" t="s">
        <v>2</v>
      </c>
      <c r="F362" s="15" t="str">
        <f t="shared" si="16"/>
        <v>Female</v>
      </c>
      <c r="G362" s="15" t="s">
        <v>2490</v>
      </c>
      <c r="H362" s="15" t="s">
        <v>2491</v>
      </c>
      <c r="I362" s="15">
        <v>361</v>
      </c>
      <c r="J362" s="15">
        <v>361</v>
      </c>
      <c r="K362" s="15" t="s">
        <v>32</v>
      </c>
      <c r="L362" s="15" t="s">
        <v>2492</v>
      </c>
      <c r="M362" s="15" t="s">
        <v>2493</v>
      </c>
      <c r="N362" s="15" t="s">
        <v>48</v>
      </c>
      <c r="O362" s="15" t="s">
        <v>669</v>
      </c>
      <c r="P362" s="15" t="s">
        <v>2494</v>
      </c>
      <c r="Q362" s="22">
        <f t="shared" si="17"/>
        <v>4930000000</v>
      </c>
      <c r="R362" s="15">
        <v>1595.42</v>
      </c>
      <c r="S362" s="16">
        <v>-4.3099999999999996</v>
      </c>
      <c r="T362" s="15">
        <v>82953569</v>
      </c>
      <c r="U362" s="17">
        <v>45066</v>
      </c>
      <c r="V362" s="15" t="str">
        <f t="shared" si="15"/>
        <v>Complete</v>
      </c>
    </row>
    <row r="363" spans="1:22" ht="14.5" customHeight="1" x14ac:dyDescent="0.35">
      <c r="A363" s="18" t="s">
        <v>7212</v>
      </c>
      <c r="B363" s="18" t="s">
        <v>7213</v>
      </c>
      <c r="C363" s="18" t="s">
        <v>2495</v>
      </c>
      <c r="D363" s="18" t="s">
        <v>2496</v>
      </c>
      <c r="E363" s="18" t="s">
        <v>13</v>
      </c>
      <c r="F363" s="15" t="str">
        <f t="shared" si="16"/>
        <v>Male</v>
      </c>
      <c r="G363" s="18" t="s">
        <v>2497</v>
      </c>
      <c r="H363" s="18" t="s">
        <v>2498</v>
      </c>
      <c r="I363" s="18">
        <v>362</v>
      </c>
      <c r="J363" s="18">
        <v>362</v>
      </c>
      <c r="K363" s="18" t="s">
        <v>32</v>
      </c>
      <c r="L363" s="18" t="s">
        <v>2499</v>
      </c>
      <c r="M363" s="18" t="s">
        <v>2500</v>
      </c>
      <c r="N363" s="18" t="s">
        <v>323</v>
      </c>
      <c r="O363" s="18" t="s">
        <v>1097</v>
      </c>
      <c r="P363" s="18" t="s">
        <v>2501</v>
      </c>
      <c r="Q363" s="22">
        <f t="shared" si="17"/>
        <v>52170000</v>
      </c>
      <c r="R363" s="18">
        <v>1506.12</v>
      </c>
      <c r="S363" s="19">
        <v>-1.39</v>
      </c>
      <c r="T363" s="18">
        <v>9599649</v>
      </c>
      <c r="U363" s="20">
        <v>45755</v>
      </c>
      <c r="V363" s="18" t="str">
        <f t="shared" si="15"/>
        <v>Complete</v>
      </c>
    </row>
    <row r="364" spans="1:22" ht="14.5" customHeight="1" x14ac:dyDescent="0.35">
      <c r="A364" s="15" t="s">
        <v>7214</v>
      </c>
      <c r="B364" s="15" t="s">
        <v>7199</v>
      </c>
      <c r="C364" s="15" t="s">
        <v>2502</v>
      </c>
      <c r="D364" s="15" t="s">
        <v>2503</v>
      </c>
      <c r="E364" s="15" t="s">
        <v>13</v>
      </c>
      <c r="F364" s="15" t="str">
        <f t="shared" si="16"/>
        <v>Male</v>
      </c>
      <c r="G364" s="15" t="s">
        <v>2504</v>
      </c>
      <c r="H364" s="15" t="s">
        <v>2505</v>
      </c>
      <c r="I364" s="15">
        <v>363</v>
      </c>
      <c r="J364" s="15">
        <v>363</v>
      </c>
      <c r="K364" s="15" t="s">
        <v>32</v>
      </c>
      <c r="L364" s="15" t="s">
        <v>2506</v>
      </c>
      <c r="M364" s="15" t="s">
        <v>2507</v>
      </c>
      <c r="N364" s="15" t="s">
        <v>134</v>
      </c>
      <c r="O364" s="15" t="s">
        <v>1138</v>
      </c>
      <c r="P364" s="15" t="s">
        <v>2508</v>
      </c>
      <c r="Q364" s="22">
        <f t="shared" si="17"/>
        <v>20270000000</v>
      </c>
      <c r="R364" s="15">
        <v>483.32</v>
      </c>
      <c r="S364" s="16">
        <v>-3.66</v>
      </c>
      <c r="T364" s="15">
        <v>13989564</v>
      </c>
      <c r="U364" s="17">
        <v>46303</v>
      </c>
      <c r="V364" s="15" t="str">
        <f t="shared" si="15"/>
        <v>Complete</v>
      </c>
    </row>
    <row r="365" spans="1:22" ht="14.5" customHeight="1" x14ac:dyDescent="0.35">
      <c r="A365" s="18" t="s">
        <v>7215</v>
      </c>
      <c r="B365" s="18" t="s">
        <v>7216</v>
      </c>
      <c r="C365" s="18" t="s">
        <v>2509</v>
      </c>
      <c r="D365" s="18" t="s">
        <v>2510</v>
      </c>
      <c r="E365" s="18" t="s">
        <v>1407</v>
      </c>
      <c r="F365" s="15" t="str">
        <f t="shared" si="16"/>
        <v>Other</v>
      </c>
      <c r="G365" s="18" t="s">
        <v>2511</v>
      </c>
      <c r="H365" s="18" t="s">
        <v>2512</v>
      </c>
      <c r="I365" s="18">
        <v>364</v>
      </c>
      <c r="J365" s="18">
        <v>364</v>
      </c>
      <c r="K365" s="18" t="s">
        <v>32</v>
      </c>
      <c r="L365" s="18" t="s">
        <v>2513</v>
      </c>
      <c r="M365" s="18" t="s">
        <v>2514</v>
      </c>
      <c r="N365" s="18" t="s">
        <v>8</v>
      </c>
      <c r="O365" s="18" t="s">
        <v>1430</v>
      </c>
      <c r="P365" s="18" t="s">
        <v>2515</v>
      </c>
      <c r="Q365" s="22">
        <f t="shared" si="17"/>
        <v>787590000</v>
      </c>
      <c r="R365" s="18">
        <v>179.34</v>
      </c>
      <c r="S365" s="19">
        <v>-14.42</v>
      </c>
      <c r="T365" s="18">
        <v>117116643</v>
      </c>
      <c r="U365" s="20">
        <v>44916</v>
      </c>
      <c r="V365" s="18" t="str">
        <f t="shared" si="15"/>
        <v>Complete</v>
      </c>
    </row>
    <row r="366" spans="1:22" ht="14.5" customHeight="1" x14ac:dyDescent="0.35">
      <c r="A366" s="15" t="s">
        <v>7217</v>
      </c>
      <c r="B366" s="15" t="s">
        <v>6841</v>
      </c>
      <c r="C366" s="15" t="s">
        <v>2516</v>
      </c>
      <c r="D366" s="15" t="s">
        <v>2517</v>
      </c>
      <c r="E366" s="15" t="s">
        <v>2</v>
      </c>
      <c r="F366" s="15" t="str">
        <f t="shared" si="16"/>
        <v>Female</v>
      </c>
      <c r="G366" s="15" t="s">
        <v>2518</v>
      </c>
      <c r="H366" s="15" t="s">
        <v>2519</v>
      </c>
      <c r="I366" s="15">
        <v>365</v>
      </c>
      <c r="J366" s="15">
        <v>365</v>
      </c>
      <c r="K366" s="15" t="s">
        <v>5</v>
      </c>
      <c r="L366" s="15" t="s">
        <v>2520</v>
      </c>
      <c r="M366" s="15" t="s">
        <v>2521</v>
      </c>
      <c r="N366" s="15" t="s">
        <v>99</v>
      </c>
      <c r="O366" s="15" t="s">
        <v>100</v>
      </c>
      <c r="P366" s="15" t="s">
        <v>2522</v>
      </c>
      <c r="Q366" s="22">
        <f t="shared" si="17"/>
        <v>16129999.999999998</v>
      </c>
      <c r="R366" s="15">
        <v>353.61</v>
      </c>
      <c r="S366" s="16">
        <v>11.8</v>
      </c>
      <c r="T366" s="15">
        <v>44797804</v>
      </c>
      <c r="U366" s="17">
        <v>45308</v>
      </c>
      <c r="V366" s="15" t="str">
        <f t="shared" si="15"/>
        <v>Complete</v>
      </c>
    </row>
    <row r="367" spans="1:22" ht="14.5" customHeight="1" x14ac:dyDescent="0.35">
      <c r="A367" s="18" t="s">
        <v>7218</v>
      </c>
      <c r="B367" s="18" t="s">
        <v>7219</v>
      </c>
      <c r="C367" s="18" t="s">
        <v>2523</v>
      </c>
      <c r="D367" s="18" t="s">
        <v>2524</v>
      </c>
      <c r="E367" s="18" t="s">
        <v>2</v>
      </c>
      <c r="F367" s="15" t="str">
        <f t="shared" si="16"/>
        <v>Female</v>
      </c>
      <c r="G367" s="18" t="s">
        <v>2525</v>
      </c>
      <c r="H367" s="18" t="s">
        <v>2526</v>
      </c>
      <c r="I367" s="18">
        <v>366</v>
      </c>
      <c r="J367" s="18">
        <v>366</v>
      </c>
      <c r="K367" s="18" t="s">
        <v>32</v>
      </c>
      <c r="L367" s="18" t="s">
        <v>1982</v>
      </c>
      <c r="M367" s="18" t="s">
        <v>1983</v>
      </c>
      <c r="N367" s="18" t="s">
        <v>99</v>
      </c>
      <c r="O367" s="18" t="s">
        <v>1929</v>
      </c>
      <c r="P367" s="18" t="s">
        <v>1984</v>
      </c>
      <c r="Q367" s="22">
        <f t="shared" si="17"/>
        <v>2850000000</v>
      </c>
      <c r="R367" s="18">
        <v>1916.97</v>
      </c>
      <c r="S367" s="19">
        <v>-16.11</v>
      </c>
      <c r="T367" s="18">
        <v>59912843</v>
      </c>
      <c r="U367" s="20">
        <v>44898</v>
      </c>
      <c r="V367" s="18" t="str">
        <f t="shared" si="15"/>
        <v>Complete</v>
      </c>
    </row>
    <row r="368" spans="1:22" ht="14.5" customHeight="1" x14ac:dyDescent="0.35">
      <c r="A368" s="15" t="s">
        <v>7220</v>
      </c>
      <c r="B368" s="15" t="s">
        <v>6597</v>
      </c>
      <c r="C368" s="15" t="s">
        <v>2527</v>
      </c>
      <c r="D368" s="15" t="s">
        <v>2528</v>
      </c>
      <c r="E368" s="15" t="s">
        <v>13</v>
      </c>
      <c r="F368" s="15" t="str">
        <f t="shared" si="16"/>
        <v>Male</v>
      </c>
      <c r="G368" s="15" t="s">
        <v>2529</v>
      </c>
      <c r="H368" s="15" t="s">
        <v>2530</v>
      </c>
      <c r="I368" s="15">
        <v>367</v>
      </c>
      <c r="J368" s="15">
        <v>367</v>
      </c>
      <c r="K368" s="15" t="s">
        <v>5</v>
      </c>
      <c r="L368" s="15" t="s">
        <v>2531</v>
      </c>
      <c r="M368" s="15" t="s">
        <v>2532</v>
      </c>
      <c r="N368" s="15" t="s">
        <v>8033</v>
      </c>
      <c r="O368" s="15" t="s">
        <v>8033</v>
      </c>
      <c r="P368" s="15" t="s">
        <v>2533</v>
      </c>
      <c r="Q368" s="22">
        <f t="shared" si="17"/>
        <v>96270000</v>
      </c>
      <c r="R368" s="15">
        <v>366.81</v>
      </c>
      <c r="S368" s="16">
        <v>-4</v>
      </c>
      <c r="T368" s="15">
        <v>110694210</v>
      </c>
      <c r="U368" s="17">
        <v>44083</v>
      </c>
      <c r="V368" s="15" t="str">
        <f t="shared" si="15"/>
        <v>Missing</v>
      </c>
    </row>
    <row r="369" spans="1:22" ht="14.5" customHeight="1" x14ac:dyDescent="0.35">
      <c r="A369" s="18" t="s">
        <v>7221</v>
      </c>
      <c r="B369" s="18" t="s">
        <v>6599</v>
      </c>
      <c r="C369" s="18" t="s">
        <v>2534</v>
      </c>
      <c r="D369" s="18" t="s">
        <v>2535</v>
      </c>
      <c r="E369" s="18" t="s">
        <v>61</v>
      </c>
      <c r="F369" s="15" t="str">
        <f t="shared" si="16"/>
        <v>Other</v>
      </c>
      <c r="G369" s="18" t="s">
        <v>2536</v>
      </c>
      <c r="H369" s="18" t="s">
        <v>2537</v>
      </c>
      <c r="I369" s="18">
        <v>368</v>
      </c>
      <c r="J369" s="18">
        <v>368</v>
      </c>
      <c r="K369" s="18" t="s">
        <v>5</v>
      </c>
      <c r="L369" s="18" t="s">
        <v>2538</v>
      </c>
      <c r="M369" s="18" t="s">
        <v>2539</v>
      </c>
      <c r="N369" s="18" t="s">
        <v>99</v>
      </c>
      <c r="O369" s="18" t="s">
        <v>1929</v>
      </c>
      <c r="P369" s="18" t="s">
        <v>8033</v>
      </c>
      <c r="Q369" s="22">
        <f t="shared" si="17"/>
        <v>0</v>
      </c>
      <c r="R369" s="18">
        <v>1725.25</v>
      </c>
      <c r="S369" s="19">
        <v>-19.02</v>
      </c>
      <c r="T369" s="18">
        <v>152083531</v>
      </c>
      <c r="U369" s="20">
        <v>46120</v>
      </c>
      <c r="V369" s="18" t="str">
        <f t="shared" si="15"/>
        <v>Missing</v>
      </c>
    </row>
    <row r="370" spans="1:22" ht="14.5" customHeight="1" x14ac:dyDescent="0.35">
      <c r="A370" s="15" t="s">
        <v>7222</v>
      </c>
      <c r="B370" s="15" t="s">
        <v>7083</v>
      </c>
      <c r="C370" s="15" t="s">
        <v>2540</v>
      </c>
      <c r="D370" s="15" t="s">
        <v>2541</v>
      </c>
      <c r="E370" s="15" t="s">
        <v>13</v>
      </c>
      <c r="F370" s="15" t="str">
        <f t="shared" si="16"/>
        <v>Male</v>
      </c>
      <c r="G370" s="15" t="s">
        <v>2542</v>
      </c>
      <c r="H370" s="15" t="s">
        <v>2543</v>
      </c>
      <c r="I370" s="15">
        <v>369</v>
      </c>
      <c r="J370" s="15">
        <v>369</v>
      </c>
      <c r="K370" s="15" t="s">
        <v>32</v>
      </c>
      <c r="L370" s="15" t="s">
        <v>2343</v>
      </c>
      <c r="M370" s="15" t="s">
        <v>2344</v>
      </c>
      <c r="N370" s="15" t="s">
        <v>66</v>
      </c>
      <c r="O370" s="15" t="s">
        <v>762</v>
      </c>
      <c r="P370" s="15" t="s">
        <v>2345</v>
      </c>
      <c r="Q370" s="22">
        <f t="shared" si="17"/>
        <v>1880000000</v>
      </c>
      <c r="R370" s="15">
        <v>1254.3499999999999</v>
      </c>
      <c r="S370" s="16">
        <v>15.92</v>
      </c>
      <c r="T370" s="15">
        <v>138951659</v>
      </c>
      <c r="U370" s="17">
        <v>44364</v>
      </c>
      <c r="V370" s="15" t="str">
        <f t="shared" si="15"/>
        <v>Complete</v>
      </c>
    </row>
    <row r="371" spans="1:22" ht="14.5" customHeight="1" x14ac:dyDescent="0.35">
      <c r="A371" s="18" t="s">
        <v>7223</v>
      </c>
      <c r="B371" s="18" t="s">
        <v>7224</v>
      </c>
      <c r="C371" s="18" t="s">
        <v>2544</v>
      </c>
      <c r="D371" s="18" t="s">
        <v>2545</v>
      </c>
      <c r="E371" s="18" t="s">
        <v>13</v>
      </c>
      <c r="F371" s="15" t="str">
        <f t="shared" si="16"/>
        <v>Male</v>
      </c>
      <c r="G371" s="18" t="s">
        <v>2546</v>
      </c>
      <c r="H371" s="18" t="s">
        <v>2547</v>
      </c>
      <c r="I371" s="18">
        <v>370</v>
      </c>
      <c r="J371" s="18">
        <v>370</v>
      </c>
      <c r="K371" s="18" t="s">
        <v>32</v>
      </c>
      <c r="L371" s="18" t="s">
        <v>2548</v>
      </c>
      <c r="M371" s="18" t="s">
        <v>2549</v>
      </c>
      <c r="N371" s="18" t="s">
        <v>117</v>
      </c>
      <c r="O371" s="18" t="s">
        <v>118</v>
      </c>
      <c r="P371" s="18" t="s">
        <v>2550</v>
      </c>
      <c r="Q371" s="22">
        <f t="shared" si="17"/>
        <v>81780000000</v>
      </c>
      <c r="R371" s="18">
        <v>1095.94</v>
      </c>
      <c r="S371" s="19">
        <v>-19.3</v>
      </c>
      <c r="T371" s="18">
        <v>131400820</v>
      </c>
      <c r="U371" s="20">
        <v>45255</v>
      </c>
      <c r="V371" s="18" t="str">
        <f t="shared" si="15"/>
        <v>Complete</v>
      </c>
    </row>
    <row r="372" spans="1:22" ht="14.5" customHeight="1" x14ac:dyDescent="0.35">
      <c r="A372" s="15" t="s">
        <v>7225</v>
      </c>
      <c r="B372" s="15" t="s">
        <v>7032</v>
      </c>
      <c r="C372" s="15" t="s">
        <v>749</v>
      </c>
      <c r="D372" s="15" t="s">
        <v>280</v>
      </c>
      <c r="E372" s="15" t="s">
        <v>13</v>
      </c>
      <c r="F372" s="15" t="str">
        <f t="shared" si="16"/>
        <v>Male</v>
      </c>
      <c r="G372" s="15" t="s">
        <v>2551</v>
      </c>
      <c r="H372" s="15" t="s">
        <v>2552</v>
      </c>
      <c r="I372" s="15">
        <v>371</v>
      </c>
      <c r="J372" s="15">
        <v>371</v>
      </c>
      <c r="K372" s="15" t="s">
        <v>5</v>
      </c>
      <c r="L372" s="15" t="s">
        <v>2553</v>
      </c>
      <c r="M372" s="15" t="s">
        <v>2554</v>
      </c>
      <c r="N372" s="15" t="s">
        <v>99</v>
      </c>
      <c r="O372" s="15" t="s">
        <v>2555</v>
      </c>
      <c r="P372" s="15" t="s">
        <v>2556</v>
      </c>
      <c r="Q372" s="22">
        <f t="shared" si="17"/>
        <v>23380000000</v>
      </c>
      <c r="R372" s="15">
        <v>755.28</v>
      </c>
      <c r="S372" s="16">
        <v>-15.49</v>
      </c>
      <c r="T372" s="15">
        <v>78454310</v>
      </c>
      <c r="U372" s="17">
        <v>46346</v>
      </c>
      <c r="V372" s="15" t="str">
        <f t="shared" si="15"/>
        <v>Complete</v>
      </c>
    </row>
    <row r="373" spans="1:22" ht="14.5" customHeight="1" x14ac:dyDescent="0.35">
      <c r="A373" s="18" t="s">
        <v>7226</v>
      </c>
      <c r="B373" s="18" t="s">
        <v>7227</v>
      </c>
      <c r="C373" s="18" t="s">
        <v>2557</v>
      </c>
      <c r="D373" s="18" t="s">
        <v>2558</v>
      </c>
      <c r="E373" s="18" t="s">
        <v>2</v>
      </c>
      <c r="F373" s="15" t="str">
        <f t="shared" si="16"/>
        <v>Female</v>
      </c>
      <c r="G373" s="18" t="s">
        <v>2559</v>
      </c>
      <c r="H373" s="18" t="s">
        <v>2560</v>
      </c>
      <c r="I373" s="18">
        <v>372</v>
      </c>
      <c r="J373" s="18">
        <v>372</v>
      </c>
      <c r="K373" s="18" t="s">
        <v>5</v>
      </c>
      <c r="L373" s="18" t="s">
        <v>2561</v>
      </c>
      <c r="M373" s="18" t="s">
        <v>2562</v>
      </c>
      <c r="N373" s="18" t="s">
        <v>25</v>
      </c>
      <c r="O373" s="18" t="s">
        <v>2267</v>
      </c>
      <c r="P373" s="18" t="s">
        <v>2563</v>
      </c>
      <c r="Q373" s="22">
        <f t="shared" si="17"/>
        <v>536159999.99999994</v>
      </c>
      <c r="R373" s="18">
        <v>422.22</v>
      </c>
      <c r="S373" s="19">
        <v>-0.28000000000000003</v>
      </c>
      <c r="T373" s="18">
        <v>27083210</v>
      </c>
      <c r="U373" s="20">
        <v>46203</v>
      </c>
      <c r="V373" s="18" t="str">
        <f t="shared" si="15"/>
        <v>Complete</v>
      </c>
    </row>
    <row r="374" spans="1:22" ht="14.5" customHeight="1" x14ac:dyDescent="0.35">
      <c r="A374" s="15" t="s">
        <v>7228</v>
      </c>
      <c r="B374" s="15" t="s">
        <v>7229</v>
      </c>
      <c r="C374" s="15" t="s">
        <v>2564</v>
      </c>
      <c r="D374" s="15" t="s">
        <v>2565</v>
      </c>
      <c r="E374" s="15" t="s">
        <v>13</v>
      </c>
      <c r="F374" s="15" t="str">
        <f t="shared" si="16"/>
        <v>Male</v>
      </c>
      <c r="G374" s="15" t="s">
        <v>2566</v>
      </c>
      <c r="H374" s="15" t="s">
        <v>2567</v>
      </c>
      <c r="I374" s="15">
        <v>373</v>
      </c>
      <c r="J374" s="15">
        <v>373</v>
      </c>
      <c r="K374" s="15" t="s">
        <v>5</v>
      </c>
      <c r="L374" s="15" t="s">
        <v>2568</v>
      </c>
      <c r="M374" s="15" t="s">
        <v>2569</v>
      </c>
      <c r="N374" s="15" t="s">
        <v>8</v>
      </c>
      <c r="O374" s="15" t="s">
        <v>9</v>
      </c>
      <c r="P374" s="15" t="s">
        <v>2570</v>
      </c>
      <c r="Q374" s="22">
        <f t="shared" si="17"/>
        <v>1560000000</v>
      </c>
      <c r="R374" s="15">
        <v>1278.19</v>
      </c>
      <c r="S374" s="16">
        <v>9.25</v>
      </c>
      <c r="T374" s="15">
        <v>8935981</v>
      </c>
      <c r="U374" s="17">
        <v>44650</v>
      </c>
      <c r="V374" s="15" t="str">
        <f t="shared" si="15"/>
        <v>Complete</v>
      </c>
    </row>
    <row r="375" spans="1:22" ht="14.5" customHeight="1" x14ac:dyDescent="0.35">
      <c r="A375" s="18" t="s">
        <v>7230</v>
      </c>
      <c r="B375" s="18" t="s">
        <v>7231</v>
      </c>
      <c r="C375" s="18" t="s">
        <v>2571</v>
      </c>
      <c r="D375" s="18" t="s">
        <v>2572</v>
      </c>
      <c r="E375" s="18" t="s">
        <v>13</v>
      </c>
      <c r="F375" s="15" t="str">
        <f t="shared" si="16"/>
        <v>Male</v>
      </c>
      <c r="G375" s="18" t="s">
        <v>2573</v>
      </c>
      <c r="H375" s="18" t="s">
        <v>2574</v>
      </c>
      <c r="I375" s="18">
        <v>374</v>
      </c>
      <c r="J375" s="18">
        <v>374</v>
      </c>
      <c r="K375" s="18" t="s">
        <v>5</v>
      </c>
      <c r="L375" s="18" t="s">
        <v>2575</v>
      </c>
      <c r="M375" s="18" t="s">
        <v>2576</v>
      </c>
      <c r="N375" s="18" t="s">
        <v>8033</v>
      </c>
      <c r="O375" s="18" t="s">
        <v>8033</v>
      </c>
      <c r="P375" s="18" t="s">
        <v>2577</v>
      </c>
      <c r="Q375" s="22">
        <f t="shared" si="17"/>
        <v>21910000</v>
      </c>
      <c r="R375" s="18">
        <v>122.38</v>
      </c>
      <c r="S375" s="19">
        <v>-19.87</v>
      </c>
      <c r="T375" s="18">
        <v>115704723</v>
      </c>
      <c r="U375" s="20">
        <v>44948</v>
      </c>
      <c r="V375" s="18" t="str">
        <f t="shared" si="15"/>
        <v>Missing</v>
      </c>
    </row>
    <row r="376" spans="1:22" ht="14.5" customHeight="1" x14ac:dyDescent="0.35">
      <c r="A376" s="15" t="s">
        <v>7232</v>
      </c>
      <c r="B376" s="15" t="s">
        <v>7233</v>
      </c>
      <c r="C376" s="15" t="s">
        <v>2578</v>
      </c>
      <c r="D376" s="15" t="s">
        <v>2579</v>
      </c>
      <c r="E376" s="15" t="s">
        <v>13</v>
      </c>
      <c r="F376" s="15" t="str">
        <f t="shared" si="16"/>
        <v>Male</v>
      </c>
      <c r="G376" s="15" t="s">
        <v>2580</v>
      </c>
      <c r="H376" s="15" t="s">
        <v>2581</v>
      </c>
      <c r="I376" s="15">
        <v>375</v>
      </c>
      <c r="J376" s="15">
        <v>375</v>
      </c>
      <c r="K376" s="15" t="s">
        <v>32</v>
      </c>
      <c r="L376" s="15" t="s">
        <v>2582</v>
      </c>
      <c r="M376" s="15" t="s">
        <v>2583</v>
      </c>
      <c r="N376" s="15" t="s">
        <v>25</v>
      </c>
      <c r="O376" s="15" t="s">
        <v>2267</v>
      </c>
      <c r="P376" s="15" t="s">
        <v>2584</v>
      </c>
      <c r="Q376" s="22">
        <f t="shared" si="17"/>
        <v>6470000000</v>
      </c>
      <c r="R376" s="15">
        <v>1861.49</v>
      </c>
      <c r="S376" s="16">
        <v>-1.76</v>
      </c>
      <c r="T376" s="15">
        <v>127566238</v>
      </c>
      <c r="U376" s="17">
        <v>43960</v>
      </c>
      <c r="V376" s="15" t="str">
        <f t="shared" si="15"/>
        <v>Complete</v>
      </c>
    </row>
    <row r="377" spans="1:22" ht="14.5" customHeight="1" x14ac:dyDescent="0.35">
      <c r="A377" s="18" t="s">
        <v>7234</v>
      </c>
      <c r="B377" s="18" t="s">
        <v>7235</v>
      </c>
      <c r="C377" s="18" t="s">
        <v>2585</v>
      </c>
      <c r="D377" s="18" t="s">
        <v>2586</v>
      </c>
      <c r="E377" s="18" t="s">
        <v>2</v>
      </c>
      <c r="F377" s="15" t="str">
        <f t="shared" si="16"/>
        <v>Female</v>
      </c>
      <c r="G377" s="18" t="s">
        <v>2587</v>
      </c>
      <c r="H377" s="18" t="s">
        <v>2588</v>
      </c>
      <c r="I377" s="18">
        <v>376</v>
      </c>
      <c r="J377" s="18">
        <v>376</v>
      </c>
      <c r="K377" s="18" t="s">
        <v>32</v>
      </c>
      <c r="L377" s="18" t="s">
        <v>2589</v>
      </c>
      <c r="M377" s="18" t="s">
        <v>2590</v>
      </c>
      <c r="N377" s="18" t="s">
        <v>8033</v>
      </c>
      <c r="O377" s="18" t="s">
        <v>8033</v>
      </c>
      <c r="P377" s="18" t="s">
        <v>2591</v>
      </c>
      <c r="Q377" s="22">
        <f t="shared" si="17"/>
        <v>790660000</v>
      </c>
      <c r="R377" s="18">
        <v>907.28</v>
      </c>
      <c r="S377" s="19">
        <v>15.35</v>
      </c>
      <c r="T377" s="18">
        <v>64565846</v>
      </c>
      <c r="U377" s="20">
        <v>46371</v>
      </c>
      <c r="V377" s="18" t="str">
        <f t="shared" si="15"/>
        <v>Missing</v>
      </c>
    </row>
    <row r="378" spans="1:22" ht="14.5" customHeight="1" x14ac:dyDescent="0.35">
      <c r="A378" s="15" t="s">
        <v>7236</v>
      </c>
      <c r="B378" s="15" t="s">
        <v>6941</v>
      </c>
      <c r="C378" s="15" t="s">
        <v>2592</v>
      </c>
      <c r="D378" s="15" t="s">
        <v>2593</v>
      </c>
      <c r="E378" s="15" t="s">
        <v>2</v>
      </c>
      <c r="F378" s="15" t="str">
        <f t="shared" si="16"/>
        <v>Female</v>
      </c>
      <c r="G378" s="15" t="s">
        <v>2594</v>
      </c>
      <c r="H378" s="15" t="s">
        <v>2595</v>
      </c>
      <c r="I378" s="15">
        <v>377</v>
      </c>
      <c r="J378" s="15">
        <v>377</v>
      </c>
      <c r="K378" s="15" t="s">
        <v>32</v>
      </c>
      <c r="L378" s="15" t="s">
        <v>2596</v>
      </c>
      <c r="M378" s="15" t="s">
        <v>1818</v>
      </c>
      <c r="N378" s="15" t="s">
        <v>8033</v>
      </c>
      <c r="O378" s="15" t="s">
        <v>8033</v>
      </c>
      <c r="P378" s="15" t="s">
        <v>2597</v>
      </c>
      <c r="Q378" s="22">
        <f t="shared" si="17"/>
        <v>95400000</v>
      </c>
      <c r="R378" s="15">
        <v>271.20999999999998</v>
      </c>
      <c r="S378" s="16">
        <v>-18.420000000000002</v>
      </c>
      <c r="T378" s="15">
        <v>163968376</v>
      </c>
      <c r="U378" s="17">
        <v>45406</v>
      </c>
      <c r="V378" s="15" t="str">
        <f t="shared" si="15"/>
        <v>Missing</v>
      </c>
    </row>
    <row r="379" spans="1:22" ht="14.5" customHeight="1" x14ac:dyDescent="0.35">
      <c r="A379" s="18" t="s">
        <v>7237</v>
      </c>
      <c r="B379" s="18" t="s">
        <v>7168</v>
      </c>
      <c r="C379" s="18" t="s">
        <v>2598</v>
      </c>
      <c r="D379" s="18" t="s">
        <v>2599</v>
      </c>
      <c r="E379" s="18" t="s">
        <v>2</v>
      </c>
      <c r="F379" s="15" t="str">
        <f t="shared" si="16"/>
        <v>Female</v>
      </c>
      <c r="G379" s="18" t="s">
        <v>2600</v>
      </c>
      <c r="H379" s="18" t="s">
        <v>2601</v>
      </c>
      <c r="I379" s="18">
        <v>378</v>
      </c>
      <c r="J379" s="18">
        <v>378</v>
      </c>
      <c r="K379" s="18" t="s">
        <v>32</v>
      </c>
      <c r="L379" s="18" t="s">
        <v>2602</v>
      </c>
      <c r="M379" s="18" t="s">
        <v>2603</v>
      </c>
      <c r="N379" s="18" t="s">
        <v>99</v>
      </c>
      <c r="O379" s="18" t="s">
        <v>2604</v>
      </c>
      <c r="P379" s="18" t="s">
        <v>2605</v>
      </c>
      <c r="Q379" s="22">
        <f t="shared" si="17"/>
        <v>1350000000</v>
      </c>
      <c r="R379" s="18">
        <v>936.05</v>
      </c>
      <c r="S379" s="19">
        <v>-19.22</v>
      </c>
      <c r="T379" s="18">
        <v>196132322</v>
      </c>
      <c r="U379" s="20">
        <v>45499</v>
      </c>
      <c r="V379" s="18" t="str">
        <f t="shared" si="15"/>
        <v>Complete</v>
      </c>
    </row>
    <row r="380" spans="1:22" ht="14.5" customHeight="1" x14ac:dyDescent="0.35">
      <c r="A380" s="15" t="s">
        <v>7238</v>
      </c>
      <c r="B380" s="15" t="s">
        <v>7160</v>
      </c>
      <c r="C380" s="15" t="s">
        <v>2606</v>
      </c>
      <c r="D380" s="15" t="s">
        <v>2607</v>
      </c>
      <c r="E380" s="15" t="s">
        <v>52</v>
      </c>
      <c r="F380" s="15" t="str">
        <f t="shared" si="16"/>
        <v>Other</v>
      </c>
      <c r="G380" s="15" t="s">
        <v>2608</v>
      </c>
      <c r="H380" s="15" t="s">
        <v>2609</v>
      </c>
      <c r="I380" s="15">
        <v>379</v>
      </c>
      <c r="J380" s="15">
        <v>379</v>
      </c>
      <c r="K380" s="15" t="s">
        <v>5</v>
      </c>
      <c r="L380" s="15" t="s">
        <v>2610</v>
      </c>
      <c r="M380" s="15" t="s">
        <v>2611</v>
      </c>
      <c r="N380" s="15" t="s">
        <v>90</v>
      </c>
      <c r="O380" s="15" t="s">
        <v>91</v>
      </c>
      <c r="P380" s="15" t="s">
        <v>2612</v>
      </c>
      <c r="Q380" s="22">
        <f t="shared" si="17"/>
        <v>3510000000</v>
      </c>
      <c r="R380" s="15">
        <v>267.92</v>
      </c>
      <c r="S380" s="16">
        <v>-15.11</v>
      </c>
      <c r="T380" s="15">
        <v>115680825</v>
      </c>
      <c r="U380" s="17">
        <v>45259</v>
      </c>
      <c r="V380" s="15" t="str">
        <f t="shared" si="15"/>
        <v>Complete</v>
      </c>
    </row>
    <row r="381" spans="1:22" ht="14.5" customHeight="1" x14ac:dyDescent="0.35">
      <c r="A381" s="18" t="s">
        <v>7239</v>
      </c>
      <c r="B381" s="18" t="s">
        <v>6832</v>
      </c>
      <c r="C381" s="18" t="s">
        <v>2613</v>
      </c>
      <c r="D381" s="18" t="s">
        <v>2614</v>
      </c>
      <c r="E381" s="18" t="s">
        <v>2</v>
      </c>
      <c r="F381" s="15" t="str">
        <f t="shared" si="16"/>
        <v>Female</v>
      </c>
      <c r="G381" s="18" t="s">
        <v>2615</v>
      </c>
      <c r="H381" s="18" t="s">
        <v>2616</v>
      </c>
      <c r="I381" s="18">
        <v>380</v>
      </c>
      <c r="J381" s="18">
        <v>380</v>
      </c>
      <c r="K381" s="18" t="s">
        <v>5</v>
      </c>
      <c r="L381" s="18" t="s">
        <v>2617</v>
      </c>
      <c r="M381" s="18" t="s">
        <v>2618</v>
      </c>
      <c r="N381" s="18" t="s">
        <v>8033</v>
      </c>
      <c r="O381" s="18" t="s">
        <v>8033</v>
      </c>
      <c r="P381" s="18" t="s">
        <v>2619</v>
      </c>
      <c r="Q381" s="22">
        <f t="shared" si="17"/>
        <v>95770000</v>
      </c>
      <c r="R381" s="18">
        <v>565.44000000000005</v>
      </c>
      <c r="S381" s="19">
        <v>-12.51</v>
      </c>
      <c r="T381" s="18">
        <v>113907223</v>
      </c>
      <c r="U381" s="20">
        <v>46356</v>
      </c>
      <c r="V381" s="18" t="str">
        <f t="shared" si="15"/>
        <v>Missing</v>
      </c>
    </row>
    <row r="382" spans="1:22" ht="14.5" customHeight="1" x14ac:dyDescent="0.35">
      <c r="A382" s="15" t="s">
        <v>7240</v>
      </c>
      <c r="B382" s="15" t="s">
        <v>6838</v>
      </c>
      <c r="C382" s="15" t="s">
        <v>2620</v>
      </c>
      <c r="D382" s="15" t="s">
        <v>2621</v>
      </c>
      <c r="E382" s="15" t="s">
        <v>13</v>
      </c>
      <c r="F382" s="15" t="str">
        <f t="shared" si="16"/>
        <v>Male</v>
      </c>
      <c r="G382" s="15" t="s">
        <v>2622</v>
      </c>
      <c r="H382" s="15" t="s">
        <v>2623</v>
      </c>
      <c r="I382" s="15">
        <v>381</v>
      </c>
      <c r="J382" s="15">
        <v>381</v>
      </c>
      <c r="K382" s="15" t="s">
        <v>5</v>
      </c>
      <c r="L382" s="15" t="s">
        <v>2624</v>
      </c>
      <c r="M382" s="15" t="s">
        <v>2625</v>
      </c>
      <c r="N382" s="15" t="s">
        <v>8</v>
      </c>
      <c r="O382" s="15" t="s">
        <v>9</v>
      </c>
      <c r="P382" s="15" t="s">
        <v>2626</v>
      </c>
      <c r="Q382" s="22">
        <f t="shared" si="17"/>
        <v>766440000</v>
      </c>
      <c r="R382" s="15">
        <v>536.76</v>
      </c>
      <c r="S382" s="16">
        <v>17.63</v>
      </c>
      <c r="T382" s="15">
        <v>80812922</v>
      </c>
      <c r="U382" s="17">
        <v>45480</v>
      </c>
      <c r="V382" s="15" t="str">
        <f t="shared" si="15"/>
        <v>Complete</v>
      </c>
    </row>
    <row r="383" spans="1:22" ht="14.5" customHeight="1" x14ac:dyDescent="0.35">
      <c r="A383" s="18" t="s">
        <v>7241</v>
      </c>
      <c r="B383" s="18" t="s">
        <v>6949</v>
      </c>
      <c r="C383" s="18" t="s">
        <v>2627</v>
      </c>
      <c r="D383" s="18" t="s">
        <v>2628</v>
      </c>
      <c r="E383" s="18" t="s">
        <v>13</v>
      </c>
      <c r="F383" s="15" t="str">
        <f t="shared" si="16"/>
        <v>Male</v>
      </c>
      <c r="G383" s="18" t="s">
        <v>2629</v>
      </c>
      <c r="H383" s="18" t="s">
        <v>2630</v>
      </c>
      <c r="I383" s="18">
        <v>382</v>
      </c>
      <c r="J383" s="18">
        <v>382</v>
      </c>
      <c r="K383" s="18" t="s">
        <v>5</v>
      </c>
      <c r="L383" s="18" t="s">
        <v>2631</v>
      </c>
      <c r="M383" s="18" t="s">
        <v>2632</v>
      </c>
      <c r="N383" s="18" t="s">
        <v>66</v>
      </c>
      <c r="O383" s="18" t="s">
        <v>422</v>
      </c>
      <c r="P383" s="18" t="s">
        <v>1277</v>
      </c>
      <c r="Q383" s="22">
        <f t="shared" si="17"/>
        <v>1890000000</v>
      </c>
      <c r="R383" s="18">
        <v>783.95</v>
      </c>
      <c r="S383" s="19">
        <v>-1.33</v>
      </c>
      <c r="T383" s="18">
        <v>128209681</v>
      </c>
      <c r="U383" s="20">
        <v>45159</v>
      </c>
      <c r="V383" s="18" t="str">
        <f t="shared" si="15"/>
        <v>Complete</v>
      </c>
    </row>
    <row r="384" spans="1:22" ht="14.5" customHeight="1" x14ac:dyDescent="0.35">
      <c r="A384" s="15" t="s">
        <v>7242</v>
      </c>
      <c r="B384" s="15" t="s">
        <v>7243</v>
      </c>
      <c r="C384" s="15" t="s">
        <v>2633</v>
      </c>
      <c r="D384" s="15" t="s">
        <v>2634</v>
      </c>
      <c r="E384" s="15" t="s">
        <v>2</v>
      </c>
      <c r="F384" s="15" t="str">
        <f t="shared" si="16"/>
        <v>Female</v>
      </c>
      <c r="G384" s="15" t="s">
        <v>2635</v>
      </c>
      <c r="H384" s="15" t="s">
        <v>2636</v>
      </c>
      <c r="I384" s="15">
        <v>383</v>
      </c>
      <c r="J384" s="15">
        <v>383</v>
      </c>
      <c r="K384" s="15" t="s">
        <v>5</v>
      </c>
      <c r="L384" s="15" t="s">
        <v>2637</v>
      </c>
      <c r="M384" s="15" t="s">
        <v>2638</v>
      </c>
      <c r="N384" s="15" t="s">
        <v>8</v>
      </c>
      <c r="O384" s="15" t="s">
        <v>26</v>
      </c>
      <c r="P384" s="15" t="s">
        <v>2639</v>
      </c>
      <c r="Q384" s="22">
        <f t="shared" si="17"/>
        <v>20840000</v>
      </c>
      <c r="R384" s="15">
        <v>1492.92</v>
      </c>
      <c r="S384" s="16">
        <v>-19.53</v>
      </c>
      <c r="T384" s="15">
        <v>147543939</v>
      </c>
      <c r="U384" s="17">
        <v>45533</v>
      </c>
      <c r="V384" s="15" t="str">
        <f t="shared" si="15"/>
        <v>Complete</v>
      </c>
    </row>
    <row r="385" spans="1:22" ht="14.5" customHeight="1" x14ac:dyDescent="0.35">
      <c r="A385" s="18" t="s">
        <v>7244</v>
      </c>
      <c r="B385" s="18" t="s">
        <v>6775</v>
      </c>
      <c r="C385" s="18" t="s">
        <v>2640</v>
      </c>
      <c r="D385" s="18" t="s">
        <v>2641</v>
      </c>
      <c r="E385" s="18" t="s">
        <v>2</v>
      </c>
      <c r="F385" s="15" t="str">
        <f t="shared" si="16"/>
        <v>Female</v>
      </c>
      <c r="G385" s="18" t="s">
        <v>2642</v>
      </c>
      <c r="H385" s="18" t="s">
        <v>2643</v>
      </c>
      <c r="I385" s="18">
        <v>384</v>
      </c>
      <c r="J385" s="18">
        <v>384</v>
      </c>
      <c r="K385" s="18" t="s">
        <v>5</v>
      </c>
      <c r="L385" s="18" t="s">
        <v>2644</v>
      </c>
      <c r="M385" s="18" t="s">
        <v>2645</v>
      </c>
      <c r="N385" s="18" t="s">
        <v>99</v>
      </c>
      <c r="O385" s="18" t="s">
        <v>285</v>
      </c>
      <c r="P385" s="18" t="s">
        <v>2646</v>
      </c>
      <c r="Q385" s="22">
        <f t="shared" si="17"/>
        <v>367000000</v>
      </c>
      <c r="R385" s="18">
        <v>1275.99</v>
      </c>
      <c r="S385" s="19">
        <v>13.16</v>
      </c>
      <c r="T385" s="18">
        <v>115427461</v>
      </c>
      <c r="U385" s="20">
        <v>45577</v>
      </c>
      <c r="V385" s="18" t="str">
        <f t="shared" si="15"/>
        <v>Complete</v>
      </c>
    </row>
    <row r="386" spans="1:22" ht="14.5" customHeight="1" x14ac:dyDescent="0.35">
      <c r="A386" s="15" t="s">
        <v>7245</v>
      </c>
      <c r="B386" s="15" t="s">
        <v>7246</v>
      </c>
      <c r="C386" s="15" t="s">
        <v>2647</v>
      </c>
      <c r="D386" s="15" t="s">
        <v>2648</v>
      </c>
      <c r="E386" s="15" t="s">
        <v>161</v>
      </c>
      <c r="F386" s="15" t="str">
        <f t="shared" si="16"/>
        <v>Other</v>
      </c>
      <c r="G386" s="15" t="s">
        <v>2649</v>
      </c>
      <c r="H386" s="15" t="s">
        <v>2650</v>
      </c>
      <c r="I386" s="15">
        <v>385</v>
      </c>
      <c r="J386" s="15">
        <v>385</v>
      </c>
      <c r="K386" s="15" t="s">
        <v>5</v>
      </c>
      <c r="L386" s="15" t="s">
        <v>2651</v>
      </c>
      <c r="M386" s="15" t="s">
        <v>2652</v>
      </c>
      <c r="N386" s="15" t="s">
        <v>66</v>
      </c>
      <c r="O386" s="15" t="s">
        <v>1068</v>
      </c>
      <c r="P386" s="15" t="s">
        <v>2653</v>
      </c>
      <c r="Q386" s="22">
        <f t="shared" si="17"/>
        <v>120740000</v>
      </c>
      <c r="R386" s="15">
        <v>373.39</v>
      </c>
      <c r="S386" s="16">
        <v>8.9600000000000009</v>
      </c>
      <c r="T386" s="15">
        <v>187381222</v>
      </c>
      <c r="U386" s="17">
        <v>44471</v>
      </c>
      <c r="V386" s="15" t="str">
        <f t="shared" ref="V386:V449" si="18">IF(OR(N:N="n/a", O:O="n/a", P:P="n/a"), "Missing", "Complete")</f>
        <v>Complete</v>
      </c>
    </row>
    <row r="387" spans="1:22" ht="14.5" customHeight="1" x14ac:dyDescent="0.35">
      <c r="A387" s="18" t="s">
        <v>7247</v>
      </c>
      <c r="B387" s="18" t="s">
        <v>6627</v>
      </c>
      <c r="C387" s="18" t="s">
        <v>2654</v>
      </c>
      <c r="D387" s="18" t="s">
        <v>2655</v>
      </c>
      <c r="E387" s="18" t="s">
        <v>2</v>
      </c>
      <c r="F387" s="15" t="str">
        <f t="shared" ref="F387:F450" si="19">IF(OR(E387="female", E387="male"), PROPER(E387), "Other")</f>
        <v>Female</v>
      </c>
      <c r="G387" s="18" t="s">
        <v>2656</v>
      </c>
      <c r="H387" s="18" t="s">
        <v>2657</v>
      </c>
      <c r="I387" s="18">
        <v>386</v>
      </c>
      <c r="J387" s="18">
        <v>386</v>
      </c>
      <c r="K387" s="18" t="s">
        <v>5</v>
      </c>
      <c r="L387" s="18" t="s">
        <v>2658</v>
      </c>
      <c r="M387" s="18" t="s">
        <v>2659</v>
      </c>
      <c r="N387" s="18" t="s">
        <v>323</v>
      </c>
      <c r="O387" s="18" t="s">
        <v>2660</v>
      </c>
      <c r="P387" s="18" t="s">
        <v>2661</v>
      </c>
      <c r="Q387" s="22">
        <f t="shared" ref="Q387:Q450" si="20">IF(P387="n/a", 0, IF(RIGHT(P387, 1)="B", VALUE(MID(P387, 2, LEN(P387)-2)*1000000000), VALUE(MID(P387, 2, LEN(P387)-2)*1000000)))</f>
        <v>38190000</v>
      </c>
      <c r="R387" s="18">
        <v>1745.01</v>
      </c>
      <c r="S387" s="19">
        <v>4.57</v>
      </c>
      <c r="T387" s="18">
        <v>46921888</v>
      </c>
      <c r="U387" s="20">
        <v>45423</v>
      </c>
      <c r="V387" s="18" t="str">
        <f t="shared" si="18"/>
        <v>Complete</v>
      </c>
    </row>
    <row r="388" spans="1:22" ht="14.5" customHeight="1" x14ac:dyDescent="0.35">
      <c r="A388" s="15" t="s">
        <v>7248</v>
      </c>
      <c r="B388" s="15" t="s">
        <v>6678</v>
      </c>
      <c r="C388" s="15" t="s">
        <v>2662</v>
      </c>
      <c r="D388" s="15" t="s">
        <v>2663</v>
      </c>
      <c r="E388" s="15" t="s">
        <v>2</v>
      </c>
      <c r="F388" s="15" t="str">
        <f t="shared" si="19"/>
        <v>Female</v>
      </c>
      <c r="G388" s="15" t="s">
        <v>2664</v>
      </c>
      <c r="H388" s="15" t="s">
        <v>2665</v>
      </c>
      <c r="I388" s="15">
        <v>387</v>
      </c>
      <c r="J388" s="15">
        <v>387</v>
      </c>
      <c r="K388" s="15" t="s">
        <v>32</v>
      </c>
      <c r="L388" s="15" t="s">
        <v>2666</v>
      </c>
      <c r="M388" s="15" t="s">
        <v>2667</v>
      </c>
      <c r="N388" s="15" t="s">
        <v>66</v>
      </c>
      <c r="O388" s="15" t="s">
        <v>344</v>
      </c>
      <c r="P388" s="15" t="s">
        <v>2668</v>
      </c>
      <c r="Q388" s="22">
        <f t="shared" si="20"/>
        <v>2620000000</v>
      </c>
      <c r="R388" s="15">
        <v>1245.42</v>
      </c>
      <c r="S388" s="16">
        <v>-15.13</v>
      </c>
      <c r="T388" s="15">
        <v>52974556</v>
      </c>
      <c r="U388" s="17">
        <v>44504</v>
      </c>
      <c r="V388" s="15" t="str">
        <f t="shared" si="18"/>
        <v>Complete</v>
      </c>
    </row>
    <row r="389" spans="1:22" ht="14.5" customHeight="1" x14ac:dyDescent="0.35">
      <c r="A389" s="18" t="s">
        <v>7249</v>
      </c>
      <c r="B389" s="18" t="s">
        <v>7143</v>
      </c>
      <c r="C389" s="18" t="s">
        <v>2669</v>
      </c>
      <c r="D389" s="18" t="s">
        <v>2670</v>
      </c>
      <c r="E389" s="18" t="s">
        <v>2</v>
      </c>
      <c r="F389" s="15" t="str">
        <f t="shared" si="19"/>
        <v>Female</v>
      </c>
      <c r="G389" s="18" t="s">
        <v>2671</v>
      </c>
      <c r="H389" s="18" t="s">
        <v>2672</v>
      </c>
      <c r="I389" s="18">
        <v>388</v>
      </c>
      <c r="J389" s="18">
        <v>388</v>
      </c>
      <c r="K389" s="18" t="s">
        <v>32</v>
      </c>
      <c r="L389" s="18" t="s">
        <v>2673</v>
      </c>
      <c r="M389" s="18" t="s">
        <v>2674</v>
      </c>
      <c r="N389" s="18" t="s">
        <v>99</v>
      </c>
      <c r="O389" s="18" t="s">
        <v>100</v>
      </c>
      <c r="P389" s="18" t="s">
        <v>2675</v>
      </c>
      <c r="Q389" s="22">
        <f t="shared" si="20"/>
        <v>536190000.00000006</v>
      </c>
      <c r="R389" s="18">
        <v>634.16999999999996</v>
      </c>
      <c r="S389" s="19">
        <v>5.97</v>
      </c>
      <c r="T389" s="18">
        <v>20533242</v>
      </c>
      <c r="U389" s="20">
        <v>45550</v>
      </c>
      <c r="V389" s="18" t="str">
        <f t="shared" si="18"/>
        <v>Complete</v>
      </c>
    </row>
    <row r="390" spans="1:22" ht="14.5" customHeight="1" x14ac:dyDescent="0.35">
      <c r="A390" s="15" t="s">
        <v>7250</v>
      </c>
      <c r="B390" s="15" t="s">
        <v>6880</v>
      </c>
      <c r="C390" s="15" t="s">
        <v>2676</v>
      </c>
      <c r="D390" s="15" t="s">
        <v>2677</v>
      </c>
      <c r="E390" s="15" t="s">
        <v>2</v>
      </c>
      <c r="F390" s="15" t="str">
        <f t="shared" si="19"/>
        <v>Female</v>
      </c>
      <c r="G390" s="15" t="s">
        <v>2678</v>
      </c>
      <c r="H390" s="15" t="s">
        <v>2679</v>
      </c>
      <c r="I390" s="15">
        <v>389</v>
      </c>
      <c r="J390" s="15">
        <v>389</v>
      </c>
      <c r="K390" s="15" t="s">
        <v>32</v>
      </c>
      <c r="L390" s="15" t="s">
        <v>2680</v>
      </c>
      <c r="M390" s="15" t="s">
        <v>2681</v>
      </c>
      <c r="N390" s="15" t="s">
        <v>142</v>
      </c>
      <c r="O390" s="15" t="s">
        <v>143</v>
      </c>
      <c r="P390" s="15" t="s">
        <v>2682</v>
      </c>
      <c r="Q390" s="22">
        <f t="shared" si="20"/>
        <v>162110000</v>
      </c>
      <c r="R390" s="15">
        <v>1836.29</v>
      </c>
      <c r="S390" s="16">
        <v>4.22</v>
      </c>
      <c r="T390" s="15">
        <v>73018825</v>
      </c>
      <c r="U390" s="17">
        <v>45471</v>
      </c>
      <c r="V390" s="15" t="str">
        <f t="shared" si="18"/>
        <v>Complete</v>
      </c>
    </row>
    <row r="391" spans="1:22" ht="14.5" customHeight="1" x14ac:dyDescent="0.35">
      <c r="A391" s="18" t="s">
        <v>7251</v>
      </c>
      <c r="B391" s="18" t="s">
        <v>7252</v>
      </c>
      <c r="C391" s="18" t="s">
        <v>2683</v>
      </c>
      <c r="D391" s="18" t="s">
        <v>2684</v>
      </c>
      <c r="E391" s="18" t="s">
        <v>13</v>
      </c>
      <c r="F391" s="15" t="str">
        <f t="shared" si="19"/>
        <v>Male</v>
      </c>
      <c r="G391" s="18" t="s">
        <v>2685</v>
      </c>
      <c r="H391" s="18" t="s">
        <v>2686</v>
      </c>
      <c r="I391" s="18">
        <v>390</v>
      </c>
      <c r="J391" s="18">
        <v>390</v>
      </c>
      <c r="K391" s="18" t="s">
        <v>5</v>
      </c>
      <c r="L391" s="18" t="s">
        <v>2687</v>
      </c>
      <c r="M391" s="18" t="s">
        <v>2688</v>
      </c>
      <c r="N391" s="18" t="s">
        <v>48</v>
      </c>
      <c r="O391" s="18" t="s">
        <v>57</v>
      </c>
      <c r="P391" s="18" t="s">
        <v>2689</v>
      </c>
      <c r="Q391" s="22">
        <f t="shared" si="20"/>
        <v>76540000</v>
      </c>
      <c r="R391" s="18">
        <v>1672.95</v>
      </c>
      <c r="S391" s="19">
        <v>14.45</v>
      </c>
      <c r="T391" s="18">
        <v>125984991</v>
      </c>
      <c r="U391" s="20">
        <v>46166</v>
      </c>
      <c r="V391" s="18" t="str">
        <f t="shared" si="18"/>
        <v>Complete</v>
      </c>
    </row>
    <row r="392" spans="1:22" ht="14.5" customHeight="1" x14ac:dyDescent="0.35">
      <c r="A392" s="15" t="s">
        <v>7253</v>
      </c>
      <c r="B392" s="15" t="s">
        <v>7254</v>
      </c>
      <c r="C392" s="15" t="s">
        <v>2690</v>
      </c>
      <c r="D392" s="15" t="s">
        <v>2691</v>
      </c>
      <c r="E392" s="15" t="s">
        <v>2</v>
      </c>
      <c r="F392" s="15" t="str">
        <f t="shared" si="19"/>
        <v>Female</v>
      </c>
      <c r="G392" s="15" t="s">
        <v>2692</v>
      </c>
      <c r="H392" s="15" t="s">
        <v>2693</v>
      </c>
      <c r="I392" s="15">
        <v>391</v>
      </c>
      <c r="J392" s="15">
        <v>391</v>
      </c>
      <c r="K392" s="15" t="s">
        <v>32</v>
      </c>
      <c r="L392" s="15" t="s">
        <v>2694</v>
      </c>
      <c r="M392" s="15" t="s">
        <v>2695</v>
      </c>
      <c r="N392" s="15" t="s">
        <v>8033</v>
      </c>
      <c r="O392" s="15" t="s">
        <v>8033</v>
      </c>
      <c r="P392" s="15" t="s">
        <v>2696</v>
      </c>
      <c r="Q392" s="22">
        <f t="shared" si="20"/>
        <v>885830000</v>
      </c>
      <c r="R392" s="15">
        <v>174.63</v>
      </c>
      <c r="S392" s="16">
        <v>3.39</v>
      </c>
      <c r="T392" s="15">
        <v>170368027</v>
      </c>
      <c r="U392" s="17">
        <v>45747</v>
      </c>
      <c r="V392" s="15" t="str">
        <f t="shared" si="18"/>
        <v>Missing</v>
      </c>
    </row>
    <row r="393" spans="1:22" ht="14.5" customHeight="1" x14ac:dyDescent="0.35">
      <c r="A393" s="18" t="s">
        <v>7255</v>
      </c>
      <c r="B393" s="18" t="s">
        <v>7188</v>
      </c>
      <c r="C393" s="18" t="s">
        <v>2697</v>
      </c>
      <c r="D393" s="18" t="s">
        <v>2698</v>
      </c>
      <c r="E393" s="18" t="s">
        <v>13</v>
      </c>
      <c r="F393" s="15" t="str">
        <f t="shared" si="19"/>
        <v>Male</v>
      </c>
      <c r="G393" s="18" t="s">
        <v>2699</v>
      </c>
      <c r="H393" s="18" t="s">
        <v>2700</v>
      </c>
      <c r="I393" s="18">
        <v>392</v>
      </c>
      <c r="J393" s="18">
        <v>392</v>
      </c>
      <c r="K393" s="18" t="s">
        <v>32</v>
      </c>
      <c r="L393" s="18" t="s">
        <v>2701</v>
      </c>
      <c r="M393" s="18" t="s">
        <v>2702</v>
      </c>
      <c r="N393" s="18" t="s">
        <v>8033</v>
      </c>
      <c r="O393" s="18" t="s">
        <v>8033</v>
      </c>
      <c r="P393" s="18" t="s">
        <v>2703</v>
      </c>
      <c r="Q393" s="22">
        <f t="shared" si="20"/>
        <v>701960000</v>
      </c>
      <c r="R393" s="18">
        <v>966.79</v>
      </c>
      <c r="S393" s="19">
        <v>2.2000000000000002</v>
      </c>
      <c r="T393" s="18">
        <v>179429061</v>
      </c>
      <c r="U393" s="20">
        <v>45212</v>
      </c>
      <c r="V393" s="18" t="str">
        <f t="shared" si="18"/>
        <v>Missing</v>
      </c>
    </row>
    <row r="394" spans="1:22" ht="14.5" customHeight="1" x14ac:dyDescent="0.35">
      <c r="A394" s="15" t="s">
        <v>7256</v>
      </c>
      <c r="B394" s="15" t="s">
        <v>7257</v>
      </c>
      <c r="C394" s="15" t="s">
        <v>671</v>
      </c>
      <c r="D394" s="15" t="s">
        <v>2704</v>
      </c>
      <c r="E394" s="15" t="s">
        <v>61</v>
      </c>
      <c r="F394" s="15" t="str">
        <f t="shared" si="19"/>
        <v>Other</v>
      </c>
      <c r="G394" s="15" t="s">
        <v>2705</v>
      </c>
      <c r="H394" s="15" t="s">
        <v>2706</v>
      </c>
      <c r="I394" s="15">
        <v>393</v>
      </c>
      <c r="J394" s="15">
        <v>393</v>
      </c>
      <c r="K394" s="15" t="s">
        <v>32</v>
      </c>
      <c r="L394" s="15" t="s">
        <v>2707</v>
      </c>
      <c r="M394" s="15" t="s">
        <v>2708</v>
      </c>
      <c r="N394" s="15" t="s">
        <v>99</v>
      </c>
      <c r="O394" s="15" t="s">
        <v>151</v>
      </c>
      <c r="P394" s="15" t="s">
        <v>2709</v>
      </c>
      <c r="Q394" s="22">
        <f t="shared" si="20"/>
        <v>10770000000</v>
      </c>
      <c r="R394" s="15">
        <v>718</v>
      </c>
      <c r="S394" s="16">
        <v>-10.39</v>
      </c>
      <c r="T394" s="15">
        <v>42078343</v>
      </c>
      <c r="U394" s="17">
        <v>44407</v>
      </c>
      <c r="V394" s="15" t="str">
        <f t="shared" si="18"/>
        <v>Complete</v>
      </c>
    </row>
    <row r="395" spans="1:22" ht="14.5" customHeight="1" x14ac:dyDescent="0.35">
      <c r="A395" s="18" t="s">
        <v>7258</v>
      </c>
      <c r="B395" s="18" t="s">
        <v>7259</v>
      </c>
      <c r="C395" s="18" t="s">
        <v>2710</v>
      </c>
      <c r="D395" s="18" t="s">
        <v>2711</v>
      </c>
      <c r="E395" s="18" t="s">
        <v>2</v>
      </c>
      <c r="F395" s="15" t="str">
        <f t="shared" si="19"/>
        <v>Female</v>
      </c>
      <c r="G395" s="18" t="s">
        <v>2712</v>
      </c>
      <c r="H395" s="18" t="s">
        <v>2713</v>
      </c>
      <c r="I395" s="18">
        <v>394</v>
      </c>
      <c r="J395" s="18">
        <v>394</v>
      </c>
      <c r="K395" s="18" t="s">
        <v>5</v>
      </c>
      <c r="L395" s="18" t="s">
        <v>2714</v>
      </c>
      <c r="M395" s="18" t="s">
        <v>2715</v>
      </c>
      <c r="N395" s="18" t="s">
        <v>48</v>
      </c>
      <c r="O395" s="18" t="s">
        <v>1632</v>
      </c>
      <c r="P395" s="18" t="s">
        <v>2716</v>
      </c>
      <c r="Q395" s="22">
        <f t="shared" si="20"/>
        <v>172020000</v>
      </c>
      <c r="R395" s="18">
        <v>1642.18</v>
      </c>
      <c r="S395" s="19">
        <v>-1.8</v>
      </c>
      <c r="T395" s="18">
        <v>189180639</v>
      </c>
      <c r="U395" s="20">
        <v>43967</v>
      </c>
      <c r="V395" s="18" t="str">
        <f t="shared" si="18"/>
        <v>Complete</v>
      </c>
    </row>
    <row r="396" spans="1:22" ht="14.5" customHeight="1" x14ac:dyDescent="0.35">
      <c r="A396" s="15" t="s">
        <v>7260</v>
      </c>
      <c r="B396" s="15" t="s">
        <v>7261</v>
      </c>
      <c r="C396" s="15" t="s">
        <v>2717</v>
      </c>
      <c r="D396" s="15" t="s">
        <v>2718</v>
      </c>
      <c r="E396" s="15" t="s">
        <v>13</v>
      </c>
      <c r="F396" s="15" t="str">
        <f t="shared" si="19"/>
        <v>Male</v>
      </c>
      <c r="G396" s="15" t="s">
        <v>2719</v>
      </c>
      <c r="H396" s="15" t="s">
        <v>2720</v>
      </c>
      <c r="I396" s="15">
        <v>395</v>
      </c>
      <c r="J396" s="15">
        <v>395</v>
      </c>
      <c r="K396" s="15" t="s">
        <v>5</v>
      </c>
      <c r="L396" s="15" t="s">
        <v>2721</v>
      </c>
      <c r="M396" s="15" t="s">
        <v>2722</v>
      </c>
      <c r="N396" s="15" t="s">
        <v>48</v>
      </c>
      <c r="O396" s="15" t="s">
        <v>57</v>
      </c>
      <c r="P396" s="15" t="s">
        <v>2723</v>
      </c>
      <c r="Q396" s="22">
        <f t="shared" si="20"/>
        <v>2400000000</v>
      </c>
      <c r="R396" s="15">
        <v>1284.8900000000001</v>
      </c>
      <c r="S396" s="16">
        <v>5.94</v>
      </c>
      <c r="T396" s="15">
        <v>97996470</v>
      </c>
      <c r="U396" s="17">
        <v>46249</v>
      </c>
      <c r="V396" s="15" t="str">
        <f t="shared" si="18"/>
        <v>Complete</v>
      </c>
    </row>
    <row r="397" spans="1:22" ht="14.5" customHeight="1" x14ac:dyDescent="0.35">
      <c r="A397" s="18" t="s">
        <v>7262</v>
      </c>
      <c r="B397" s="18" t="s">
        <v>7263</v>
      </c>
      <c r="C397" s="18" t="s">
        <v>2724</v>
      </c>
      <c r="D397" s="18" t="s">
        <v>2725</v>
      </c>
      <c r="E397" s="18" t="s">
        <v>13</v>
      </c>
      <c r="F397" s="15" t="str">
        <f t="shared" si="19"/>
        <v>Male</v>
      </c>
      <c r="G397" s="18" t="s">
        <v>2726</v>
      </c>
      <c r="H397" s="18" t="s">
        <v>2727</v>
      </c>
      <c r="I397" s="18">
        <v>396</v>
      </c>
      <c r="J397" s="18">
        <v>396</v>
      </c>
      <c r="K397" s="18" t="s">
        <v>32</v>
      </c>
      <c r="L397" s="18" t="s">
        <v>2728</v>
      </c>
      <c r="M397" s="18" t="s">
        <v>2729</v>
      </c>
      <c r="N397" s="18" t="s">
        <v>48</v>
      </c>
      <c r="O397" s="18" t="s">
        <v>364</v>
      </c>
      <c r="P397" s="18" t="s">
        <v>8033</v>
      </c>
      <c r="Q397" s="22">
        <f t="shared" si="20"/>
        <v>0</v>
      </c>
      <c r="R397" s="18">
        <v>364.35</v>
      </c>
      <c r="S397" s="19">
        <v>1.89</v>
      </c>
      <c r="T397" s="18">
        <v>170678396</v>
      </c>
      <c r="U397" s="20">
        <v>45965</v>
      </c>
      <c r="V397" s="18" t="str">
        <f t="shared" si="18"/>
        <v>Missing</v>
      </c>
    </row>
    <row r="398" spans="1:22" ht="14.5" customHeight="1" x14ac:dyDescent="0.35">
      <c r="A398" s="15" t="s">
        <v>7264</v>
      </c>
      <c r="B398" s="15" t="s">
        <v>6902</v>
      </c>
      <c r="C398" s="15" t="s">
        <v>2730</v>
      </c>
      <c r="D398" s="15" t="s">
        <v>2731</v>
      </c>
      <c r="E398" s="15" t="s">
        <v>2</v>
      </c>
      <c r="F398" s="15" t="str">
        <f t="shared" si="19"/>
        <v>Female</v>
      </c>
      <c r="G398" s="15" t="s">
        <v>2732</v>
      </c>
      <c r="H398" s="15" t="s">
        <v>2733</v>
      </c>
      <c r="I398" s="15">
        <v>397</v>
      </c>
      <c r="J398" s="15">
        <v>397</v>
      </c>
      <c r="K398" s="15" t="s">
        <v>32</v>
      </c>
      <c r="L398" s="15" t="s">
        <v>2734</v>
      </c>
      <c r="M398" s="15" t="s">
        <v>2735</v>
      </c>
      <c r="N398" s="15" t="s">
        <v>8</v>
      </c>
      <c r="O398" s="15" t="s">
        <v>18</v>
      </c>
      <c r="P398" s="15" t="s">
        <v>2736</v>
      </c>
      <c r="Q398" s="22">
        <f t="shared" si="20"/>
        <v>127360000000</v>
      </c>
      <c r="R398" s="15">
        <v>437.1</v>
      </c>
      <c r="S398" s="16">
        <v>3.91</v>
      </c>
      <c r="T398" s="15">
        <v>87905712</v>
      </c>
      <c r="U398" s="17">
        <v>43995</v>
      </c>
      <c r="V398" s="15" t="str">
        <f t="shared" si="18"/>
        <v>Complete</v>
      </c>
    </row>
    <row r="399" spans="1:22" ht="14.5" customHeight="1" x14ac:dyDescent="0.35">
      <c r="A399" s="18" t="s">
        <v>7265</v>
      </c>
      <c r="B399" s="18" t="s">
        <v>7266</v>
      </c>
      <c r="C399" s="18" t="s">
        <v>2737</v>
      </c>
      <c r="D399" s="18" t="s">
        <v>2738</v>
      </c>
      <c r="E399" s="18" t="s">
        <v>13</v>
      </c>
      <c r="F399" s="15" t="str">
        <f t="shared" si="19"/>
        <v>Male</v>
      </c>
      <c r="G399" s="18" t="s">
        <v>2739</v>
      </c>
      <c r="H399" s="18" t="s">
        <v>2740</v>
      </c>
      <c r="I399" s="18">
        <v>398</v>
      </c>
      <c r="J399" s="18">
        <v>398</v>
      </c>
      <c r="K399" s="18" t="s">
        <v>5</v>
      </c>
      <c r="L399" s="18" t="s">
        <v>2741</v>
      </c>
      <c r="M399" s="18" t="s">
        <v>2742</v>
      </c>
      <c r="N399" s="18" t="s">
        <v>117</v>
      </c>
      <c r="O399" s="18" t="s">
        <v>118</v>
      </c>
      <c r="P399" s="18" t="s">
        <v>2743</v>
      </c>
      <c r="Q399" s="22">
        <f t="shared" si="20"/>
        <v>2490000000</v>
      </c>
      <c r="R399" s="18">
        <v>1183.9100000000001</v>
      </c>
      <c r="S399" s="19">
        <v>4.3899999999999997</v>
      </c>
      <c r="T399" s="18">
        <v>88383055</v>
      </c>
      <c r="U399" s="20">
        <v>44775</v>
      </c>
      <c r="V399" s="18" t="str">
        <f t="shared" si="18"/>
        <v>Complete</v>
      </c>
    </row>
    <row r="400" spans="1:22" ht="14.5" customHeight="1" x14ac:dyDescent="0.35">
      <c r="A400" s="15" t="s">
        <v>7267</v>
      </c>
      <c r="B400" s="15" t="s">
        <v>7097</v>
      </c>
      <c r="C400" s="15" t="s">
        <v>2744</v>
      </c>
      <c r="D400" s="15" t="s">
        <v>2745</v>
      </c>
      <c r="E400" s="15" t="s">
        <v>13</v>
      </c>
      <c r="F400" s="15" t="str">
        <f t="shared" si="19"/>
        <v>Male</v>
      </c>
      <c r="G400" s="15" t="s">
        <v>2746</v>
      </c>
      <c r="H400" s="15" t="s">
        <v>2747</v>
      </c>
      <c r="I400" s="15">
        <v>399</v>
      </c>
      <c r="J400" s="15">
        <v>399</v>
      </c>
      <c r="K400" s="15" t="s">
        <v>5</v>
      </c>
      <c r="L400" s="15" t="s">
        <v>2748</v>
      </c>
      <c r="M400" s="15" t="s">
        <v>2749</v>
      </c>
      <c r="N400" s="15" t="s">
        <v>66</v>
      </c>
      <c r="O400" s="15" t="s">
        <v>181</v>
      </c>
      <c r="P400" s="15" t="s">
        <v>2750</v>
      </c>
      <c r="Q400" s="22">
        <f t="shared" si="20"/>
        <v>447050000</v>
      </c>
      <c r="R400" s="15">
        <v>1652.59</v>
      </c>
      <c r="S400" s="16">
        <v>19.55</v>
      </c>
      <c r="T400" s="15">
        <v>75811928</v>
      </c>
      <c r="U400" s="17">
        <v>45700</v>
      </c>
      <c r="V400" s="15" t="str">
        <f t="shared" si="18"/>
        <v>Complete</v>
      </c>
    </row>
    <row r="401" spans="1:22" ht="14.5" customHeight="1" x14ac:dyDescent="0.35">
      <c r="A401" s="18" t="s">
        <v>7268</v>
      </c>
      <c r="B401" s="18" t="s">
        <v>6672</v>
      </c>
      <c r="C401" s="18" t="s">
        <v>2751</v>
      </c>
      <c r="D401" s="18" t="s">
        <v>2752</v>
      </c>
      <c r="E401" s="18" t="s">
        <v>2</v>
      </c>
      <c r="F401" s="15" t="str">
        <f t="shared" si="19"/>
        <v>Female</v>
      </c>
      <c r="G401" s="18" t="s">
        <v>2753</v>
      </c>
      <c r="H401" s="18" t="s">
        <v>2754</v>
      </c>
      <c r="I401" s="18">
        <v>400</v>
      </c>
      <c r="J401" s="18">
        <v>400</v>
      </c>
      <c r="K401" s="18" t="s">
        <v>32</v>
      </c>
      <c r="L401" s="18" t="s">
        <v>2755</v>
      </c>
      <c r="M401" s="18" t="s">
        <v>2756</v>
      </c>
      <c r="N401" s="18" t="s">
        <v>8033</v>
      </c>
      <c r="O401" s="18" t="s">
        <v>8033</v>
      </c>
      <c r="P401" s="18" t="s">
        <v>8033</v>
      </c>
      <c r="Q401" s="22">
        <f t="shared" si="20"/>
        <v>0</v>
      </c>
      <c r="R401" s="18">
        <v>199.54</v>
      </c>
      <c r="S401" s="19">
        <v>-14.93</v>
      </c>
      <c r="T401" s="18">
        <v>116757622</v>
      </c>
      <c r="U401" s="20">
        <v>45929</v>
      </c>
      <c r="V401" s="18" t="str">
        <f t="shared" si="18"/>
        <v>Missing</v>
      </c>
    </row>
    <row r="402" spans="1:22" ht="14.5" customHeight="1" x14ac:dyDescent="0.35">
      <c r="A402" s="15" t="s">
        <v>7269</v>
      </c>
      <c r="B402" s="15" t="s">
        <v>6870</v>
      </c>
      <c r="C402" s="15" t="s">
        <v>792</v>
      </c>
      <c r="D402" s="15" t="s">
        <v>2757</v>
      </c>
      <c r="E402" s="15" t="s">
        <v>13</v>
      </c>
      <c r="F402" s="15" t="str">
        <f t="shared" si="19"/>
        <v>Male</v>
      </c>
      <c r="G402" s="15" t="s">
        <v>2758</v>
      </c>
      <c r="H402" s="15" t="s">
        <v>2759</v>
      </c>
      <c r="I402" s="15">
        <v>401</v>
      </c>
      <c r="J402" s="15">
        <v>401</v>
      </c>
      <c r="K402" s="15" t="s">
        <v>32</v>
      </c>
      <c r="L402" s="15" t="s">
        <v>2760</v>
      </c>
      <c r="M402" s="15" t="s">
        <v>2761</v>
      </c>
      <c r="N402" s="15" t="s">
        <v>90</v>
      </c>
      <c r="O402" s="15" t="s">
        <v>91</v>
      </c>
      <c r="P402" s="15" t="s">
        <v>1210</v>
      </c>
      <c r="Q402" s="22">
        <f t="shared" si="20"/>
        <v>4610000000</v>
      </c>
      <c r="R402" s="15">
        <v>1358.37</v>
      </c>
      <c r="S402" s="16">
        <v>-14.82</v>
      </c>
      <c r="T402" s="15">
        <v>166938157</v>
      </c>
      <c r="U402" s="17">
        <v>44556</v>
      </c>
      <c r="V402" s="15" t="str">
        <f t="shared" si="18"/>
        <v>Complete</v>
      </c>
    </row>
    <row r="403" spans="1:22" ht="14.5" customHeight="1" x14ac:dyDescent="0.35">
      <c r="A403" s="18" t="s">
        <v>7270</v>
      </c>
      <c r="B403" s="18" t="s">
        <v>7271</v>
      </c>
      <c r="C403" s="18" t="s">
        <v>1895</v>
      </c>
      <c r="D403" s="18" t="s">
        <v>2762</v>
      </c>
      <c r="E403" s="18" t="s">
        <v>13</v>
      </c>
      <c r="F403" s="15" t="str">
        <f t="shared" si="19"/>
        <v>Male</v>
      </c>
      <c r="G403" s="18" t="s">
        <v>2763</v>
      </c>
      <c r="H403" s="18" t="s">
        <v>2764</v>
      </c>
      <c r="I403" s="18">
        <v>402</v>
      </c>
      <c r="J403" s="18">
        <v>402</v>
      </c>
      <c r="K403" s="18" t="s">
        <v>5</v>
      </c>
      <c r="L403" s="18" t="s">
        <v>2765</v>
      </c>
      <c r="M403" s="18" t="s">
        <v>2766</v>
      </c>
      <c r="N403" s="18" t="s">
        <v>48</v>
      </c>
      <c r="O403" s="18" t="s">
        <v>57</v>
      </c>
      <c r="P403" s="18" t="s">
        <v>2767</v>
      </c>
      <c r="Q403" s="22">
        <f t="shared" si="20"/>
        <v>3330000000</v>
      </c>
      <c r="R403" s="18">
        <v>1698.18</v>
      </c>
      <c r="S403" s="19">
        <v>19.52</v>
      </c>
      <c r="T403" s="18">
        <v>132182960</v>
      </c>
      <c r="U403" s="20">
        <v>44925</v>
      </c>
      <c r="V403" s="18" t="str">
        <f t="shared" si="18"/>
        <v>Complete</v>
      </c>
    </row>
    <row r="404" spans="1:22" ht="14.5" customHeight="1" x14ac:dyDescent="0.35">
      <c r="A404" s="15" t="s">
        <v>7272</v>
      </c>
      <c r="B404" s="15" t="s">
        <v>7202</v>
      </c>
      <c r="C404" s="15" t="s">
        <v>2768</v>
      </c>
      <c r="D404" s="15" t="s">
        <v>2769</v>
      </c>
      <c r="E404" s="15" t="s">
        <v>2</v>
      </c>
      <c r="F404" s="15" t="str">
        <f t="shared" si="19"/>
        <v>Female</v>
      </c>
      <c r="G404" s="15" t="s">
        <v>2770</v>
      </c>
      <c r="H404" s="15" t="s">
        <v>2771</v>
      </c>
      <c r="I404" s="15">
        <v>403</v>
      </c>
      <c r="J404" s="15">
        <v>403</v>
      </c>
      <c r="K404" s="15" t="s">
        <v>5</v>
      </c>
      <c r="L404" s="15" t="s">
        <v>2772</v>
      </c>
      <c r="M404" s="15" t="s">
        <v>322</v>
      </c>
      <c r="N404" s="15" t="s">
        <v>323</v>
      </c>
      <c r="O404" s="15" t="s">
        <v>324</v>
      </c>
      <c r="P404" s="15" t="s">
        <v>8033</v>
      </c>
      <c r="Q404" s="22">
        <f t="shared" si="20"/>
        <v>0</v>
      </c>
      <c r="R404" s="15">
        <v>1106.94</v>
      </c>
      <c r="S404" s="16">
        <v>-3.55</v>
      </c>
      <c r="T404" s="15">
        <v>90040685</v>
      </c>
      <c r="U404" s="17">
        <v>46234</v>
      </c>
      <c r="V404" s="15" t="str">
        <f t="shared" si="18"/>
        <v>Missing</v>
      </c>
    </row>
    <row r="405" spans="1:22" ht="14.5" customHeight="1" x14ac:dyDescent="0.35">
      <c r="A405" s="18" t="s">
        <v>7273</v>
      </c>
      <c r="B405" s="18" t="s">
        <v>7274</v>
      </c>
      <c r="C405" s="18" t="s">
        <v>2773</v>
      </c>
      <c r="D405" s="18" t="s">
        <v>2774</v>
      </c>
      <c r="E405" s="18" t="s">
        <v>13</v>
      </c>
      <c r="F405" s="15" t="str">
        <f t="shared" si="19"/>
        <v>Male</v>
      </c>
      <c r="G405" s="18" t="s">
        <v>2775</v>
      </c>
      <c r="H405" s="18" t="s">
        <v>2776</v>
      </c>
      <c r="I405" s="18">
        <v>404</v>
      </c>
      <c r="J405" s="18">
        <v>404</v>
      </c>
      <c r="K405" s="18" t="s">
        <v>32</v>
      </c>
      <c r="L405" s="18" t="s">
        <v>2777</v>
      </c>
      <c r="M405" s="18" t="s">
        <v>2778</v>
      </c>
      <c r="N405" s="18" t="s">
        <v>25</v>
      </c>
      <c r="O405" s="18" t="s">
        <v>2114</v>
      </c>
      <c r="P405" s="18" t="s">
        <v>2779</v>
      </c>
      <c r="Q405" s="22">
        <f t="shared" si="20"/>
        <v>1980000000</v>
      </c>
      <c r="R405" s="18">
        <v>1237.97</v>
      </c>
      <c r="S405" s="19">
        <v>4.37</v>
      </c>
      <c r="T405" s="18">
        <v>34030734</v>
      </c>
      <c r="U405" s="20">
        <v>46185</v>
      </c>
      <c r="V405" s="18" t="str">
        <f t="shared" si="18"/>
        <v>Complete</v>
      </c>
    </row>
    <row r="406" spans="1:22" ht="14.5" customHeight="1" x14ac:dyDescent="0.35">
      <c r="A406" s="15" t="s">
        <v>7275</v>
      </c>
      <c r="B406" s="15" t="s">
        <v>7276</v>
      </c>
      <c r="C406" s="15" t="s">
        <v>2780</v>
      </c>
      <c r="D406" s="15" t="s">
        <v>2781</v>
      </c>
      <c r="E406" s="15" t="s">
        <v>2</v>
      </c>
      <c r="F406" s="15" t="str">
        <f t="shared" si="19"/>
        <v>Female</v>
      </c>
      <c r="G406" s="15" t="s">
        <v>2782</v>
      </c>
      <c r="H406" s="15" t="s">
        <v>2783</v>
      </c>
      <c r="I406" s="15">
        <v>405</v>
      </c>
      <c r="J406" s="15">
        <v>405</v>
      </c>
      <c r="K406" s="15" t="s">
        <v>5</v>
      </c>
      <c r="L406" s="15" t="s">
        <v>2784</v>
      </c>
      <c r="M406" s="15" t="s">
        <v>2785</v>
      </c>
      <c r="N406" s="15" t="s">
        <v>48</v>
      </c>
      <c r="O406" s="15" t="s">
        <v>484</v>
      </c>
      <c r="P406" s="15" t="s">
        <v>2786</v>
      </c>
      <c r="Q406" s="22">
        <f t="shared" si="20"/>
        <v>253220000</v>
      </c>
      <c r="R406" s="15">
        <v>1576.63</v>
      </c>
      <c r="S406" s="16">
        <v>12.46</v>
      </c>
      <c r="T406" s="15">
        <v>83580309</v>
      </c>
      <c r="U406" s="17">
        <v>46165</v>
      </c>
      <c r="V406" s="15" t="str">
        <f t="shared" si="18"/>
        <v>Complete</v>
      </c>
    </row>
    <row r="407" spans="1:22" ht="14.5" customHeight="1" x14ac:dyDescent="0.35">
      <c r="A407" s="18" t="s">
        <v>7277</v>
      </c>
      <c r="B407" s="18" t="s">
        <v>7278</v>
      </c>
      <c r="C407" s="18" t="s">
        <v>2787</v>
      </c>
      <c r="D407" s="18" t="s">
        <v>2788</v>
      </c>
      <c r="E407" s="18" t="s">
        <v>208</v>
      </c>
      <c r="F407" s="15" t="str">
        <f t="shared" si="19"/>
        <v>Other</v>
      </c>
      <c r="G407" s="18" t="s">
        <v>2789</v>
      </c>
      <c r="H407" s="18" t="s">
        <v>2790</v>
      </c>
      <c r="I407" s="18">
        <v>406</v>
      </c>
      <c r="J407" s="18">
        <v>406</v>
      </c>
      <c r="K407" s="18" t="s">
        <v>5</v>
      </c>
      <c r="L407" s="18" t="s">
        <v>2791</v>
      </c>
      <c r="M407" s="18" t="s">
        <v>2792</v>
      </c>
      <c r="N407" s="18" t="s">
        <v>99</v>
      </c>
      <c r="O407" s="18" t="s">
        <v>380</v>
      </c>
      <c r="P407" s="18" t="s">
        <v>2793</v>
      </c>
      <c r="Q407" s="22">
        <f t="shared" si="20"/>
        <v>14650000</v>
      </c>
      <c r="R407" s="18">
        <v>1459.91</v>
      </c>
      <c r="S407" s="19">
        <v>-3.91</v>
      </c>
      <c r="T407" s="18">
        <v>102410747</v>
      </c>
      <c r="U407" s="20">
        <v>45982</v>
      </c>
      <c r="V407" s="18" t="str">
        <f t="shared" si="18"/>
        <v>Complete</v>
      </c>
    </row>
    <row r="408" spans="1:22" ht="14.5" customHeight="1" x14ac:dyDescent="0.35">
      <c r="A408" s="15" t="s">
        <v>7279</v>
      </c>
      <c r="B408" s="15" t="s">
        <v>6723</v>
      </c>
      <c r="C408" s="15" t="s">
        <v>2794</v>
      </c>
      <c r="D408" s="15" t="s">
        <v>2795</v>
      </c>
      <c r="E408" s="15" t="s">
        <v>13</v>
      </c>
      <c r="F408" s="15" t="str">
        <f t="shared" si="19"/>
        <v>Male</v>
      </c>
      <c r="G408" s="15" t="s">
        <v>2796</v>
      </c>
      <c r="H408" s="15" t="s">
        <v>2797</v>
      </c>
      <c r="I408" s="15">
        <v>407</v>
      </c>
      <c r="J408" s="15">
        <v>407</v>
      </c>
      <c r="K408" s="15" t="s">
        <v>32</v>
      </c>
      <c r="L408" s="15" t="s">
        <v>2798</v>
      </c>
      <c r="M408" s="15" t="s">
        <v>2799</v>
      </c>
      <c r="N408" s="15" t="s">
        <v>48</v>
      </c>
      <c r="O408" s="15" t="s">
        <v>2800</v>
      </c>
      <c r="P408" s="15" t="s">
        <v>8033</v>
      </c>
      <c r="Q408" s="22">
        <f t="shared" si="20"/>
        <v>0</v>
      </c>
      <c r="R408" s="15">
        <v>1830.34</v>
      </c>
      <c r="S408" s="16">
        <v>-2.2200000000000002</v>
      </c>
      <c r="T408" s="15">
        <v>19091585</v>
      </c>
      <c r="U408" s="17">
        <v>43859</v>
      </c>
      <c r="V408" s="15" t="str">
        <f t="shared" si="18"/>
        <v>Missing</v>
      </c>
    </row>
    <row r="409" spans="1:22" ht="14.5" customHeight="1" x14ac:dyDescent="0.35">
      <c r="A409" s="18" t="s">
        <v>7280</v>
      </c>
      <c r="B409" s="18" t="s">
        <v>6784</v>
      </c>
      <c r="C409" s="18" t="s">
        <v>2801</v>
      </c>
      <c r="D409" s="18" t="s">
        <v>2802</v>
      </c>
      <c r="E409" s="18" t="s">
        <v>2</v>
      </c>
      <c r="F409" s="15" t="str">
        <f t="shared" si="19"/>
        <v>Female</v>
      </c>
      <c r="G409" s="18" t="s">
        <v>2803</v>
      </c>
      <c r="H409" s="18" t="s">
        <v>2804</v>
      </c>
      <c r="I409" s="18">
        <v>408</v>
      </c>
      <c r="J409" s="18">
        <v>408</v>
      </c>
      <c r="K409" s="18" t="s">
        <v>5</v>
      </c>
      <c r="L409" s="18" t="s">
        <v>2805</v>
      </c>
      <c r="M409" s="18" t="s">
        <v>2806</v>
      </c>
      <c r="N409" s="18" t="s">
        <v>8033</v>
      </c>
      <c r="O409" s="18" t="s">
        <v>8033</v>
      </c>
      <c r="P409" s="18" t="s">
        <v>2807</v>
      </c>
      <c r="Q409" s="22">
        <f t="shared" si="20"/>
        <v>887040000</v>
      </c>
      <c r="R409" s="18">
        <v>1744.45</v>
      </c>
      <c r="S409" s="19">
        <v>-16.09</v>
      </c>
      <c r="T409" s="18">
        <v>35979213</v>
      </c>
      <c r="U409" s="20">
        <v>45047</v>
      </c>
      <c r="V409" s="18" t="str">
        <f t="shared" si="18"/>
        <v>Missing</v>
      </c>
    </row>
    <row r="410" spans="1:22" ht="14.5" customHeight="1" x14ac:dyDescent="0.35">
      <c r="A410" s="15" t="s">
        <v>7281</v>
      </c>
      <c r="B410" s="15" t="s">
        <v>6595</v>
      </c>
      <c r="C410" s="15" t="s">
        <v>2808</v>
      </c>
      <c r="D410" s="15" t="s">
        <v>2809</v>
      </c>
      <c r="E410" s="15" t="s">
        <v>2</v>
      </c>
      <c r="F410" s="15" t="str">
        <f t="shared" si="19"/>
        <v>Female</v>
      </c>
      <c r="G410" s="15" t="s">
        <v>2810</v>
      </c>
      <c r="H410" s="15" t="s">
        <v>2811</v>
      </c>
      <c r="I410" s="15">
        <v>409</v>
      </c>
      <c r="J410" s="15">
        <v>409</v>
      </c>
      <c r="K410" s="15" t="s">
        <v>32</v>
      </c>
      <c r="L410" s="15" t="s">
        <v>2812</v>
      </c>
      <c r="M410" s="15" t="s">
        <v>2813</v>
      </c>
      <c r="N410" s="15" t="s">
        <v>99</v>
      </c>
      <c r="O410" s="15" t="s">
        <v>2814</v>
      </c>
      <c r="P410" s="15" t="s">
        <v>2815</v>
      </c>
      <c r="Q410" s="22">
        <f t="shared" si="20"/>
        <v>589400000</v>
      </c>
      <c r="R410" s="15">
        <v>1062.47</v>
      </c>
      <c r="S410" s="16">
        <v>-2.52</v>
      </c>
      <c r="T410" s="15">
        <v>165797719</v>
      </c>
      <c r="U410" s="17">
        <v>46270</v>
      </c>
      <c r="V410" s="15" t="str">
        <f t="shared" si="18"/>
        <v>Complete</v>
      </c>
    </row>
    <row r="411" spans="1:22" ht="14.5" customHeight="1" x14ac:dyDescent="0.35">
      <c r="A411" s="18" t="s">
        <v>7282</v>
      </c>
      <c r="B411" s="18" t="s">
        <v>7283</v>
      </c>
      <c r="C411" s="18" t="s">
        <v>2816</v>
      </c>
      <c r="D411" s="18" t="s">
        <v>2817</v>
      </c>
      <c r="E411" s="18" t="s">
        <v>2</v>
      </c>
      <c r="F411" s="15" t="str">
        <f t="shared" si="19"/>
        <v>Female</v>
      </c>
      <c r="G411" s="18" t="s">
        <v>2818</v>
      </c>
      <c r="H411" s="18" t="s">
        <v>2819</v>
      </c>
      <c r="I411" s="18">
        <v>410</v>
      </c>
      <c r="J411" s="18">
        <v>410</v>
      </c>
      <c r="K411" s="18" t="s">
        <v>5</v>
      </c>
      <c r="L411" s="18" t="s">
        <v>2820</v>
      </c>
      <c r="M411" s="18" t="s">
        <v>2821</v>
      </c>
      <c r="N411" s="18" t="s">
        <v>48</v>
      </c>
      <c r="O411" s="18" t="s">
        <v>57</v>
      </c>
      <c r="P411" s="18" t="s">
        <v>2822</v>
      </c>
      <c r="Q411" s="22">
        <f t="shared" si="20"/>
        <v>452260000</v>
      </c>
      <c r="R411" s="18">
        <v>1328.19</v>
      </c>
      <c r="S411" s="19">
        <v>6.66</v>
      </c>
      <c r="T411" s="18">
        <v>137122362</v>
      </c>
      <c r="U411" s="20">
        <v>44819</v>
      </c>
      <c r="V411" s="18" t="str">
        <f t="shared" si="18"/>
        <v>Complete</v>
      </c>
    </row>
    <row r="412" spans="1:22" ht="14.5" customHeight="1" x14ac:dyDescent="0.35">
      <c r="A412" s="15" t="s">
        <v>7284</v>
      </c>
      <c r="B412" s="15" t="s">
        <v>7285</v>
      </c>
      <c r="C412" s="15" t="s">
        <v>2823</v>
      </c>
      <c r="D412" s="15" t="s">
        <v>2824</v>
      </c>
      <c r="E412" s="15" t="s">
        <v>2</v>
      </c>
      <c r="F412" s="15" t="str">
        <f t="shared" si="19"/>
        <v>Female</v>
      </c>
      <c r="G412" s="15" t="s">
        <v>2825</v>
      </c>
      <c r="H412" s="15" t="s">
        <v>2826</v>
      </c>
      <c r="I412" s="15">
        <v>411</v>
      </c>
      <c r="J412" s="15">
        <v>411</v>
      </c>
      <c r="K412" s="15" t="s">
        <v>32</v>
      </c>
      <c r="L412" s="15" t="s">
        <v>2827</v>
      </c>
      <c r="M412" s="15" t="s">
        <v>2828</v>
      </c>
      <c r="N412" s="15" t="s">
        <v>8033</v>
      </c>
      <c r="O412" s="15" t="s">
        <v>8033</v>
      </c>
      <c r="P412" s="15" t="s">
        <v>2829</v>
      </c>
      <c r="Q412" s="22">
        <f t="shared" si="20"/>
        <v>224530000</v>
      </c>
      <c r="R412" s="15">
        <v>285.01</v>
      </c>
      <c r="S412" s="16">
        <v>-16.3</v>
      </c>
      <c r="T412" s="15">
        <v>129580744</v>
      </c>
      <c r="U412" s="17">
        <v>44600</v>
      </c>
      <c r="V412" s="15" t="str">
        <f t="shared" si="18"/>
        <v>Missing</v>
      </c>
    </row>
    <row r="413" spans="1:22" ht="14.5" customHeight="1" x14ac:dyDescent="0.35">
      <c r="A413" s="18" t="s">
        <v>7286</v>
      </c>
      <c r="B413" s="18" t="s">
        <v>7287</v>
      </c>
      <c r="C413" s="18" t="s">
        <v>2830</v>
      </c>
      <c r="D413" s="18" t="s">
        <v>2831</v>
      </c>
      <c r="E413" s="18" t="s">
        <v>2</v>
      </c>
      <c r="F413" s="15" t="str">
        <f t="shared" si="19"/>
        <v>Female</v>
      </c>
      <c r="G413" s="18" t="s">
        <v>2832</v>
      </c>
      <c r="H413" s="18" t="s">
        <v>2833</v>
      </c>
      <c r="I413" s="18">
        <v>412</v>
      </c>
      <c r="J413" s="18">
        <v>412</v>
      </c>
      <c r="K413" s="18" t="s">
        <v>5</v>
      </c>
      <c r="L413" s="18" t="s">
        <v>2834</v>
      </c>
      <c r="M413" s="18" t="s">
        <v>2835</v>
      </c>
      <c r="N413" s="18" t="s">
        <v>8033</v>
      </c>
      <c r="O413" s="18" t="s">
        <v>8033</v>
      </c>
      <c r="P413" s="18" t="s">
        <v>2836</v>
      </c>
      <c r="Q413" s="22">
        <f t="shared" si="20"/>
        <v>24590000</v>
      </c>
      <c r="R413" s="18">
        <v>917.91</v>
      </c>
      <c r="S413" s="19">
        <v>-3.97</v>
      </c>
      <c r="T413" s="18">
        <v>186832584</v>
      </c>
      <c r="U413" s="20">
        <v>45653</v>
      </c>
      <c r="V413" s="18" t="str">
        <f t="shared" si="18"/>
        <v>Missing</v>
      </c>
    </row>
    <row r="414" spans="1:22" ht="14.5" customHeight="1" x14ac:dyDescent="0.35">
      <c r="A414" s="15" t="s">
        <v>7288</v>
      </c>
      <c r="B414" s="15" t="s">
        <v>7289</v>
      </c>
      <c r="C414" s="15" t="s">
        <v>2837</v>
      </c>
      <c r="D414" s="15" t="s">
        <v>2838</v>
      </c>
      <c r="E414" s="15" t="s">
        <v>13</v>
      </c>
      <c r="F414" s="15" t="str">
        <f t="shared" si="19"/>
        <v>Male</v>
      </c>
      <c r="G414" s="15" t="s">
        <v>2839</v>
      </c>
      <c r="H414" s="15" t="s">
        <v>2840</v>
      </c>
      <c r="I414" s="15">
        <v>413</v>
      </c>
      <c r="J414" s="15">
        <v>413</v>
      </c>
      <c r="K414" s="15" t="s">
        <v>32</v>
      </c>
      <c r="L414" s="15" t="s">
        <v>2841</v>
      </c>
      <c r="M414" s="15" t="s">
        <v>2842</v>
      </c>
      <c r="N414" s="15" t="s">
        <v>99</v>
      </c>
      <c r="O414" s="15" t="s">
        <v>100</v>
      </c>
      <c r="P414" s="15" t="s">
        <v>2843</v>
      </c>
      <c r="Q414" s="22">
        <f t="shared" si="20"/>
        <v>2000000000</v>
      </c>
      <c r="R414" s="15">
        <v>1983.17</v>
      </c>
      <c r="S414" s="16">
        <v>-11.54</v>
      </c>
      <c r="T414" s="15">
        <v>130761263</v>
      </c>
      <c r="U414" s="17">
        <v>44315</v>
      </c>
      <c r="V414" s="15" t="str">
        <f t="shared" si="18"/>
        <v>Complete</v>
      </c>
    </row>
    <row r="415" spans="1:22" ht="14.5" customHeight="1" x14ac:dyDescent="0.35">
      <c r="A415" s="18" t="s">
        <v>7290</v>
      </c>
      <c r="B415" s="18" t="s">
        <v>7291</v>
      </c>
      <c r="C415" s="18" t="s">
        <v>2844</v>
      </c>
      <c r="D415" s="18" t="s">
        <v>2845</v>
      </c>
      <c r="E415" s="18" t="s">
        <v>2</v>
      </c>
      <c r="F415" s="15" t="str">
        <f t="shared" si="19"/>
        <v>Female</v>
      </c>
      <c r="G415" s="18" t="s">
        <v>2846</v>
      </c>
      <c r="H415" s="18" t="s">
        <v>2847</v>
      </c>
      <c r="I415" s="18">
        <v>414</v>
      </c>
      <c r="J415" s="18">
        <v>414</v>
      </c>
      <c r="K415" s="18" t="s">
        <v>5</v>
      </c>
      <c r="L415" s="18" t="s">
        <v>2848</v>
      </c>
      <c r="M415" s="18" t="s">
        <v>2849</v>
      </c>
      <c r="N415" s="18" t="s">
        <v>8033</v>
      </c>
      <c r="O415" s="18" t="s">
        <v>8033</v>
      </c>
      <c r="P415" s="18" t="s">
        <v>2850</v>
      </c>
      <c r="Q415" s="22">
        <f t="shared" si="20"/>
        <v>191360000</v>
      </c>
      <c r="R415" s="18">
        <v>102.86</v>
      </c>
      <c r="S415" s="19">
        <v>-4.29</v>
      </c>
      <c r="T415" s="18">
        <v>96355070</v>
      </c>
      <c r="U415" s="20">
        <v>44744</v>
      </c>
      <c r="V415" s="18" t="str">
        <f t="shared" si="18"/>
        <v>Missing</v>
      </c>
    </row>
    <row r="416" spans="1:22" ht="14.5" customHeight="1" x14ac:dyDescent="0.35">
      <c r="A416" s="15" t="s">
        <v>7292</v>
      </c>
      <c r="B416" s="15" t="s">
        <v>7293</v>
      </c>
      <c r="C416" s="15" t="s">
        <v>2851</v>
      </c>
      <c r="D416" s="15" t="s">
        <v>2852</v>
      </c>
      <c r="E416" s="15" t="s">
        <v>2</v>
      </c>
      <c r="F416" s="15" t="str">
        <f t="shared" si="19"/>
        <v>Female</v>
      </c>
      <c r="G416" s="15" t="s">
        <v>2853</v>
      </c>
      <c r="H416" s="15" t="s">
        <v>2854</v>
      </c>
      <c r="I416" s="15">
        <v>415</v>
      </c>
      <c r="J416" s="15">
        <v>415</v>
      </c>
      <c r="K416" s="15" t="s">
        <v>5</v>
      </c>
      <c r="L416" s="15" t="s">
        <v>2855</v>
      </c>
      <c r="M416" s="15" t="s">
        <v>2856</v>
      </c>
      <c r="N416" s="15" t="s">
        <v>66</v>
      </c>
      <c r="O416" s="15" t="s">
        <v>293</v>
      </c>
      <c r="P416" s="15" t="s">
        <v>1452</v>
      </c>
      <c r="Q416" s="22">
        <f t="shared" si="20"/>
        <v>1040000000</v>
      </c>
      <c r="R416" s="15">
        <v>840.33</v>
      </c>
      <c r="S416" s="16">
        <v>-0.37</v>
      </c>
      <c r="T416" s="15">
        <v>191683567</v>
      </c>
      <c r="U416" s="17">
        <v>45772</v>
      </c>
      <c r="V416" s="15" t="str">
        <f t="shared" si="18"/>
        <v>Complete</v>
      </c>
    </row>
    <row r="417" spans="1:22" ht="14.5" customHeight="1" x14ac:dyDescent="0.35">
      <c r="A417" s="18" t="s">
        <v>7294</v>
      </c>
      <c r="B417" s="18" t="s">
        <v>7243</v>
      </c>
      <c r="C417" s="18" t="s">
        <v>2857</v>
      </c>
      <c r="D417" s="18" t="s">
        <v>2858</v>
      </c>
      <c r="E417" s="18" t="s">
        <v>13</v>
      </c>
      <c r="F417" s="15" t="str">
        <f t="shared" si="19"/>
        <v>Male</v>
      </c>
      <c r="G417" s="18" t="s">
        <v>2859</v>
      </c>
      <c r="H417" s="18" t="s">
        <v>2860</v>
      </c>
      <c r="I417" s="18">
        <v>416</v>
      </c>
      <c r="J417" s="18">
        <v>416</v>
      </c>
      <c r="K417" s="18" t="s">
        <v>5</v>
      </c>
      <c r="L417" s="18" t="s">
        <v>2861</v>
      </c>
      <c r="M417" s="18" t="s">
        <v>2862</v>
      </c>
      <c r="N417" s="18" t="s">
        <v>99</v>
      </c>
      <c r="O417" s="18" t="s">
        <v>944</v>
      </c>
      <c r="P417" s="18" t="s">
        <v>10</v>
      </c>
      <c r="Q417" s="22">
        <f t="shared" si="20"/>
        <v>1120000000</v>
      </c>
      <c r="R417" s="18">
        <v>716</v>
      </c>
      <c r="S417" s="19">
        <v>-15.53</v>
      </c>
      <c r="T417" s="18">
        <v>3934377</v>
      </c>
      <c r="U417" s="20">
        <v>45054</v>
      </c>
      <c r="V417" s="18" t="str">
        <f t="shared" si="18"/>
        <v>Complete</v>
      </c>
    </row>
    <row r="418" spans="1:22" ht="14.5" customHeight="1" x14ac:dyDescent="0.35">
      <c r="A418" s="15" t="s">
        <v>7295</v>
      </c>
      <c r="B418" s="15" t="s">
        <v>7050</v>
      </c>
      <c r="C418" s="15" t="s">
        <v>2863</v>
      </c>
      <c r="D418" s="15" t="s">
        <v>2864</v>
      </c>
      <c r="E418" s="15" t="s">
        <v>2</v>
      </c>
      <c r="F418" s="15" t="str">
        <f t="shared" si="19"/>
        <v>Female</v>
      </c>
      <c r="G418" s="15" t="s">
        <v>2865</v>
      </c>
      <c r="H418" s="15" t="s">
        <v>2866</v>
      </c>
      <c r="I418" s="15">
        <v>417</v>
      </c>
      <c r="J418" s="15">
        <v>417</v>
      </c>
      <c r="K418" s="15" t="s">
        <v>32</v>
      </c>
      <c r="L418" s="15" t="s">
        <v>2867</v>
      </c>
      <c r="M418" s="15" t="s">
        <v>2868</v>
      </c>
      <c r="N418" s="15" t="s">
        <v>189</v>
      </c>
      <c r="O418" s="15" t="s">
        <v>2869</v>
      </c>
      <c r="P418" s="15" t="s">
        <v>2870</v>
      </c>
      <c r="Q418" s="22">
        <f t="shared" si="20"/>
        <v>8170000000</v>
      </c>
      <c r="R418" s="15">
        <v>1990.65</v>
      </c>
      <c r="S418" s="16">
        <v>-9.91</v>
      </c>
      <c r="T418" s="15">
        <v>133461820</v>
      </c>
      <c r="U418" s="17">
        <v>44299</v>
      </c>
      <c r="V418" s="15" t="str">
        <f t="shared" si="18"/>
        <v>Complete</v>
      </c>
    </row>
    <row r="419" spans="1:22" ht="14.5" customHeight="1" x14ac:dyDescent="0.35">
      <c r="A419" s="18" t="s">
        <v>7296</v>
      </c>
      <c r="B419" s="18" t="s">
        <v>6849</v>
      </c>
      <c r="C419" s="18" t="s">
        <v>2871</v>
      </c>
      <c r="D419" s="18" t="s">
        <v>2872</v>
      </c>
      <c r="E419" s="18" t="s">
        <v>208</v>
      </c>
      <c r="F419" s="15" t="str">
        <f t="shared" si="19"/>
        <v>Other</v>
      </c>
      <c r="G419" s="18" t="s">
        <v>2873</v>
      </c>
      <c r="H419" s="18" t="s">
        <v>2874</v>
      </c>
      <c r="I419" s="18">
        <v>418</v>
      </c>
      <c r="J419" s="18">
        <v>418</v>
      </c>
      <c r="K419" s="18" t="s">
        <v>5</v>
      </c>
      <c r="L419" s="18" t="s">
        <v>2875</v>
      </c>
      <c r="M419" s="18" t="s">
        <v>2876</v>
      </c>
      <c r="N419" s="18" t="s">
        <v>8</v>
      </c>
      <c r="O419" s="18" t="s">
        <v>9</v>
      </c>
      <c r="P419" s="18" t="s">
        <v>2877</v>
      </c>
      <c r="Q419" s="22">
        <f t="shared" si="20"/>
        <v>45780000</v>
      </c>
      <c r="R419" s="18">
        <v>438.67</v>
      </c>
      <c r="S419" s="19">
        <v>-6.02</v>
      </c>
      <c r="T419" s="18">
        <v>96929690</v>
      </c>
      <c r="U419" s="20">
        <v>46004</v>
      </c>
      <c r="V419" s="18" t="str">
        <f t="shared" si="18"/>
        <v>Complete</v>
      </c>
    </row>
    <row r="420" spans="1:22" ht="14.5" customHeight="1" x14ac:dyDescent="0.35">
      <c r="A420" s="15" t="s">
        <v>7297</v>
      </c>
      <c r="B420" s="15" t="s">
        <v>7298</v>
      </c>
      <c r="C420" s="15" t="s">
        <v>2878</v>
      </c>
      <c r="D420" s="15" t="s">
        <v>2879</v>
      </c>
      <c r="E420" s="15" t="s">
        <v>13</v>
      </c>
      <c r="F420" s="15" t="str">
        <f t="shared" si="19"/>
        <v>Male</v>
      </c>
      <c r="G420" s="15" t="s">
        <v>2880</v>
      </c>
      <c r="H420" s="15" t="s">
        <v>2881</v>
      </c>
      <c r="I420" s="15">
        <v>419</v>
      </c>
      <c r="J420" s="15">
        <v>419</v>
      </c>
      <c r="K420" s="15" t="s">
        <v>5</v>
      </c>
      <c r="L420" s="15" t="s">
        <v>2073</v>
      </c>
      <c r="M420" s="15" t="s">
        <v>2074</v>
      </c>
      <c r="N420" s="15" t="s">
        <v>66</v>
      </c>
      <c r="O420" s="15" t="s">
        <v>293</v>
      </c>
      <c r="P420" s="15" t="s">
        <v>2075</v>
      </c>
      <c r="Q420" s="22">
        <f t="shared" si="20"/>
        <v>80040000</v>
      </c>
      <c r="R420" s="15">
        <v>1456.17</v>
      </c>
      <c r="S420" s="16">
        <v>6.51</v>
      </c>
      <c r="T420" s="15">
        <v>81877094</v>
      </c>
      <c r="U420" s="17">
        <v>46017</v>
      </c>
      <c r="V420" s="15" t="str">
        <f t="shared" si="18"/>
        <v>Complete</v>
      </c>
    </row>
    <row r="421" spans="1:22" ht="14.5" customHeight="1" x14ac:dyDescent="0.35">
      <c r="A421" s="18" t="s">
        <v>7299</v>
      </c>
      <c r="B421" s="18" t="s">
        <v>6662</v>
      </c>
      <c r="C421" s="18" t="s">
        <v>2882</v>
      </c>
      <c r="D421" s="18" t="s">
        <v>2883</v>
      </c>
      <c r="E421" s="18" t="s">
        <v>2</v>
      </c>
      <c r="F421" s="15" t="str">
        <f t="shared" si="19"/>
        <v>Female</v>
      </c>
      <c r="G421" s="18" t="s">
        <v>2884</v>
      </c>
      <c r="H421" s="18" t="s">
        <v>2885</v>
      </c>
      <c r="I421" s="18">
        <v>420</v>
      </c>
      <c r="J421" s="18">
        <v>420</v>
      </c>
      <c r="K421" s="18" t="s">
        <v>5</v>
      </c>
      <c r="L421" s="18" t="s">
        <v>2886</v>
      </c>
      <c r="M421" s="18" t="s">
        <v>2887</v>
      </c>
      <c r="N421" s="18" t="s">
        <v>8</v>
      </c>
      <c r="O421" s="18" t="s">
        <v>9</v>
      </c>
      <c r="P421" s="18" t="s">
        <v>8033</v>
      </c>
      <c r="Q421" s="22">
        <f t="shared" si="20"/>
        <v>0</v>
      </c>
      <c r="R421" s="18">
        <v>442.42</v>
      </c>
      <c r="S421" s="19">
        <v>-16.829999999999998</v>
      </c>
      <c r="T421" s="18">
        <v>146851254</v>
      </c>
      <c r="U421" s="20">
        <v>44473</v>
      </c>
      <c r="V421" s="18" t="str">
        <f t="shared" si="18"/>
        <v>Missing</v>
      </c>
    </row>
    <row r="422" spans="1:22" ht="14.5" customHeight="1" x14ac:dyDescent="0.35">
      <c r="A422" s="15" t="s">
        <v>7300</v>
      </c>
      <c r="B422" s="15" t="s">
        <v>7301</v>
      </c>
      <c r="C422" s="15" t="s">
        <v>2888</v>
      </c>
      <c r="D422" s="15" t="s">
        <v>2889</v>
      </c>
      <c r="E422" s="15" t="s">
        <v>13</v>
      </c>
      <c r="F422" s="15" t="str">
        <f t="shared" si="19"/>
        <v>Male</v>
      </c>
      <c r="G422" s="15" t="s">
        <v>2890</v>
      </c>
      <c r="H422" s="15" t="s">
        <v>2891</v>
      </c>
      <c r="I422" s="15">
        <v>421</v>
      </c>
      <c r="J422" s="15">
        <v>421</v>
      </c>
      <c r="K422" s="15" t="s">
        <v>5</v>
      </c>
      <c r="L422" s="15" t="s">
        <v>2892</v>
      </c>
      <c r="M422" s="15" t="s">
        <v>2893</v>
      </c>
      <c r="N422" s="15" t="s">
        <v>66</v>
      </c>
      <c r="O422" s="15" t="s">
        <v>293</v>
      </c>
      <c r="P422" s="15" t="s">
        <v>2894</v>
      </c>
      <c r="Q422" s="22">
        <f t="shared" si="20"/>
        <v>16059999.999999998</v>
      </c>
      <c r="R422" s="15">
        <v>1675.52</v>
      </c>
      <c r="S422" s="16">
        <v>13.57</v>
      </c>
      <c r="T422" s="15">
        <v>105082102</v>
      </c>
      <c r="U422" s="17">
        <v>44160</v>
      </c>
      <c r="V422" s="15" t="str">
        <f t="shared" si="18"/>
        <v>Complete</v>
      </c>
    </row>
    <row r="423" spans="1:22" ht="14.5" customHeight="1" x14ac:dyDescent="0.35">
      <c r="A423" s="18" t="s">
        <v>7302</v>
      </c>
      <c r="B423" s="18" t="s">
        <v>7303</v>
      </c>
      <c r="C423" s="18" t="s">
        <v>2895</v>
      </c>
      <c r="D423" s="18" t="s">
        <v>2896</v>
      </c>
      <c r="E423" s="18" t="s">
        <v>13</v>
      </c>
      <c r="F423" s="15" t="str">
        <f t="shared" si="19"/>
        <v>Male</v>
      </c>
      <c r="G423" s="18" t="s">
        <v>2897</v>
      </c>
      <c r="H423" s="18" t="s">
        <v>2898</v>
      </c>
      <c r="I423" s="18">
        <v>422</v>
      </c>
      <c r="J423" s="18">
        <v>422</v>
      </c>
      <c r="K423" s="18" t="s">
        <v>32</v>
      </c>
      <c r="L423" s="18" t="s">
        <v>2899</v>
      </c>
      <c r="M423" s="18" t="s">
        <v>2900</v>
      </c>
      <c r="N423" s="18" t="s">
        <v>142</v>
      </c>
      <c r="O423" s="18" t="s">
        <v>143</v>
      </c>
      <c r="P423" s="18" t="s">
        <v>2901</v>
      </c>
      <c r="Q423" s="22">
        <f t="shared" si="20"/>
        <v>8130000000.000001</v>
      </c>
      <c r="R423" s="18">
        <v>332.13</v>
      </c>
      <c r="S423" s="19">
        <v>6.83</v>
      </c>
      <c r="T423" s="18">
        <v>34228349</v>
      </c>
      <c r="U423" s="20">
        <v>44186</v>
      </c>
      <c r="V423" s="18" t="str">
        <f t="shared" si="18"/>
        <v>Complete</v>
      </c>
    </row>
    <row r="424" spans="1:22" ht="14.5" customHeight="1" x14ac:dyDescent="0.35">
      <c r="A424" s="15" t="s">
        <v>7304</v>
      </c>
      <c r="B424" s="15" t="s">
        <v>6702</v>
      </c>
      <c r="C424" s="15" t="s">
        <v>2902</v>
      </c>
      <c r="D424" s="15" t="s">
        <v>2903</v>
      </c>
      <c r="E424" s="15" t="s">
        <v>2</v>
      </c>
      <c r="F424" s="15" t="str">
        <f t="shared" si="19"/>
        <v>Female</v>
      </c>
      <c r="G424" s="15" t="s">
        <v>2904</v>
      </c>
      <c r="H424" s="15" t="s">
        <v>2905</v>
      </c>
      <c r="I424" s="15">
        <v>423</v>
      </c>
      <c r="J424" s="15">
        <v>423</v>
      </c>
      <c r="K424" s="15" t="s">
        <v>32</v>
      </c>
      <c r="L424" s="15" t="s">
        <v>2906</v>
      </c>
      <c r="M424" s="15" t="s">
        <v>2907</v>
      </c>
      <c r="N424" s="15" t="s">
        <v>99</v>
      </c>
      <c r="O424" s="15" t="s">
        <v>2908</v>
      </c>
      <c r="P424" s="15" t="s">
        <v>2909</v>
      </c>
      <c r="Q424" s="22">
        <f t="shared" si="20"/>
        <v>16969999999.999998</v>
      </c>
      <c r="R424" s="15">
        <v>1041.68</v>
      </c>
      <c r="S424" s="16">
        <v>0.88</v>
      </c>
      <c r="T424" s="15">
        <v>62240153</v>
      </c>
      <c r="U424" s="17">
        <v>46374</v>
      </c>
      <c r="V424" s="15" t="str">
        <f t="shared" si="18"/>
        <v>Complete</v>
      </c>
    </row>
    <row r="425" spans="1:22" ht="14.5" customHeight="1" x14ac:dyDescent="0.35">
      <c r="A425" s="18" t="s">
        <v>7305</v>
      </c>
      <c r="B425" s="18" t="s">
        <v>6929</v>
      </c>
      <c r="C425" s="18" t="s">
        <v>2910</v>
      </c>
      <c r="D425" s="18" t="s">
        <v>2911</v>
      </c>
      <c r="E425" s="18" t="s">
        <v>2</v>
      </c>
      <c r="F425" s="15" t="str">
        <f t="shared" si="19"/>
        <v>Female</v>
      </c>
      <c r="G425" s="18" t="s">
        <v>2912</v>
      </c>
      <c r="H425" s="18" t="s">
        <v>2913</v>
      </c>
      <c r="I425" s="18">
        <v>424</v>
      </c>
      <c r="J425" s="18">
        <v>424</v>
      </c>
      <c r="K425" s="18" t="s">
        <v>5</v>
      </c>
      <c r="L425" s="18" t="s">
        <v>2914</v>
      </c>
      <c r="M425" s="18" t="s">
        <v>2915</v>
      </c>
      <c r="N425" s="18" t="s">
        <v>323</v>
      </c>
      <c r="O425" s="18" t="s">
        <v>805</v>
      </c>
      <c r="P425" s="18" t="s">
        <v>2916</v>
      </c>
      <c r="Q425" s="22">
        <f t="shared" si="20"/>
        <v>36870000</v>
      </c>
      <c r="R425" s="18">
        <v>1824.24</v>
      </c>
      <c r="S425" s="19">
        <v>-5.31</v>
      </c>
      <c r="T425" s="18">
        <v>41299599</v>
      </c>
      <c r="U425" s="20">
        <v>44203</v>
      </c>
      <c r="V425" s="18" t="str">
        <f t="shared" si="18"/>
        <v>Complete</v>
      </c>
    </row>
    <row r="426" spans="1:22" ht="14.5" customHeight="1" x14ac:dyDescent="0.35">
      <c r="A426" s="15" t="s">
        <v>7306</v>
      </c>
      <c r="B426" s="15" t="s">
        <v>7307</v>
      </c>
      <c r="C426" s="15" t="s">
        <v>2917</v>
      </c>
      <c r="D426" s="15" t="s">
        <v>2918</v>
      </c>
      <c r="E426" s="15" t="s">
        <v>2</v>
      </c>
      <c r="F426" s="15" t="str">
        <f t="shared" si="19"/>
        <v>Female</v>
      </c>
      <c r="G426" s="15" t="s">
        <v>2919</v>
      </c>
      <c r="H426" s="15" t="s">
        <v>2920</v>
      </c>
      <c r="I426" s="15">
        <v>425</v>
      </c>
      <c r="J426" s="15">
        <v>425</v>
      </c>
      <c r="K426" s="15" t="s">
        <v>5</v>
      </c>
      <c r="L426" s="15" t="s">
        <v>2921</v>
      </c>
      <c r="M426" s="15" t="s">
        <v>2922</v>
      </c>
      <c r="N426" s="15" t="s">
        <v>48</v>
      </c>
      <c r="O426" s="15" t="s">
        <v>75</v>
      </c>
      <c r="P426" s="15" t="s">
        <v>2923</v>
      </c>
      <c r="Q426" s="22">
        <f t="shared" si="20"/>
        <v>996040000</v>
      </c>
      <c r="R426" s="15">
        <v>946.88</v>
      </c>
      <c r="S426" s="16">
        <v>-2.1</v>
      </c>
      <c r="T426" s="15">
        <v>125665593</v>
      </c>
      <c r="U426" s="17">
        <v>43922</v>
      </c>
      <c r="V426" s="15" t="str">
        <f t="shared" si="18"/>
        <v>Complete</v>
      </c>
    </row>
    <row r="427" spans="1:22" ht="14.5" customHeight="1" x14ac:dyDescent="0.35">
      <c r="A427" s="18" t="s">
        <v>7308</v>
      </c>
      <c r="B427" s="18" t="s">
        <v>6725</v>
      </c>
      <c r="C427" s="18" t="s">
        <v>2924</v>
      </c>
      <c r="D427" s="18" t="s">
        <v>2925</v>
      </c>
      <c r="E427" s="18" t="s">
        <v>13</v>
      </c>
      <c r="F427" s="15" t="str">
        <f t="shared" si="19"/>
        <v>Male</v>
      </c>
      <c r="G427" s="18" t="s">
        <v>2926</v>
      </c>
      <c r="H427" s="18" t="s">
        <v>2927</v>
      </c>
      <c r="I427" s="18">
        <v>426</v>
      </c>
      <c r="J427" s="18">
        <v>426</v>
      </c>
      <c r="K427" s="18" t="s">
        <v>32</v>
      </c>
      <c r="L427" s="18" t="s">
        <v>2928</v>
      </c>
      <c r="M427" s="18" t="s">
        <v>2929</v>
      </c>
      <c r="N427" s="18" t="s">
        <v>189</v>
      </c>
      <c r="O427" s="18" t="s">
        <v>2930</v>
      </c>
      <c r="P427" s="18" t="s">
        <v>2931</v>
      </c>
      <c r="Q427" s="22">
        <f t="shared" si="20"/>
        <v>947480000</v>
      </c>
      <c r="R427" s="18">
        <v>1067.47</v>
      </c>
      <c r="S427" s="19">
        <v>-8.69</v>
      </c>
      <c r="T427" s="18">
        <v>47206823</v>
      </c>
      <c r="U427" s="20">
        <v>44652</v>
      </c>
      <c r="V427" s="18" t="str">
        <f t="shared" si="18"/>
        <v>Complete</v>
      </c>
    </row>
    <row r="428" spans="1:22" ht="14.5" customHeight="1" x14ac:dyDescent="0.35">
      <c r="A428" s="15" t="s">
        <v>7309</v>
      </c>
      <c r="B428" s="15" t="s">
        <v>7086</v>
      </c>
      <c r="C428" s="15" t="s">
        <v>2932</v>
      </c>
      <c r="D428" s="15" t="s">
        <v>2933</v>
      </c>
      <c r="E428" s="15" t="s">
        <v>2</v>
      </c>
      <c r="F428" s="15" t="str">
        <f t="shared" si="19"/>
        <v>Female</v>
      </c>
      <c r="G428" s="15" t="s">
        <v>2934</v>
      </c>
      <c r="H428" s="15" t="s">
        <v>2935</v>
      </c>
      <c r="I428" s="15">
        <v>427</v>
      </c>
      <c r="J428" s="15">
        <v>427</v>
      </c>
      <c r="K428" s="15" t="s">
        <v>32</v>
      </c>
      <c r="L428" s="15" t="s">
        <v>625</v>
      </c>
      <c r="M428" s="15" t="s">
        <v>626</v>
      </c>
      <c r="N428" s="15" t="s">
        <v>142</v>
      </c>
      <c r="O428" s="15" t="s">
        <v>143</v>
      </c>
      <c r="P428" s="15" t="s">
        <v>627</v>
      </c>
      <c r="Q428" s="22">
        <f t="shared" si="20"/>
        <v>2180000000</v>
      </c>
      <c r="R428" s="15">
        <v>943.29</v>
      </c>
      <c r="S428" s="16">
        <v>2.42</v>
      </c>
      <c r="T428" s="15">
        <v>99393664</v>
      </c>
      <c r="U428" s="17">
        <v>44165</v>
      </c>
      <c r="V428" s="15" t="str">
        <f t="shared" si="18"/>
        <v>Complete</v>
      </c>
    </row>
    <row r="429" spans="1:22" ht="14.5" customHeight="1" x14ac:dyDescent="0.35">
      <c r="A429" s="18" t="s">
        <v>7310</v>
      </c>
      <c r="B429" s="18" t="s">
        <v>7311</v>
      </c>
      <c r="C429" s="18" t="s">
        <v>2936</v>
      </c>
      <c r="D429" s="18" t="s">
        <v>2937</v>
      </c>
      <c r="E429" s="18" t="s">
        <v>13</v>
      </c>
      <c r="F429" s="15" t="str">
        <f t="shared" si="19"/>
        <v>Male</v>
      </c>
      <c r="G429" s="18" t="s">
        <v>2938</v>
      </c>
      <c r="H429" s="18" t="s">
        <v>2939</v>
      </c>
      <c r="I429" s="18">
        <v>428</v>
      </c>
      <c r="J429" s="18">
        <v>428</v>
      </c>
      <c r="K429" s="18" t="s">
        <v>32</v>
      </c>
      <c r="L429" s="18" t="s">
        <v>1179</v>
      </c>
      <c r="M429" s="18" t="s">
        <v>1180</v>
      </c>
      <c r="N429" s="18" t="s">
        <v>25</v>
      </c>
      <c r="O429" s="18" t="s">
        <v>1181</v>
      </c>
      <c r="P429" s="18" t="s">
        <v>1182</v>
      </c>
      <c r="Q429" s="22">
        <f t="shared" si="20"/>
        <v>23640000000</v>
      </c>
      <c r="R429" s="18">
        <v>1121.92</v>
      </c>
      <c r="S429" s="19">
        <v>-12.3</v>
      </c>
      <c r="T429" s="18">
        <v>59215703</v>
      </c>
      <c r="U429" s="20">
        <v>43837</v>
      </c>
      <c r="V429" s="18" t="str">
        <f t="shared" si="18"/>
        <v>Complete</v>
      </c>
    </row>
    <row r="430" spans="1:22" ht="14.5" customHeight="1" x14ac:dyDescent="0.35">
      <c r="A430" s="15" t="s">
        <v>7312</v>
      </c>
      <c r="B430" s="15" t="s">
        <v>7046</v>
      </c>
      <c r="C430" s="15" t="s">
        <v>2940</v>
      </c>
      <c r="D430" s="15" t="s">
        <v>2941</v>
      </c>
      <c r="E430" s="15" t="s">
        <v>2</v>
      </c>
      <c r="F430" s="15" t="str">
        <f t="shared" si="19"/>
        <v>Female</v>
      </c>
      <c r="G430" s="15" t="s">
        <v>2942</v>
      </c>
      <c r="H430" s="15" t="s">
        <v>2943</v>
      </c>
      <c r="I430" s="15">
        <v>429</v>
      </c>
      <c r="J430" s="15">
        <v>429</v>
      </c>
      <c r="K430" s="15" t="s">
        <v>32</v>
      </c>
      <c r="L430" s="15" t="s">
        <v>2944</v>
      </c>
      <c r="M430" s="15" t="s">
        <v>2945</v>
      </c>
      <c r="N430" s="15" t="s">
        <v>8033</v>
      </c>
      <c r="O430" s="15" t="s">
        <v>8033</v>
      </c>
      <c r="P430" s="15" t="s">
        <v>8033</v>
      </c>
      <c r="Q430" s="22">
        <f t="shared" si="20"/>
        <v>0</v>
      </c>
      <c r="R430" s="15">
        <v>324.04000000000002</v>
      </c>
      <c r="S430" s="16">
        <v>3.54</v>
      </c>
      <c r="T430" s="15">
        <v>190067085</v>
      </c>
      <c r="U430" s="17">
        <v>45439</v>
      </c>
      <c r="V430" s="15" t="str">
        <f t="shared" si="18"/>
        <v>Missing</v>
      </c>
    </row>
    <row r="431" spans="1:22" ht="14.5" customHeight="1" x14ac:dyDescent="0.35">
      <c r="A431" s="18" t="s">
        <v>7313</v>
      </c>
      <c r="B431" s="18" t="s">
        <v>7097</v>
      </c>
      <c r="C431" s="18" t="s">
        <v>2946</v>
      </c>
      <c r="D431" s="18" t="s">
        <v>2947</v>
      </c>
      <c r="E431" s="18" t="s">
        <v>13</v>
      </c>
      <c r="F431" s="15" t="str">
        <f t="shared" si="19"/>
        <v>Male</v>
      </c>
      <c r="G431" s="18" t="s">
        <v>2948</v>
      </c>
      <c r="H431" s="18" t="s">
        <v>2949</v>
      </c>
      <c r="I431" s="18">
        <v>430</v>
      </c>
      <c r="J431" s="18">
        <v>430</v>
      </c>
      <c r="K431" s="18" t="s">
        <v>32</v>
      </c>
      <c r="L431" s="18" t="s">
        <v>2950</v>
      </c>
      <c r="M431" s="18" t="s">
        <v>2951</v>
      </c>
      <c r="N431" s="18" t="s">
        <v>142</v>
      </c>
      <c r="O431" s="18" t="s">
        <v>143</v>
      </c>
      <c r="P431" s="18" t="s">
        <v>2952</v>
      </c>
      <c r="Q431" s="22">
        <f t="shared" si="20"/>
        <v>5840000000</v>
      </c>
      <c r="R431" s="18">
        <v>1002.06</v>
      </c>
      <c r="S431" s="19">
        <v>-9.65</v>
      </c>
      <c r="T431" s="18">
        <v>20391427</v>
      </c>
      <c r="U431" s="20">
        <v>46298</v>
      </c>
      <c r="V431" s="18" t="str">
        <f t="shared" si="18"/>
        <v>Complete</v>
      </c>
    </row>
    <row r="432" spans="1:22" ht="14.5" customHeight="1" x14ac:dyDescent="0.35">
      <c r="A432" s="15" t="s">
        <v>7314</v>
      </c>
      <c r="B432" s="15" t="s">
        <v>6715</v>
      </c>
      <c r="C432" s="15" t="s">
        <v>2953</v>
      </c>
      <c r="D432" s="15" t="s">
        <v>2954</v>
      </c>
      <c r="E432" s="15" t="s">
        <v>52</v>
      </c>
      <c r="F432" s="15" t="str">
        <f t="shared" si="19"/>
        <v>Other</v>
      </c>
      <c r="G432" s="15" t="s">
        <v>2955</v>
      </c>
      <c r="H432" s="15" t="s">
        <v>2956</v>
      </c>
      <c r="I432" s="15">
        <v>431</v>
      </c>
      <c r="J432" s="15">
        <v>431</v>
      </c>
      <c r="K432" s="15" t="s">
        <v>32</v>
      </c>
      <c r="L432" s="15" t="s">
        <v>2957</v>
      </c>
      <c r="M432" s="15" t="s">
        <v>2958</v>
      </c>
      <c r="N432" s="15" t="s">
        <v>90</v>
      </c>
      <c r="O432" s="15" t="s">
        <v>1261</v>
      </c>
      <c r="P432" s="15" t="s">
        <v>2959</v>
      </c>
      <c r="Q432" s="22">
        <f t="shared" si="20"/>
        <v>13000000000</v>
      </c>
      <c r="R432" s="15">
        <v>1287.8</v>
      </c>
      <c r="S432" s="16">
        <v>-0.59</v>
      </c>
      <c r="T432" s="15">
        <v>193765243</v>
      </c>
      <c r="U432" s="17">
        <v>45392</v>
      </c>
      <c r="V432" s="15" t="str">
        <f t="shared" si="18"/>
        <v>Complete</v>
      </c>
    </row>
    <row r="433" spans="1:22" ht="14.5" customHeight="1" x14ac:dyDescent="0.35">
      <c r="A433" s="18" t="s">
        <v>7315</v>
      </c>
      <c r="B433" s="18" t="s">
        <v>7185</v>
      </c>
      <c r="C433" s="18" t="s">
        <v>2960</v>
      </c>
      <c r="D433" s="18" t="s">
        <v>2961</v>
      </c>
      <c r="E433" s="18" t="s">
        <v>13</v>
      </c>
      <c r="F433" s="15" t="str">
        <f t="shared" si="19"/>
        <v>Male</v>
      </c>
      <c r="G433" s="18" t="s">
        <v>2962</v>
      </c>
      <c r="H433" s="18" t="s">
        <v>2963</v>
      </c>
      <c r="I433" s="18">
        <v>432</v>
      </c>
      <c r="J433" s="18">
        <v>432</v>
      </c>
      <c r="K433" s="18" t="s">
        <v>32</v>
      </c>
      <c r="L433" s="18" t="s">
        <v>2964</v>
      </c>
      <c r="M433" s="18" t="s">
        <v>2965</v>
      </c>
      <c r="N433" s="18" t="s">
        <v>189</v>
      </c>
      <c r="O433" s="18" t="s">
        <v>270</v>
      </c>
      <c r="P433" s="18" t="s">
        <v>1825</v>
      </c>
      <c r="Q433" s="22">
        <f t="shared" si="20"/>
        <v>2170000000</v>
      </c>
      <c r="R433" s="18">
        <v>108.88</v>
      </c>
      <c r="S433" s="19">
        <v>0.71</v>
      </c>
      <c r="T433" s="18">
        <v>11340720</v>
      </c>
      <c r="U433" s="20">
        <v>46001</v>
      </c>
      <c r="V433" s="18" t="str">
        <f t="shared" si="18"/>
        <v>Complete</v>
      </c>
    </row>
    <row r="434" spans="1:22" ht="14.5" customHeight="1" x14ac:dyDescent="0.35">
      <c r="A434" s="15" t="s">
        <v>7316</v>
      </c>
      <c r="B434" s="15" t="s">
        <v>7317</v>
      </c>
      <c r="C434" s="15" t="s">
        <v>2966</v>
      </c>
      <c r="D434" s="15" t="s">
        <v>2967</v>
      </c>
      <c r="E434" s="15" t="s">
        <v>13</v>
      </c>
      <c r="F434" s="15" t="str">
        <f t="shared" si="19"/>
        <v>Male</v>
      </c>
      <c r="G434" s="15" t="s">
        <v>2968</v>
      </c>
      <c r="H434" s="15" t="s">
        <v>2969</v>
      </c>
      <c r="I434" s="15">
        <v>433</v>
      </c>
      <c r="J434" s="15">
        <v>433</v>
      </c>
      <c r="K434" s="15" t="s">
        <v>32</v>
      </c>
      <c r="L434" s="15" t="s">
        <v>2970</v>
      </c>
      <c r="M434" s="15" t="s">
        <v>2971</v>
      </c>
      <c r="N434" s="15" t="s">
        <v>8</v>
      </c>
      <c r="O434" s="15" t="s">
        <v>600</v>
      </c>
      <c r="P434" s="15" t="s">
        <v>2972</v>
      </c>
      <c r="Q434" s="22">
        <f t="shared" si="20"/>
        <v>43290000000</v>
      </c>
      <c r="R434" s="15">
        <v>809.56</v>
      </c>
      <c r="S434" s="16">
        <v>1.02</v>
      </c>
      <c r="T434" s="15">
        <v>90132494</v>
      </c>
      <c r="U434" s="17">
        <v>45647</v>
      </c>
      <c r="V434" s="15" t="str">
        <f t="shared" si="18"/>
        <v>Complete</v>
      </c>
    </row>
    <row r="435" spans="1:22" ht="14.5" customHeight="1" x14ac:dyDescent="0.35">
      <c r="A435" s="18" t="s">
        <v>7318</v>
      </c>
      <c r="B435" s="18" t="s">
        <v>7022</v>
      </c>
      <c r="C435" s="18" t="s">
        <v>2973</v>
      </c>
      <c r="D435" s="18" t="s">
        <v>2974</v>
      </c>
      <c r="E435" s="18" t="s">
        <v>2</v>
      </c>
      <c r="F435" s="15" t="str">
        <f t="shared" si="19"/>
        <v>Female</v>
      </c>
      <c r="G435" s="18" t="s">
        <v>2975</v>
      </c>
      <c r="H435" s="18" t="s">
        <v>2976</v>
      </c>
      <c r="I435" s="18">
        <v>434</v>
      </c>
      <c r="J435" s="18">
        <v>434</v>
      </c>
      <c r="K435" s="18" t="s">
        <v>32</v>
      </c>
      <c r="L435" s="18" t="s">
        <v>2977</v>
      </c>
      <c r="M435" s="18" t="s">
        <v>2978</v>
      </c>
      <c r="N435" s="18" t="s">
        <v>142</v>
      </c>
      <c r="O435" s="18" t="s">
        <v>143</v>
      </c>
      <c r="P435" s="18" t="s">
        <v>2979</v>
      </c>
      <c r="Q435" s="22">
        <f t="shared" si="20"/>
        <v>1950000000</v>
      </c>
      <c r="R435" s="18">
        <v>1154.6300000000001</v>
      </c>
      <c r="S435" s="19">
        <v>8.0399999999999991</v>
      </c>
      <c r="T435" s="18">
        <v>60900612</v>
      </c>
      <c r="U435" s="20">
        <v>46230</v>
      </c>
      <c r="V435" s="18" t="str">
        <f t="shared" si="18"/>
        <v>Complete</v>
      </c>
    </row>
    <row r="436" spans="1:22" ht="14.5" customHeight="1" x14ac:dyDescent="0.35">
      <c r="A436" s="15" t="s">
        <v>7319</v>
      </c>
      <c r="B436" s="15" t="s">
        <v>6621</v>
      </c>
      <c r="C436" s="15" t="s">
        <v>2980</v>
      </c>
      <c r="D436" s="15" t="s">
        <v>2981</v>
      </c>
      <c r="E436" s="15" t="s">
        <v>13</v>
      </c>
      <c r="F436" s="15" t="str">
        <f t="shared" si="19"/>
        <v>Male</v>
      </c>
      <c r="G436" s="15" t="s">
        <v>2982</v>
      </c>
      <c r="H436" s="15" t="s">
        <v>2983</v>
      </c>
      <c r="I436" s="15">
        <v>435</v>
      </c>
      <c r="J436" s="15">
        <v>435</v>
      </c>
      <c r="K436" s="15" t="s">
        <v>5</v>
      </c>
      <c r="L436" s="15" t="s">
        <v>2984</v>
      </c>
      <c r="M436" s="15" t="s">
        <v>2985</v>
      </c>
      <c r="N436" s="15" t="s">
        <v>8</v>
      </c>
      <c r="O436" s="15" t="s">
        <v>9</v>
      </c>
      <c r="P436" s="15" t="s">
        <v>2986</v>
      </c>
      <c r="Q436" s="22">
        <f t="shared" si="20"/>
        <v>158070000</v>
      </c>
      <c r="R436" s="15">
        <v>1999.16</v>
      </c>
      <c r="S436" s="16">
        <v>-19.899999999999999</v>
      </c>
      <c r="T436" s="15">
        <v>96827835</v>
      </c>
      <c r="U436" s="17">
        <v>46241</v>
      </c>
      <c r="V436" s="15" t="str">
        <f t="shared" si="18"/>
        <v>Complete</v>
      </c>
    </row>
    <row r="437" spans="1:22" ht="14.5" customHeight="1" x14ac:dyDescent="0.35">
      <c r="A437" s="18" t="s">
        <v>7320</v>
      </c>
      <c r="B437" s="18" t="s">
        <v>6712</v>
      </c>
      <c r="C437" s="18" t="s">
        <v>2987</v>
      </c>
      <c r="D437" s="18" t="s">
        <v>2988</v>
      </c>
      <c r="E437" s="18" t="s">
        <v>2</v>
      </c>
      <c r="F437" s="15" t="str">
        <f t="shared" si="19"/>
        <v>Female</v>
      </c>
      <c r="G437" s="18" t="s">
        <v>2989</v>
      </c>
      <c r="H437" s="18" t="s">
        <v>2990</v>
      </c>
      <c r="I437" s="18">
        <v>436</v>
      </c>
      <c r="J437" s="18">
        <v>436</v>
      </c>
      <c r="K437" s="18" t="s">
        <v>32</v>
      </c>
      <c r="L437" s="18" t="s">
        <v>2991</v>
      </c>
      <c r="M437" s="18" t="s">
        <v>2992</v>
      </c>
      <c r="N437" s="18" t="s">
        <v>8033</v>
      </c>
      <c r="O437" s="18" t="s">
        <v>8033</v>
      </c>
      <c r="P437" s="18" t="s">
        <v>8033</v>
      </c>
      <c r="Q437" s="22">
        <f t="shared" si="20"/>
        <v>0</v>
      </c>
      <c r="R437" s="18">
        <v>261.47000000000003</v>
      </c>
      <c r="S437" s="19">
        <v>4.93</v>
      </c>
      <c r="T437" s="18">
        <v>156625431</v>
      </c>
      <c r="U437" s="20">
        <v>44723</v>
      </c>
      <c r="V437" s="18" t="str">
        <f t="shared" si="18"/>
        <v>Missing</v>
      </c>
    </row>
    <row r="438" spans="1:22" ht="14.5" customHeight="1" x14ac:dyDescent="0.35">
      <c r="A438" s="15" t="s">
        <v>7321</v>
      </c>
      <c r="B438" s="15" t="s">
        <v>7322</v>
      </c>
      <c r="C438" s="15" t="s">
        <v>2993</v>
      </c>
      <c r="D438" s="15" t="s">
        <v>2994</v>
      </c>
      <c r="E438" s="15" t="s">
        <v>2</v>
      </c>
      <c r="F438" s="15" t="str">
        <f t="shared" si="19"/>
        <v>Female</v>
      </c>
      <c r="G438" s="15" t="s">
        <v>2995</v>
      </c>
      <c r="H438" s="15" t="s">
        <v>2996</v>
      </c>
      <c r="I438" s="15">
        <v>437</v>
      </c>
      <c r="J438" s="15">
        <v>437</v>
      </c>
      <c r="K438" s="15" t="s">
        <v>5</v>
      </c>
      <c r="L438" s="15" t="s">
        <v>2997</v>
      </c>
      <c r="M438" s="15" t="s">
        <v>2998</v>
      </c>
      <c r="N438" s="15" t="s">
        <v>66</v>
      </c>
      <c r="O438" s="15" t="s">
        <v>492</v>
      </c>
      <c r="P438" s="15" t="s">
        <v>2999</v>
      </c>
      <c r="Q438" s="22">
        <f t="shared" si="20"/>
        <v>2320000</v>
      </c>
      <c r="R438" s="15">
        <v>453</v>
      </c>
      <c r="S438" s="16">
        <v>7.19</v>
      </c>
      <c r="T438" s="15">
        <v>83137898</v>
      </c>
      <c r="U438" s="17">
        <v>45642</v>
      </c>
      <c r="V438" s="15" t="str">
        <f t="shared" si="18"/>
        <v>Complete</v>
      </c>
    </row>
    <row r="439" spans="1:22" ht="14.5" customHeight="1" x14ac:dyDescent="0.35">
      <c r="A439" s="18" t="s">
        <v>7323</v>
      </c>
      <c r="B439" s="18" t="s">
        <v>6729</v>
      </c>
      <c r="C439" s="18" t="s">
        <v>3000</v>
      </c>
      <c r="D439" s="18" t="s">
        <v>3001</v>
      </c>
      <c r="E439" s="18" t="s">
        <v>13</v>
      </c>
      <c r="F439" s="15" t="str">
        <f t="shared" si="19"/>
        <v>Male</v>
      </c>
      <c r="G439" s="18" t="s">
        <v>3002</v>
      </c>
      <c r="H439" s="18" t="s">
        <v>3003</v>
      </c>
      <c r="I439" s="18">
        <v>438</v>
      </c>
      <c r="J439" s="18">
        <v>438</v>
      </c>
      <c r="K439" s="18" t="s">
        <v>32</v>
      </c>
      <c r="L439" s="18" t="s">
        <v>3004</v>
      </c>
      <c r="M439" s="18" t="s">
        <v>3005</v>
      </c>
      <c r="N439" s="18" t="s">
        <v>48</v>
      </c>
      <c r="O439" s="18" t="s">
        <v>669</v>
      </c>
      <c r="P439" s="18" t="s">
        <v>3006</v>
      </c>
      <c r="Q439" s="22">
        <f t="shared" si="20"/>
        <v>3280000000</v>
      </c>
      <c r="R439" s="18">
        <v>1297.5899999999999</v>
      </c>
      <c r="S439" s="19">
        <v>18.04</v>
      </c>
      <c r="T439" s="18">
        <v>23934221</v>
      </c>
      <c r="U439" s="20">
        <v>45163</v>
      </c>
      <c r="V439" s="18" t="str">
        <f t="shared" si="18"/>
        <v>Complete</v>
      </c>
    </row>
    <row r="440" spans="1:22" ht="14.5" customHeight="1" x14ac:dyDescent="0.35">
      <c r="A440" s="15" t="s">
        <v>7324</v>
      </c>
      <c r="B440" s="15" t="s">
        <v>6990</v>
      </c>
      <c r="C440" s="15" t="s">
        <v>3007</v>
      </c>
      <c r="D440" s="15" t="s">
        <v>3008</v>
      </c>
      <c r="E440" s="15" t="s">
        <v>2</v>
      </c>
      <c r="F440" s="15" t="str">
        <f t="shared" si="19"/>
        <v>Female</v>
      </c>
      <c r="G440" s="15" t="s">
        <v>3009</v>
      </c>
      <c r="H440" s="15" t="s">
        <v>3010</v>
      </c>
      <c r="I440" s="15">
        <v>439</v>
      </c>
      <c r="J440" s="15">
        <v>439</v>
      </c>
      <c r="K440" s="15" t="s">
        <v>32</v>
      </c>
      <c r="L440" s="15" t="s">
        <v>2452</v>
      </c>
      <c r="M440" s="15" t="s">
        <v>2453</v>
      </c>
      <c r="N440" s="15" t="s">
        <v>134</v>
      </c>
      <c r="O440" s="15" t="s">
        <v>2454</v>
      </c>
      <c r="P440" s="15" t="s">
        <v>1715</v>
      </c>
      <c r="Q440" s="22">
        <f t="shared" si="20"/>
        <v>1700000000</v>
      </c>
      <c r="R440" s="15">
        <v>647.07000000000005</v>
      </c>
      <c r="S440" s="16">
        <v>-6.72</v>
      </c>
      <c r="T440" s="15">
        <v>116737498</v>
      </c>
      <c r="U440" s="17">
        <v>45918</v>
      </c>
      <c r="V440" s="15" t="str">
        <f t="shared" si="18"/>
        <v>Complete</v>
      </c>
    </row>
    <row r="441" spans="1:22" ht="14.5" customHeight="1" x14ac:dyDescent="0.35">
      <c r="A441" s="18" t="s">
        <v>7325</v>
      </c>
      <c r="B441" s="18" t="s">
        <v>7224</v>
      </c>
      <c r="C441" s="18" t="s">
        <v>3011</v>
      </c>
      <c r="D441" s="18" t="s">
        <v>3012</v>
      </c>
      <c r="E441" s="18" t="s">
        <v>13</v>
      </c>
      <c r="F441" s="15" t="str">
        <f t="shared" si="19"/>
        <v>Male</v>
      </c>
      <c r="G441" s="18" t="s">
        <v>3013</v>
      </c>
      <c r="H441" s="18" t="s">
        <v>3014</v>
      </c>
      <c r="I441" s="18">
        <v>440</v>
      </c>
      <c r="J441" s="18">
        <v>440</v>
      </c>
      <c r="K441" s="18" t="s">
        <v>32</v>
      </c>
      <c r="L441" s="18" t="s">
        <v>3015</v>
      </c>
      <c r="M441" s="18" t="s">
        <v>3016</v>
      </c>
      <c r="N441" s="18" t="s">
        <v>8033</v>
      </c>
      <c r="O441" s="18" t="s">
        <v>8033</v>
      </c>
      <c r="P441" s="18" t="s">
        <v>8033</v>
      </c>
      <c r="Q441" s="22">
        <f t="shared" si="20"/>
        <v>0</v>
      </c>
      <c r="R441" s="18">
        <v>1340.28</v>
      </c>
      <c r="S441" s="19">
        <v>-12.12</v>
      </c>
      <c r="T441" s="18">
        <v>66026382</v>
      </c>
      <c r="U441" s="20">
        <v>43900</v>
      </c>
      <c r="V441" s="18" t="str">
        <f t="shared" si="18"/>
        <v>Missing</v>
      </c>
    </row>
    <row r="442" spans="1:22" ht="14.5" customHeight="1" x14ac:dyDescent="0.35">
      <c r="A442" s="15" t="s">
        <v>7326</v>
      </c>
      <c r="B442" s="15" t="s">
        <v>7327</v>
      </c>
      <c r="C442" s="15" t="s">
        <v>3017</v>
      </c>
      <c r="D442" s="15" t="s">
        <v>3018</v>
      </c>
      <c r="E442" s="15" t="s">
        <v>13</v>
      </c>
      <c r="F442" s="15" t="str">
        <f t="shared" si="19"/>
        <v>Male</v>
      </c>
      <c r="G442" s="15" t="s">
        <v>3019</v>
      </c>
      <c r="H442" s="15" t="s">
        <v>3020</v>
      </c>
      <c r="I442" s="15">
        <v>441</v>
      </c>
      <c r="J442" s="15">
        <v>441</v>
      </c>
      <c r="K442" s="15" t="s">
        <v>5</v>
      </c>
      <c r="L442" s="15" t="s">
        <v>3021</v>
      </c>
      <c r="M442" s="15" t="s">
        <v>3022</v>
      </c>
      <c r="N442" s="15" t="s">
        <v>66</v>
      </c>
      <c r="O442" s="15" t="s">
        <v>422</v>
      </c>
      <c r="P442" s="15" t="s">
        <v>3023</v>
      </c>
      <c r="Q442" s="22">
        <f t="shared" si="20"/>
        <v>3740000000</v>
      </c>
      <c r="R442" s="15">
        <v>49.93</v>
      </c>
      <c r="S442" s="16">
        <v>-15.01</v>
      </c>
      <c r="T442" s="15">
        <v>195169821</v>
      </c>
      <c r="U442" s="17">
        <v>45802</v>
      </c>
      <c r="V442" s="15" t="str">
        <f t="shared" si="18"/>
        <v>Complete</v>
      </c>
    </row>
    <row r="443" spans="1:22" ht="14.5" customHeight="1" x14ac:dyDescent="0.35">
      <c r="A443" s="18" t="s">
        <v>7328</v>
      </c>
      <c r="B443" s="18" t="s">
        <v>7194</v>
      </c>
      <c r="C443" s="18" t="s">
        <v>3024</v>
      </c>
      <c r="D443" s="18" t="s">
        <v>3025</v>
      </c>
      <c r="E443" s="18" t="s">
        <v>2</v>
      </c>
      <c r="F443" s="15" t="str">
        <f t="shared" si="19"/>
        <v>Female</v>
      </c>
      <c r="G443" s="18" t="s">
        <v>3026</v>
      </c>
      <c r="H443" s="18" t="s">
        <v>3027</v>
      </c>
      <c r="I443" s="18">
        <v>442</v>
      </c>
      <c r="J443" s="18">
        <v>442</v>
      </c>
      <c r="K443" s="18" t="s">
        <v>32</v>
      </c>
      <c r="L443" s="18" t="s">
        <v>3028</v>
      </c>
      <c r="M443" s="18" t="s">
        <v>3029</v>
      </c>
      <c r="N443" s="18" t="s">
        <v>189</v>
      </c>
      <c r="O443" s="18" t="s">
        <v>3030</v>
      </c>
      <c r="P443" s="18" t="s">
        <v>3031</v>
      </c>
      <c r="Q443" s="22">
        <f t="shared" si="20"/>
        <v>264329999.99999997</v>
      </c>
      <c r="R443" s="18">
        <v>1527.07</v>
      </c>
      <c r="S443" s="19">
        <v>5.3</v>
      </c>
      <c r="T443" s="18">
        <v>181042186</v>
      </c>
      <c r="U443" s="20">
        <v>44928</v>
      </c>
      <c r="V443" s="18" t="str">
        <f t="shared" si="18"/>
        <v>Complete</v>
      </c>
    </row>
    <row r="444" spans="1:22" ht="14.5" customHeight="1" x14ac:dyDescent="0.35">
      <c r="A444" s="15" t="s">
        <v>7329</v>
      </c>
      <c r="B444" s="15" t="s">
        <v>6862</v>
      </c>
      <c r="C444" s="15" t="s">
        <v>3032</v>
      </c>
      <c r="D444" s="15" t="s">
        <v>3033</v>
      </c>
      <c r="E444" s="15" t="s">
        <v>2</v>
      </c>
      <c r="F444" s="15" t="str">
        <f t="shared" si="19"/>
        <v>Female</v>
      </c>
      <c r="G444" s="15" t="s">
        <v>3034</v>
      </c>
      <c r="H444" s="15" t="s">
        <v>3035</v>
      </c>
      <c r="I444" s="15">
        <v>443</v>
      </c>
      <c r="J444" s="15">
        <v>443</v>
      </c>
      <c r="K444" s="15" t="s">
        <v>5</v>
      </c>
      <c r="L444" s="15" t="s">
        <v>3036</v>
      </c>
      <c r="M444" s="15" t="s">
        <v>3037</v>
      </c>
      <c r="N444" s="15" t="s">
        <v>99</v>
      </c>
      <c r="O444" s="15" t="s">
        <v>2114</v>
      </c>
      <c r="P444" s="15" t="s">
        <v>3038</v>
      </c>
      <c r="Q444" s="22">
        <f t="shared" si="20"/>
        <v>227140000</v>
      </c>
      <c r="R444" s="15">
        <v>1358.36</v>
      </c>
      <c r="S444" s="16">
        <v>17.52</v>
      </c>
      <c r="T444" s="15">
        <v>5602159</v>
      </c>
      <c r="U444" s="17">
        <v>45643</v>
      </c>
      <c r="V444" s="15" t="str">
        <f t="shared" si="18"/>
        <v>Complete</v>
      </c>
    </row>
    <row r="445" spans="1:22" ht="14.5" customHeight="1" x14ac:dyDescent="0.35">
      <c r="A445" s="18" t="s">
        <v>7330</v>
      </c>
      <c r="B445" s="18" t="s">
        <v>7231</v>
      </c>
      <c r="C445" s="18" t="s">
        <v>693</v>
      </c>
      <c r="D445" s="18" t="s">
        <v>3039</v>
      </c>
      <c r="E445" s="18" t="s">
        <v>13</v>
      </c>
      <c r="F445" s="15" t="str">
        <f t="shared" si="19"/>
        <v>Male</v>
      </c>
      <c r="G445" s="18" t="s">
        <v>3040</v>
      </c>
      <c r="H445" s="18" t="s">
        <v>3041</v>
      </c>
      <c r="I445" s="18">
        <v>444</v>
      </c>
      <c r="J445" s="18">
        <v>444</v>
      </c>
      <c r="K445" s="18" t="s">
        <v>5</v>
      </c>
      <c r="L445" s="18" t="s">
        <v>3042</v>
      </c>
      <c r="M445" s="18" t="s">
        <v>3043</v>
      </c>
      <c r="N445" s="18" t="s">
        <v>134</v>
      </c>
      <c r="O445" s="18" t="s">
        <v>135</v>
      </c>
      <c r="P445" s="18" t="s">
        <v>3044</v>
      </c>
      <c r="Q445" s="22">
        <f t="shared" si="20"/>
        <v>371610000</v>
      </c>
      <c r="R445" s="18">
        <v>274.07</v>
      </c>
      <c r="S445" s="19">
        <v>-19.2</v>
      </c>
      <c r="T445" s="18">
        <v>2433838</v>
      </c>
      <c r="U445" s="20">
        <v>45743</v>
      </c>
      <c r="V445" s="18" t="str">
        <f t="shared" si="18"/>
        <v>Complete</v>
      </c>
    </row>
    <row r="446" spans="1:22" ht="14.5" customHeight="1" x14ac:dyDescent="0.35">
      <c r="A446" s="15" t="s">
        <v>7331</v>
      </c>
      <c r="B446" s="15" t="s">
        <v>6801</v>
      </c>
      <c r="C446" s="15" t="s">
        <v>3045</v>
      </c>
      <c r="D446" s="15" t="s">
        <v>3046</v>
      </c>
      <c r="E446" s="15" t="s">
        <v>13</v>
      </c>
      <c r="F446" s="15" t="str">
        <f t="shared" si="19"/>
        <v>Male</v>
      </c>
      <c r="G446" s="15" t="s">
        <v>3047</v>
      </c>
      <c r="H446" s="15" t="s">
        <v>3048</v>
      </c>
      <c r="I446" s="15">
        <v>445</v>
      </c>
      <c r="J446" s="15">
        <v>445</v>
      </c>
      <c r="K446" s="15" t="s">
        <v>5</v>
      </c>
      <c r="L446" s="15" t="s">
        <v>3049</v>
      </c>
      <c r="M446" s="15" t="s">
        <v>3050</v>
      </c>
      <c r="N446" s="15" t="s">
        <v>48</v>
      </c>
      <c r="O446" s="15" t="s">
        <v>204</v>
      </c>
      <c r="P446" s="15" t="s">
        <v>3051</v>
      </c>
      <c r="Q446" s="22">
        <f t="shared" si="20"/>
        <v>198290000</v>
      </c>
      <c r="R446" s="15">
        <v>461.55</v>
      </c>
      <c r="S446" s="16">
        <v>2.89</v>
      </c>
      <c r="T446" s="15">
        <v>29354348</v>
      </c>
      <c r="U446" s="17">
        <v>46357</v>
      </c>
      <c r="V446" s="15" t="str">
        <f t="shared" si="18"/>
        <v>Complete</v>
      </c>
    </row>
    <row r="447" spans="1:22" ht="14.5" customHeight="1" x14ac:dyDescent="0.35">
      <c r="A447" s="18" t="s">
        <v>7332</v>
      </c>
      <c r="B447" s="18" t="s">
        <v>7219</v>
      </c>
      <c r="C447" s="18" t="s">
        <v>3052</v>
      </c>
      <c r="D447" s="18" t="s">
        <v>3053</v>
      </c>
      <c r="E447" s="18" t="s">
        <v>161</v>
      </c>
      <c r="F447" s="15" t="str">
        <f t="shared" si="19"/>
        <v>Other</v>
      </c>
      <c r="G447" s="18" t="s">
        <v>3054</v>
      </c>
      <c r="H447" s="18" t="s">
        <v>3055</v>
      </c>
      <c r="I447" s="18">
        <v>446</v>
      </c>
      <c r="J447" s="18">
        <v>446</v>
      </c>
      <c r="K447" s="18" t="s">
        <v>32</v>
      </c>
      <c r="L447" s="18" t="s">
        <v>3056</v>
      </c>
      <c r="M447" s="18" t="s">
        <v>3057</v>
      </c>
      <c r="N447" s="18" t="s">
        <v>142</v>
      </c>
      <c r="O447" s="18" t="s">
        <v>143</v>
      </c>
      <c r="P447" s="18" t="s">
        <v>8033</v>
      </c>
      <c r="Q447" s="22">
        <f t="shared" si="20"/>
        <v>0</v>
      </c>
      <c r="R447" s="18">
        <v>1597.42</v>
      </c>
      <c r="S447" s="19">
        <v>14.1</v>
      </c>
      <c r="T447" s="18">
        <v>104797684</v>
      </c>
      <c r="U447" s="20">
        <v>45382</v>
      </c>
      <c r="V447" s="18" t="str">
        <f t="shared" si="18"/>
        <v>Missing</v>
      </c>
    </row>
    <row r="448" spans="1:22" ht="14.5" customHeight="1" x14ac:dyDescent="0.35">
      <c r="A448" s="15" t="s">
        <v>7333</v>
      </c>
      <c r="B448" s="15" t="s">
        <v>6786</v>
      </c>
      <c r="C448" s="15" t="s">
        <v>3058</v>
      </c>
      <c r="D448" s="15" t="s">
        <v>3059</v>
      </c>
      <c r="E448" s="15" t="s">
        <v>2</v>
      </c>
      <c r="F448" s="15" t="str">
        <f t="shared" si="19"/>
        <v>Female</v>
      </c>
      <c r="G448" s="15" t="s">
        <v>3060</v>
      </c>
      <c r="H448" s="15" t="s">
        <v>3061</v>
      </c>
      <c r="I448" s="15">
        <v>447</v>
      </c>
      <c r="J448" s="15">
        <v>447</v>
      </c>
      <c r="K448" s="15" t="s">
        <v>32</v>
      </c>
      <c r="L448" s="15" t="s">
        <v>3062</v>
      </c>
      <c r="M448" s="15" t="s">
        <v>3063</v>
      </c>
      <c r="N448" s="15" t="s">
        <v>8</v>
      </c>
      <c r="O448" s="15" t="s">
        <v>9</v>
      </c>
      <c r="P448" s="15" t="s">
        <v>3064</v>
      </c>
      <c r="Q448" s="22">
        <f t="shared" si="20"/>
        <v>79090000000</v>
      </c>
      <c r="R448" s="15">
        <v>43.77</v>
      </c>
      <c r="S448" s="16">
        <v>4.9800000000000004</v>
      </c>
      <c r="T448" s="15">
        <v>85361147</v>
      </c>
      <c r="U448" s="17">
        <v>44065</v>
      </c>
      <c r="V448" s="15" t="str">
        <f t="shared" si="18"/>
        <v>Complete</v>
      </c>
    </row>
    <row r="449" spans="1:22" ht="14.5" customHeight="1" x14ac:dyDescent="0.35">
      <c r="A449" s="18" t="s">
        <v>7334</v>
      </c>
      <c r="B449" s="18" t="s">
        <v>7335</v>
      </c>
      <c r="C449" s="18" t="s">
        <v>3065</v>
      </c>
      <c r="D449" s="18" t="s">
        <v>3066</v>
      </c>
      <c r="E449" s="18" t="s">
        <v>2</v>
      </c>
      <c r="F449" s="15" t="str">
        <f t="shared" si="19"/>
        <v>Female</v>
      </c>
      <c r="G449" s="18" t="s">
        <v>3067</v>
      </c>
      <c r="H449" s="18" t="s">
        <v>3068</v>
      </c>
      <c r="I449" s="18">
        <v>448</v>
      </c>
      <c r="J449" s="18">
        <v>448</v>
      </c>
      <c r="K449" s="18" t="s">
        <v>32</v>
      </c>
      <c r="L449" s="18" t="s">
        <v>3069</v>
      </c>
      <c r="M449" s="18" t="s">
        <v>3070</v>
      </c>
      <c r="N449" s="18" t="s">
        <v>8033</v>
      </c>
      <c r="O449" s="18" t="s">
        <v>8033</v>
      </c>
      <c r="P449" s="18" t="s">
        <v>8033</v>
      </c>
      <c r="Q449" s="22">
        <f t="shared" si="20"/>
        <v>0</v>
      </c>
      <c r="R449" s="18">
        <v>1452.05</v>
      </c>
      <c r="S449" s="19">
        <v>-15.12</v>
      </c>
      <c r="T449" s="18">
        <v>80097343</v>
      </c>
      <c r="U449" s="20">
        <v>44731</v>
      </c>
      <c r="V449" s="18" t="str">
        <f t="shared" si="18"/>
        <v>Missing</v>
      </c>
    </row>
    <row r="450" spans="1:22" ht="14.5" customHeight="1" x14ac:dyDescent="0.35">
      <c r="A450" s="15" t="s">
        <v>7336</v>
      </c>
      <c r="B450" s="15" t="s">
        <v>7090</v>
      </c>
      <c r="C450" s="15" t="s">
        <v>3071</v>
      </c>
      <c r="D450" s="15" t="s">
        <v>3072</v>
      </c>
      <c r="E450" s="15" t="s">
        <v>13</v>
      </c>
      <c r="F450" s="15" t="str">
        <f t="shared" si="19"/>
        <v>Male</v>
      </c>
      <c r="G450" s="15" t="s">
        <v>3073</v>
      </c>
      <c r="H450" s="15" t="s">
        <v>3074</v>
      </c>
      <c r="I450" s="15">
        <v>449</v>
      </c>
      <c r="J450" s="15">
        <v>449</v>
      </c>
      <c r="K450" s="15" t="s">
        <v>32</v>
      </c>
      <c r="L450" s="15" t="s">
        <v>3075</v>
      </c>
      <c r="M450" s="15" t="s">
        <v>3076</v>
      </c>
      <c r="N450" s="15" t="s">
        <v>142</v>
      </c>
      <c r="O450" s="15" t="s">
        <v>143</v>
      </c>
      <c r="P450" s="15" t="s">
        <v>3077</v>
      </c>
      <c r="Q450" s="22">
        <f t="shared" si="20"/>
        <v>8550000000.000001</v>
      </c>
      <c r="R450" s="15">
        <v>1487.72</v>
      </c>
      <c r="S450" s="16">
        <v>-12.15</v>
      </c>
      <c r="T450" s="15">
        <v>124314201</v>
      </c>
      <c r="U450" s="17">
        <v>45463</v>
      </c>
      <c r="V450" s="15" t="str">
        <f t="shared" ref="V450:V513" si="21">IF(OR(N:N="n/a", O:O="n/a", P:P="n/a"), "Missing", "Complete")</f>
        <v>Complete</v>
      </c>
    </row>
    <row r="451" spans="1:22" ht="14.5" customHeight="1" x14ac:dyDescent="0.35">
      <c r="A451" s="18" t="s">
        <v>7337</v>
      </c>
      <c r="B451" s="18" t="s">
        <v>7338</v>
      </c>
      <c r="C451" s="18" t="s">
        <v>3078</v>
      </c>
      <c r="D451" s="18" t="s">
        <v>3079</v>
      </c>
      <c r="E451" s="18" t="s">
        <v>2</v>
      </c>
      <c r="F451" s="15" t="str">
        <f t="shared" ref="F451:F514" si="22">IF(OR(E451="female", E451="male"), PROPER(E451), "Other")</f>
        <v>Female</v>
      </c>
      <c r="G451" s="18" t="s">
        <v>3080</v>
      </c>
      <c r="H451" s="18" t="s">
        <v>3081</v>
      </c>
      <c r="I451" s="18">
        <v>450</v>
      </c>
      <c r="J451" s="18">
        <v>450</v>
      </c>
      <c r="K451" s="18" t="s">
        <v>32</v>
      </c>
      <c r="L451" s="18" t="s">
        <v>1919</v>
      </c>
      <c r="M451" s="18" t="s">
        <v>1920</v>
      </c>
      <c r="N451" s="18" t="s">
        <v>1291</v>
      </c>
      <c r="O451" s="18" t="s">
        <v>1921</v>
      </c>
      <c r="P451" s="18" t="s">
        <v>1922</v>
      </c>
      <c r="Q451" s="22">
        <f t="shared" ref="Q451:Q514" si="23">IF(P451="n/a", 0, IF(RIGHT(P451, 1)="B", VALUE(MID(P451, 2, LEN(P451)-2)*1000000000), VALUE(MID(P451, 2, LEN(P451)-2)*1000000)))</f>
        <v>23780000000</v>
      </c>
      <c r="R451" s="18">
        <v>351.45</v>
      </c>
      <c r="S451" s="19">
        <v>7.23</v>
      </c>
      <c r="T451" s="18">
        <v>10928831</v>
      </c>
      <c r="U451" s="20">
        <v>44696</v>
      </c>
      <c r="V451" s="18" t="str">
        <f t="shared" si="21"/>
        <v>Complete</v>
      </c>
    </row>
    <row r="452" spans="1:22" ht="14.5" customHeight="1" x14ac:dyDescent="0.35">
      <c r="A452" s="15" t="s">
        <v>7339</v>
      </c>
      <c r="B452" s="15" t="s">
        <v>6621</v>
      </c>
      <c r="C452" s="15" t="s">
        <v>3082</v>
      </c>
      <c r="D452" s="15" t="s">
        <v>3083</v>
      </c>
      <c r="E452" s="15" t="s">
        <v>2</v>
      </c>
      <c r="F452" s="15" t="str">
        <f t="shared" si="22"/>
        <v>Female</v>
      </c>
      <c r="G452" s="15" t="s">
        <v>3084</v>
      </c>
      <c r="H452" s="15" t="s">
        <v>3085</v>
      </c>
      <c r="I452" s="15">
        <v>451</v>
      </c>
      <c r="J452" s="15">
        <v>451</v>
      </c>
      <c r="K452" s="15" t="s">
        <v>5</v>
      </c>
      <c r="L452" s="15" t="s">
        <v>3086</v>
      </c>
      <c r="M452" s="15" t="s">
        <v>3087</v>
      </c>
      <c r="N452" s="15" t="s">
        <v>48</v>
      </c>
      <c r="O452" s="15" t="s">
        <v>57</v>
      </c>
      <c r="P452" s="15" t="s">
        <v>3088</v>
      </c>
      <c r="Q452" s="22">
        <f t="shared" si="23"/>
        <v>791400000</v>
      </c>
      <c r="R452" s="15">
        <v>1934.59</v>
      </c>
      <c r="S452" s="16">
        <v>-8.67</v>
      </c>
      <c r="T452" s="15">
        <v>13472231</v>
      </c>
      <c r="U452" s="17">
        <v>44388</v>
      </c>
      <c r="V452" s="15" t="str">
        <f t="shared" si="21"/>
        <v>Complete</v>
      </c>
    </row>
    <row r="453" spans="1:22" ht="14.5" customHeight="1" x14ac:dyDescent="0.35">
      <c r="A453" s="18" t="s">
        <v>7340</v>
      </c>
      <c r="B453" s="18" t="s">
        <v>7025</v>
      </c>
      <c r="C453" s="18" t="s">
        <v>3089</v>
      </c>
      <c r="D453" s="18" t="s">
        <v>3090</v>
      </c>
      <c r="E453" s="18" t="s">
        <v>13</v>
      </c>
      <c r="F453" s="15" t="str">
        <f t="shared" si="22"/>
        <v>Male</v>
      </c>
      <c r="G453" s="18" t="s">
        <v>3091</v>
      </c>
      <c r="H453" s="18" t="s">
        <v>3092</v>
      </c>
      <c r="I453" s="18">
        <v>452</v>
      </c>
      <c r="J453" s="18">
        <v>452</v>
      </c>
      <c r="K453" s="18" t="s">
        <v>5</v>
      </c>
      <c r="L453" s="18" t="s">
        <v>3093</v>
      </c>
      <c r="M453" s="18" t="s">
        <v>3094</v>
      </c>
      <c r="N453" s="18" t="s">
        <v>117</v>
      </c>
      <c r="O453" s="18" t="s">
        <v>3095</v>
      </c>
      <c r="P453" s="18" t="s">
        <v>3096</v>
      </c>
      <c r="Q453" s="22">
        <f t="shared" si="23"/>
        <v>2250000000</v>
      </c>
      <c r="R453" s="18">
        <v>1660.51</v>
      </c>
      <c r="S453" s="19">
        <v>-14.25</v>
      </c>
      <c r="T453" s="18">
        <v>175370241</v>
      </c>
      <c r="U453" s="20">
        <v>44234</v>
      </c>
      <c r="V453" s="18" t="str">
        <f t="shared" si="21"/>
        <v>Complete</v>
      </c>
    </row>
    <row r="454" spans="1:22" ht="14.5" customHeight="1" x14ac:dyDescent="0.35">
      <c r="A454" s="15" t="s">
        <v>7341</v>
      </c>
      <c r="B454" s="15" t="s">
        <v>7342</v>
      </c>
      <c r="C454" s="15" t="s">
        <v>3097</v>
      </c>
      <c r="D454" s="15" t="s">
        <v>3098</v>
      </c>
      <c r="E454" s="15" t="s">
        <v>13</v>
      </c>
      <c r="F454" s="15" t="str">
        <f t="shared" si="22"/>
        <v>Male</v>
      </c>
      <c r="G454" s="15" t="s">
        <v>3099</v>
      </c>
      <c r="H454" s="15" t="s">
        <v>3100</v>
      </c>
      <c r="I454" s="15">
        <v>453</v>
      </c>
      <c r="J454" s="15">
        <v>453</v>
      </c>
      <c r="K454" s="15" t="s">
        <v>32</v>
      </c>
      <c r="L454" s="15" t="s">
        <v>3101</v>
      </c>
      <c r="M454" s="15" t="s">
        <v>3102</v>
      </c>
      <c r="N454" s="15" t="s">
        <v>8033</v>
      </c>
      <c r="O454" s="15" t="s">
        <v>8033</v>
      </c>
      <c r="P454" s="15" t="s">
        <v>3103</v>
      </c>
      <c r="Q454" s="22">
        <f t="shared" si="23"/>
        <v>908240000</v>
      </c>
      <c r="R454" s="15">
        <v>454.84</v>
      </c>
      <c r="S454" s="16">
        <v>-13.03</v>
      </c>
      <c r="T454" s="15">
        <v>75288773</v>
      </c>
      <c r="U454" s="17">
        <v>45255</v>
      </c>
      <c r="V454" s="15" t="str">
        <f t="shared" si="21"/>
        <v>Missing</v>
      </c>
    </row>
    <row r="455" spans="1:22" ht="14.5" customHeight="1" x14ac:dyDescent="0.35">
      <c r="A455" s="18" t="s">
        <v>7343</v>
      </c>
      <c r="B455" s="18" t="s">
        <v>7344</v>
      </c>
      <c r="C455" s="18" t="s">
        <v>3104</v>
      </c>
      <c r="D455" s="18" t="s">
        <v>3105</v>
      </c>
      <c r="E455" s="18" t="s">
        <v>13</v>
      </c>
      <c r="F455" s="15" t="str">
        <f t="shared" si="22"/>
        <v>Male</v>
      </c>
      <c r="G455" s="18" t="s">
        <v>3106</v>
      </c>
      <c r="H455" s="18" t="s">
        <v>3107</v>
      </c>
      <c r="I455" s="18">
        <v>454</v>
      </c>
      <c r="J455" s="18">
        <v>454</v>
      </c>
      <c r="K455" s="18" t="s">
        <v>32</v>
      </c>
      <c r="L455" s="18" t="s">
        <v>3108</v>
      </c>
      <c r="M455" s="18" t="s">
        <v>3109</v>
      </c>
      <c r="N455" s="18" t="s">
        <v>1291</v>
      </c>
      <c r="O455" s="18" t="s">
        <v>1937</v>
      </c>
      <c r="P455" s="18" t="s">
        <v>3110</v>
      </c>
      <c r="Q455" s="22">
        <f t="shared" si="23"/>
        <v>4179999999.9999995</v>
      </c>
      <c r="R455" s="18">
        <v>580.78</v>
      </c>
      <c r="S455" s="19">
        <v>-15.78</v>
      </c>
      <c r="T455" s="18">
        <v>79487020</v>
      </c>
      <c r="U455" s="20">
        <v>44451</v>
      </c>
      <c r="V455" s="18" t="str">
        <f t="shared" si="21"/>
        <v>Complete</v>
      </c>
    </row>
    <row r="456" spans="1:22" ht="14.5" customHeight="1" x14ac:dyDescent="0.35">
      <c r="A456" s="15" t="s">
        <v>7345</v>
      </c>
      <c r="B456" s="15" t="s">
        <v>7346</v>
      </c>
      <c r="C456" s="15" t="s">
        <v>3111</v>
      </c>
      <c r="D456" s="15" t="s">
        <v>3112</v>
      </c>
      <c r="E456" s="15" t="s">
        <v>13</v>
      </c>
      <c r="F456" s="15" t="str">
        <f t="shared" si="22"/>
        <v>Male</v>
      </c>
      <c r="G456" s="15" t="s">
        <v>3113</v>
      </c>
      <c r="H456" s="15" t="s">
        <v>3114</v>
      </c>
      <c r="I456" s="15">
        <v>455</v>
      </c>
      <c r="J456" s="15">
        <v>455</v>
      </c>
      <c r="K456" s="15" t="s">
        <v>32</v>
      </c>
      <c r="L456" s="15" t="s">
        <v>3115</v>
      </c>
      <c r="M456" s="15" t="s">
        <v>3116</v>
      </c>
      <c r="N456" s="15" t="s">
        <v>8033</v>
      </c>
      <c r="O456" s="15" t="s">
        <v>8033</v>
      </c>
      <c r="P456" s="15" t="s">
        <v>8033</v>
      </c>
      <c r="Q456" s="22">
        <f t="shared" si="23"/>
        <v>0</v>
      </c>
      <c r="R456" s="15">
        <v>1965.6</v>
      </c>
      <c r="S456" s="16">
        <v>17.14</v>
      </c>
      <c r="T456" s="15">
        <v>48717191</v>
      </c>
      <c r="U456" s="17">
        <v>45170</v>
      </c>
      <c r="V456" s="15" t="str">
        <f t="shared" si="21"/>
        <v>Missing</v>
      </c>
    </row>
    <row r="457" spans="1:22" ht="14.5" customHeight="1" x14ac:dyDescent="0.35">
      <c r="A457" s="18" t="s">
        <v>7347</v>
      </c>
      <c r="B457" s="18" t="s">
        <v>7348</v>
      </c>
      <c r="C457" s="18" t="s">
        <v>3117</v>
      </c>
      <c r="D457" s="18" t="s">
        <v>3118</v>
      </c>
      <c r="E457" s="18" t="s">
        <v>13</v>
      </c>
      <c r="F457" s="15" t="str">
        <f t="shared" si="22"/>
        <v>Male</v>
      </c>
      <c r="G457" s="18" t="s">
        <v>3119</v>
      </c>
      <c r="H457" s="18" t="s">
        <v>3120</v>
      </c>
      <c r="I457" s="18">
        <v>456</v>
      </c>
      <c r="J457" s="18">
        <v>456</v>
      </c>
      <c r="K457" s="18" t="s">
        <v>32</v>
      </c>
      <c r="L457" s="18" t="s">
        <v>3121</v>
      </c>
      <c r="M457" s="18" t="s">
        <v>3122</v>
      </c>
      <c r="N457" s="18" t="s">
        <v>117</v>
      </c>
      <c r="O457" s="18" t="s">
        <v>118</v>
      </c>
      <c r="P457" s="18" t="s">
        <v>3123</v>
      </c>
      <c r="Q457" s="22">
        <f t="shared" si="23"/>
        <v>3500000000</v>
      </c>
      <c r="R457" s="18">
        <v>1800.93</v>
      </c>
      <c r="S457" s="19">
        <v>-9.25</v>
      </c>
      <c r="T457" s="18">
        <v>161039362</v>
      </c>
      <c r="U457" s="20">
        <v>44106</v>
      </c>
      <c r="V457" s="18" t="str">
        <f t="shared" si="21"/>
        <v>Complete</v>
      </c>
    </row>
    <row r="458" spans="1:22" ht="14.5" customHeight="1" x14ac:dyDescent="0.35">
      <c r="A458" s="15" t="s">
        <v>7349</v>
      </c>
      <c r="B458" s="15" t="s">
        <v>7350</v>
      </c>
      <c r="C458" s="15" t="s">
        <v>3124</v>
      </c>
      <c r="D458" s="15" t="s">
        <v>3125</v>
      </c>
      <c r="E458" s="15" t="s">
        <v>2</v>
      </c>
      <c r="F458" s="15" t="str">
        <f t="shared" si="22"/>
        <v>Female</v>
      </c>
      <c r="G458" s="15" t="s">
        <v>3126</v>
      </c>
      <c r="H458" s="15" t="s">
        <v>3127</v>
      </c>
      <c r="I458" s="15">
        <v>457</v>
      </c>
      <c r="J458" s="15">
        <v>457</v>
      </c>
      <c r="K458" s="15" t="s">
        <v>32</v>
      </c>
      <c r="L458" s="15" t="s">
        <v>3128</v>
      </c>
      <c r="M458" s="15" t="s">
        <v>3129</v>
      </c>
      <c r="N458" s="15" t="s">
        <v>1291</v>
      </c>
      <c r="O458" s="15" t="s">
        <v>151</v>
      </c>
      <c r="P458" s="15" t="s">
        <v>3130</v>
      </c>
      <c r="Q458" s="22">
        <f t="shared" si="23"/>
        <v>366580000</v>
      </c>
      <c r="R458" s="15">
        <v>1443.41</v>
      </c>
      <c r="S458" s="16">
        <v>-1.28</v>
      </c>
      <c r="T458" s="15">
        <v>94754140</v>
      </c>
      <c r="U458" s="17">
        <v>45178</v>
      </c>
      <c r="V458" s="15" t="str">
        <f t="shared" si="21"/>
        <v>Complete</v>
      </c>
    </row>
    <row r="459" spans="1:22" ht="14.5" customHeight="1" x14ac:dyDescent="0.35">
      <c r="A459" s="18" t="s">
        <v>7351</v>
      </c>
      <c r="B459" s="18" t="s">
        <v>6827</v>
      </c>
      <c r="C459" s="18" t="s">
        <v>3131</v>
      </c>
      <c r="D459" s="18" t="s">
        <v>3132</v>
      </c>
      <c r="E459" s="18" t="s">
        <v>13</v>
      </c>
      <c r="F459" s="15" t="str">
        <f t="shared" si="22"/>
        <v>Male</v>
      </c>
      <c r="G459" s="18" t="s">
        <v>3133</v>
      </c>
      <c r="H459" s="18" t="s">
        <v>3134</v>
      </c>
      <c r="I459" s="18">
        <v>458</v>
      </c>
      <c r="J459" s="18">
        <v>458</v>
      </c>
      <c r="K459" s="18" t="s">
        <v>5</v>
      </c>
      <c r="L459" s="18" t="s">
        <v>3135</v>
      </c>
      <c r="M459" s="18" t="s">
        <v>3136</v>
      </c>
      <c r="N459" s="18" t="s">
        <v>8033</v>
      </c>
      <c r="O459" s="18" t="s">
        <v>8033</v>
      </c>
      <c r="P459" s="18" t="s">
        <v>8033</v>
      </c>
      <c r="Q459" s="22">
        <f t="shared" si="23"/>
        <v>0</v>
      </c>
      <c r="R459" s="18">
        <v>1399.05</v>
      </c>
      <c r="S459" s="19">
        <v>-5.82</v>
      </c>
      <c r="T459" s="18">
        <v>44936557</v>
      </c>
      <c r="U459" s="20">
        <v>43900</v>
      </c>
      <c r="V459" s="18" t="str">
        <f t="shared" si="21"/>
        <v>Missing</v>
      </c>
    </row>
    <row r="460" spans="1:22" ht="14.5" customHeight="1" x14ac:dyDescent="0.35">
      <c r="A460" s="15" t="s">
        <v>7352</v>
      </c>
      <c r="B460" s="15" t="s">
        <v>7276</v>
      </c>
      <c r="C460" s="15" t="s">
        <v>3137</v>
      </c>
      <c r="D460" s="15" t="s">
        <v>3138</v>
      </c>
      <c r="E460" s="15" t="s">
        <v>2</v>
      </c>
      <c r="F460" s="15" t="str">
        <f t="shared" si="22"/>
        <v>Female</v>
      </c>
      <c r="G460" s="15" t="s">
        <v>3139</v>
      </c>
      <c r="H460" s="15" t="s">
        <v>3140</v>
      </c>
      <c r="I460" s="15">
        <v>459</v>
      </c>
      <c r="J460" s="15">
        <v>459</v>
      </c>
      <c r="K460" s="15" t="s">
        <v>5</v>
      </c>
      <c r="L460" s="15" t="s">
        <v>3141</v>
      </c>
      <c r="M460" s="15" t="s">
        <v>3142</v>
      </c>
      <c r="N460" s="15" t="s">
        <v>25</v>
      </c>
      <c r="O460" s="15" t="s">
        <v>344</v>
      </c>
      <c r="P460" s="15" t="s">
        <v>3143</v>
      </c>
      <c r="Q460" s="22">
        <f t="shared" si="23"/>
        <v>756670000</v>
      </c>
      <c r="R460" s="15">
        <v>384.27</v>
      </c>
      <c r="S460" s="16">
        <v>4.95</v>
      </c>
      <c r="T460" s="15">
        <v>28302020</v>
      </c>
      <c r="U460" s="17">
        <v>45905</v>
      </c>
      <c r="V460" s="15" t="str">
        <f t="shared" si="21"/>
        <v>Complete</v>
      </c>
    </row>
    <row r="461" spans="1:22" ht="14.5" customHeight="1" x14ac:dyDescent="0.35">
      <c r="A461" s="18" t="s">
        <v>7353</v>
      </c>
      <c r="B461" s="18" t="s">
        <v>7354</v>
      </c>
      <c r="C461" s="18" t="s">
        <v>3144</v>
      </c>
      <c r="D461" s="18" t="s">
        <v>3145</v>
      </c>
      <c r="E461" s="18" t="s">
        <v>13</v>
      </c>
      <c r="F461" s="15" t="str">
        <f t="shared" si="22"/>
        <v>Male</v>
      </c>
      <c r="G461" s="18" t="s">
        <v>3146</v>
      </c>
      <c r="H461" s="18" t="s">
        <v>3147</v>
      </c>
      <c r="I461" s="18">
        <v>460</v>
      </c>
      <c r="J461" s="18">
        <v>460</v>
      </c>
      <c r="K461" s="18" t="s">
        <v>32</v>
      </c>
      <c r="L461" s="18" t="s">
        <v>2755</v>
      </c>
      <c r="M461" s="18" t="s">
        <v>2756</v>
      </c>
      <c r="N461" s="18" t="s">
        <v>8033</v>
      </c>
      <c r="O461" s="18" t="s">
        <v>8033</v>
      </c>
      <c r="P461" s="18" t="s">
        <v>8033</v>
      </c>
      <c r="Q461" s="22">
        <f t="shared" si="23"/>
        <v>0</v>
      </c>
      <c r="R461" s="18">
        <v>952.84</v>
      </c>
      <c r="S461" s="19">
        <v>16.09</v>
      </c>
      <c r="T461" s="18">
        <v>224555</v>
      </c>
      <c r="U461" s="20">
        <v>44776</v>
      </c>
      <c r="V461" s="18" t="str">
        <f t="shared" si="21"/>
        <v>Missing</v>
      </c>
    </row>
    <row r="462" spans="1:22" ht="14.5" customHeight="1" x14ac:dyDescent="0.35">
      <c r="A462" s="15" t="s">
        <v>7355</v>
      </c>
      <c r="B462" s="15" t="s">
        <v>6645</v>
      </c>
      <c r="C462" s="15" t="s">
        <v>3148</v>
      </c>
      <c r="D462" s="15" t="s">
        <v>3149</v>
      </c>
      <c r="E462" s="15" t="s">
        <v>13</v>
      </c>
      <c r="F462" s="15" t="str">
        <f t="shared" si="22"/>
        <v>Male</v>
      </c>
      <c r="G462" s="15" t="s">
        <v>3150</v>
      </c>
      <c r="H462" s="15" t="s">
        <v>3151</v>
      </c>
      <c r="I462" s="15">
        <v>461</v>
      </c>
      <c r="J462" s="15">
        <v>461</v>
      </c>
      <c r="K462" s="15" t="s">
        <v>32</v>
      </c>
      <c r="L462" s="15" t="s">
        <v>187</v>
      </c>
      <c r="M462" s="15" t="s">
        <v>188</v>
      </c>
      <c r="N462" s="15" t="s">
        <v>189</v>
      </c>
      <c r="O462" s="15" t="s">
        <v>190</v>
      </c>
      <c r="P462" s="15" t="s">
        <v>191</v>
      </c>
      <c r="Q462" s="22">
        <f t="shared" si="23"/>
        <v>295410000</v>
      </c>
      <c r="R462" s="15">
        <v>1512.04</v>
      </c>
      <c r="S462" s="16">
        <v>2.4300000000000002</v>
      </c>
      <c r="T462" s="15">
        <v>85931965</v>
      </c>
      <c r="U462" s="17">
        <v>44776</v>
      </c>
      <c r="V462" s="15" t="str">
        <f t="shared" si="21"/>
        <v>Complete</v>
      </c>
    </row>
    <row r="463" spans="1:22" ht="14.5" customHeight="1" x14ac:dyDescent="0.35">
      <c r="A463" s="18" t="s">
        <v>7356</v>
      </c>
      <c r="B463" s="18" t="s">
        <v>7357</v>
      </c>
      <c r="C463" s="18" t="s">
        <v>3152</v>
      </c>
      <c r="D463" s="18" t="s">
        <v>3153</v>
      </c>
      <c r="E463" s="18" t="s">
        <v>13</v>
      </c>
      <c r="F463" s="15" t="str">
        <f t="shared" si="22"/>
        <v>Male</v>
      </c>
      <c r="G463" s="18" t="s">
        <v>3154</v>
      </c>
      <c r="H463" s="18" t="s">
        <v>3155</v>
      </c>
      <c r="I463" s="18">
        <v>462</v>
      </c>
      <c r="J463" s="18">
        <v>462</v>
      </c>
      <c r="K463" s="18" t="s">
        <v>32</v>
      </c>
      <c r="L463" s="18" t="s">
        <v>3156</v>
      </c>
      <c r="M463" s="18" t="s">
        <v>3157</v>
      </c>
      <c r="N463" s="18" t="s">
        <v>142</v>
      </c>
      <c r="O463" s="18" t="s">
        <v>3158</v>
      </c>
      <c r="P463" s="18" t="s">
        <v>3159</v>
      </c>
      <c r="Q463" s="22">
        <f t="shared" si="23"/>
        <v>38420000000</v>
      </c>
      <c r="R463" s="18">
        <v>604.69000000000005</v>
      </c>
      <c r="S463" s="19">
        <v>5.83</v>
      </c>
      <c r="T463" s="18">
        <v>79344750</v>
      </c>
      <c r="U463" s="20">
        <v>45561</v>
      </c>
      <c r="V463" s="18" t="str">
        <f t="shared" si="21"/>
        <v>Complete</v>
      </c>
    </row>
    <row r="464" spans="1:22" ht="14.5" customHeight="1" x14ac:dyDescent="0.35">
      <c r="A464" s="15" t="s">
        <v>7358</v>
      </c>
      <c r="B464" s="15" t="s">
        <v>6672</v>
      </c>
      <c r="C464" s="15" t="s">
        <v>3160</v>
      </c>
      <c r="D464" s="15" t="s">
        <v>3161</v>
      </c>
      <c r="E464" s="15" t="s">
        <v>13</v>
      </c>
      <c r="F464" s="15" t="str">
        <f t="shared" si="22"/>
        <v>Male</v>
      </c>
      <c r="G464" s="15" t="s">
        <v>3162</v>
      </c>
      <c r="H464" s="15" t="s">
        <v>3163</v>
      </c>
      <c r="I464" s="15">
        <v>463</v>
      </c>
      <c r="J464" s="15">
        <v>463</v>
      </c>
      <c r="K464" s="15" t="s">
        <v>5</v>
      </c>
      <c r="L464" s="15" t="s">
        <v>3164</v>
      </c>
      <c r="M464" s="15" t="s">
        <v>3165</v>
      </c>
      <c r="N464" s="15" t="s">
        <v>134</v>
      </c>
      <c r="O464" s="15" t="s">
        <v>135</v>
      </c>
      <c r="P464" s="15" t="s">
        <v>2002</v>
      </c>
      <c r="Q464" s="22">
        <f t="shared" si="23"/>
        <v>1090000000</v>
      </c>
      <c r="R464" s="15">
        <v>622.30999999999995</v>
      </c>
      <c r="S464" s="16">
        <v>-1.41</v>
      </c>
      <c r="T464" s="15">
        <v>34110871</v>
      </c>
      <c r="U464" s="17">
        <v>45499</v>
      </c>
      <c r="V464" s="15" t="str">
        <f t="shared" si="21"/>
        <v>Complete</v>
      </c>
    </row>
    <row r="465" spans="1:22" ht="14.5" customHeight="1" x14ac:dyDescent="0.35">
      <c r="A465" s="18" t="s">
        <v>7359</v>
      </c>
      <c r="B465" s="18" t="s">
        <v>6821</v>
      </c>
      <c r="C465" s="18" t="s">
        <v>3166</v>
      </c>
      <c r="D465" s="18" t="s">
        <v>3167</v>
      </c>
      <c r="E465" s="18" t="s">
        <v>2</v>
      </c>
      <c r="F465" s="15" t="str">
        <f t="shared" si="22"/>
        <v>Female</v>
      </c>
      <c r="G465" s="18" t="s">
        <v>3168</v>
      </c>
      <c r="H465" s="18" t="s">
        <v>3169</v>
      </c>
      <c r="I465" s="18">
        <v>464</v>
      </c>
      <c r="J465" s="18">
        <v>464</v>
      </c>
      <c r="K465" s="18" t="s">
        <v>5</v>
      </c>
      <c r="L465" s="18" t="s">
        <v>2007</v>
      </c>
      <c r="M465" s="18" t="s">
        <v>2008</v>
      </c>
      <c r="N465" s="18" t="s">
        <v>66</v>
      </c>
      <c r="O465" s="18" t="s">
        <v>422</v>
      </c>
      <c r="P465" s="18" t="s">
        <v>2009</v>
      </c>
      <c r="Q465" s="22">
        <f t="shared" si="23"/>
        <v>301600000</v>
      </c>
      <c r="R465" s="18">
        <v>1299.08</v>
      </c>
      <c r="S465" s="19">
        <v>0.66</v>
      </c>
      <c r="T465" s="18">
        <v>104126248</v>
      </c>
      <c r="U465" s="20">
        <v>45657</v>
      </c>
      <c r="V465" s="18" t="str">
        <f t="shared" si="21"/>
        <v>Complete</v>
      </c>
    </row>
    <row r="466" spans="1:22" ht="14.5" customHeight="1" x14ac:dyDescent="0.35">
      <c r="A466" s="15" t="s">
        <v>7360</v>
      </c>
      <c r="B466" s="15" t="s">
        <v>6621</v>
      </c>
      <c r="C466" s="15" t="s">
        <v>3170</v>
      </c>
      <c r="D466" s="15" t="s">
        <v>3171</v>
      </c>
      <c r="E466" s="15" t="s">
        <v>2</v>
      </c>
      <c r="F466" s="15" t="str">
        <f t="shared" si="22"/>
        <v>Female</v>
      </c>
      <c r="G466" s="15" t="s">
        <v>3172</v>
      </c>
      <c r="H466" s="15" t="s">
        <v>3173</v>
      </c>
      <c r="I466" s="15">
        <v>465</v>
      </c>
      <c r="J466" s="15">
        <v>465</v>
      </c>
      <c r="K466" s="15" t="s">
        <v>32</v>
      </c>
      <c r="L466" s="15" t="s">
        <v>3174</v>
      </c>
      <c r="M466" s="15" t="s">
        <v>3175</v>
      </c>
      <c r="N466" s="15" t="s">
        <v>48</v>
      </c>
      <c r="O466" s="15" t="s">
        <v>372</v>
      </c>
      <c r="P466" s="15" t="s">
        <v>3176</v>
      </c>
      <c r="Q466" s="22">
        <f t="shared" si="23"/>
        <v>3470000000</v>
      </c>
      <c r="R466" s="15">
        <v>1851.12</v>
      </c>
      <c r="S466" s="16">
        <v>2.84</v>
      </c>
      <c r="T466" s="15">
        <v>49134280</v>
      </c>
      <c r="U466" s="17">
        <v>44398</v>
      </c>
      <c r="V466" s="15" t="str">
        <f t="shared" si="21"/>
        <v>Complete</v>
      </c>
    </row>
    <row r="467" spans="1:22" ht="14.5" customHeight="1" x14ac:dyDescent="0.35">
      <c r="A467" s="18" t="s">
        <v>7361</v>
      </c>
      <c r="B467" s="18" t="s">
        <v>6748</v>
      </c>
      <c r="C467" s="18" t="s">
        <v>3177</v>
      </c>
      <c r="D467" s="18" t="s">
        <v>3178</v>
      </c>
      <c r="E467" s="18" t="s">
        <v>13</v>
      </c>
      <c r="F467" s="15" t="str">
        <f t="shared" si="22"/>
        <v>Male</v>
      </c>
      <c r="G467" s="18" t="s">
        <v>3179</v>
      </c>
      <c r="H467" s="18" t="s">
        <v>3180</v>
      </c>
      <c r="I467" s="18">
        <v>466</v>
      </c>
      <c r="J467" s="18">
        <v>466</v>
      </c>
      <c r="K467" s="18" t="s">
        <v>32</v>
      </c>
      <c r="L467" s="18" t="s">
        <v>3181</v>
      </c>
      <c r="M467" s="18" t="s">
        <v>3182</v>
      </c>
      <c r="N467" s="18" t="s">
        <v>99</v>
      </c>
      <c r="O467" s="18" t="s">
        <v>1702</v>
      </c>
      <c r="P467" s="18" t="s">
        <v>3183</v>
      </c>
      <c r="Q467" s="22">
        <f t="shared" si="23"/>
        <v>29030000000</v>
      </c>
      <c r="R467" s="18">
        <v>991.71</v>
      </c>
      <c r="S467" s="19">
        <v>2.46</v>
      </c>
      <c r="T467" s="18">
        <v>190369679</v>
      </c>
      <c r="U467" s="20">
        <v>44015</v>
      </c>
      <c r="V467" s="18" t="str">
        <f t="shared" si="21"/>
        <v>Complete</v>
      </c>
    </row>
    <row r="468" spans="1:22" ht="14.5" customHeight="1" x14ac:dyDescent="0.35">
      <c r="A468" s="15" t="s">
        <v>7362</v>
      </c>
      <c r="B468" s="15" t="s">
        <v>7363</v>
      </c>
      <c r="C468" s="15" t="s">
        <v>3184</v>
      </c>
      <c r="D468" s="15" t="s">
        <v>3185</v>
      </c>
      <c r="E468" s="15" t="s">
        <v>2</v>
      </c>
      <c r="F468" s="15" t="str">
        <f t="shared" si="22"/>
        <v>Female</v>
      </c>
      <c r="G468" s="15" t="s">
        <v>3186</v>
      </c>
      <c r="H468" s="15" t="s">
        <v>3187</v>
      </c>
      <c r="I468" s="15">
        <v>467</v>
      </c>
      <c r="J468" s="15">
        <v>467</v>
      </c>
      <c r="K468" s="15" t="s">
        <v>32</v>
      </c>
      <c r="L468" s="15" t="s">
        <v>3188</v>
      </c>
      <c r="M468" s="15" t="s">
        <v>3189</v>
      </c>
      <c r="N468" s="15" t="s">
        <v>48</v>
      </c>
      <c r="O468" s="15" t="s">
        <v>372</v>
      </c>
      <c r="P468" s="15" t="s">
        <v>101</v>
      </c>
      <c r="Q468" s="22">
        <f t="shared" si="23"/>
        <v>1100000000</v>
      </c>
      <c r="R468" s="15">
        <v>1518.69</v>
      </c>
      <c r="S468" s="16">
        <v>17.43</v>
      </c>
      <c r="T468" s="15">
        <v>120505412</v>
      </c>
      <c r="U468" s="17">
        <v>46186</v>
      </c>
      <c r="V468" s="15" t="str">
        <f t="shared" si="21"/>
        <v>Complete</v>
      </c>
    </row>
    <row r="469" spans="1:22" ht="14.5" customHeight="1" x14ac:dyDescent="0.35">
      <c r="A469" s="18" t="s">
        <v>7364</v>
      </c>
      <c r="B469" s="18" t="s">
        <v>7365</v>
      </c>
      <c r="C469" s="18" t="s">
        <v>3190</v>
      </c>
      <c r="D469" s="18" t="s">
        <v>3191</v>
      </c>
      <c r="E469" s="18" t="s">
        <v>2</v>
      </c>
      <c r="F469" s="15" t="str">
        <f t="shared" si="22"/>
        <v>Female</v>
      </c>
      <c r="G469" s="18" t="s">
        <v>3192</v>
      </c>
      <c r="H469" s="18" t="s">
        <v>3193</v>
      </c>
      <c r="I469" s="18">
        <v>468</v>
      </c>
      <c r="J469" s="18">
        <v>468</v>
      </c>
      <c r="K469" s="18" t="s">
        <v>32</v>
      </c>
      <c r="L469" s="18" t="s">
        <v>3194</v>
      </c>
      <c r="M469" s="18" t="s">
        <v>3195</v>
      </c>
      <c r="N469" s="18" t="s">
        <v>134</v>
      </c>
      <c r="O469" s="18" t="s">
        <v>1138</v>
      </c>
      <c r="P469" s="18" t="s">
        <v>3196</v>
      </c>
      <c r="Q469" s="22">
        <f t="shared" si="23"/>
        <v>710240000</v>
      </c>
      <c r="R469" s="18">
        <v>1275.3499999999999</v>
      </c>
      <c r="S469" s="19">
        <v>-5.27</v>
      </c>
      <c r="T469" s="18">
        <v>134100712</v>
      </c>
      <c r="U469" s="20">
        <v>45385</v>
      </c>
      <c r="V469" s="18" t="str">
        <f t="shared" si="21"/>
        <v>Complete</v>
      </c>
    </row>
    <row r="470" spans="1:22" ht="14.5" customHeight="1" x14ac:dyDescent="0.35">
      <c r="A470" s="15" t="s">
        <v>7366</v>
      </c>
      <c r="B470" s="15" t="s">
        <v>6811</v>
      </c>
      <c r="C470" s="15" t="s">
        <v>3197</v>
      </c>
      <c r="D470" s="15" t="s">
        <v>3198</v>
      </c>
      <c r="E470" s="15" t="s">
        <v>13</v>
      </c>
      <c r="F470" s="15" t="str">
        <f t="shared" si="22"/>
        <v>Male</v>
      </c>
      <c r="G470" s="15" t="s">
        <v>3199</v>
      </c>
      <c r="H470" s="15" t="s">
        <v>3200</v>
      </c>
      <c r="I470" s="15">
        <v>469</v>
      </c>
      <c r="J470" s="15">
        <v>469</v>
      </c>
      <c r="K470" s="15" t="s">
        <v>5</v>
      </c>
      <c r="L470" s="15" t="s">
        <v>3201</v>
      </c>
      <c r="M470" s="15" t="s">
        <v>3202</v>
      </c>
      <c r="N470" s="15" t="s">
        <v>90</v>
      </c>
      <c r="O470" s="15" t="s">
        <v>3203</v>
      </c>
      <c r="P470" s="15" t="s">
        <v>3204</v>
      </c>
      <c r="Q470" s="22">
        <f t="shared" si="23"/>
        <v>92420000</v>
      </c>
      <c r="R470" s="15">
        <v>374.44</v>
      </c>
      <c r="S470" s="16">
        <v>-6.94</v>
      </c>
      <c r="T470" s="15">
        <v>48200536</v>
      </c>
      <c r="U470" s="17">
        <v>46098</v>
      </c>
      <c r="V470" s="15" t="str">
        <f t="shared" si="21"/>
        <v>Complete</v>
      </c>
    </row>
    <row r="471" spans="1:22" ht="14.5" customHeight="1" x14ac:dyDescent="0.35">
      <c r="A471" s="18" t="s">
        <v>7367</v>
      </c>
      <c r="B471" s="18" t="s">
        <v>7344</v>
      </c>
      <c r="C471" s="18" t="s">
        <v>1299</v>
      </c>
      <c r="D471" s="18" t="s">
        <v>3205</v>
      </c>
      <c r="E471" s="18" t="s">
        <v>2</v>
      </c>
      <c r="F471" s="15" t="str">
        <f t="shared" si="22"/>
        <v>Female</v>
      </c>
      <c r="G471" s="18" t="s">
        <v>3206</v>
      </c>
      <c r="H471" s="18" t="s">
        <v>3207</v>
      </c>
      <c r="I471" s="18">
        <v>470</v>
      </c>
      <c r="J471" s="18">
        <v>470</v>
      </c>
      <c r="K471" s="18" t="s">
        <v>5</v>
      </c>
      <c r="L471" s="18" t="s">
        <v>3208</v>
      </c>
      <c r="M471" s="18" t="s">
        <v>3209</v>
      </c>
      <c r="N471" s="18" t="s">
        <v>323</v>
      </c>
      <c r="O471" s="18" t="s">
        <v>135</v>
      </c>
      <c r="P471" s="18" t="s">
        <v>3210</v>
      </c>
      <c r="Q471" s="22">
        <f t="shared" si="23"/>
        <v>87700000</v>
      </c>
      <c r="R471" s="18">
        <v>823.8</v>
      </c>
      <c r="S471" s="19">
        <v>9.5299999999999994</v>
      </c>
      <c r="T471" s="18">
        <v>127085015</v>
      </c>
      <c r="U471" s="20">
        <v>45011</v>
      </c>
      <c r="V471" s="18" t="str">
        <f t="shared" si="21"/>
        <v>Complete</v>
      </c>
    </row>
    <row r="472" spans="1:22" ht="14.5" customHeight="1" x14ac:dyDescent="0.35">
      <c r="A472" s="15" t="s">
        <v>7368</v>
      </c>
      <c r="B472" s="15" t="s">
        <v>6857</v>
      </c>
      <c r="C472" s="15" t="s">
        <v>153</v>
      </c>
      <c r="D472" s="15" t="s">
        <v>3211</v>
      </c>
      <c r="E472" s="15" t="s">
        <v>2</v>
      </c>
      <c r="F472" s="15" t="str">
        <f t="shared" si="22"/>
        <v>Female</v>
      </c>
      <c r="G472" s="15" t="s">
        <v>3212</v>
      </c>
      <c r="H472" s="15" t="s">
        <v>3213</v>
      </c>
      <c r="I472" s="15">
        <v>471</v>
      </c>
      <c r="J472" s="15">
        <v>471</v>
      </c>
      <c r="K472" s="15" t="s">
        <v>32</v>
      </c>
      <c r="L472" s="15" t="s">
        <v>711</v>
      </c>
      <c r="M472" s="15" t="s">
        <v>712</v>
      </c>
      <c r="N472" s="15" t="s">
        <v>25</v>
      </c>
      <c r="O472" s="15" t="s">
        <v>344</v>
      </c>
      <c r="P472" s="15" t="s">
        <v>713</v>
      </c>
      <c r="Q472" s="22">
        <f t="shared" si="23"/>
        <v>8050000000.000001</v>
      </c>
      <c r="R472" s="15">
        <v>547.72</v>
      </c>
      <c r="S472" s="16">
        <v>-5.08</v>
      </c>
      <c r="T472" s="15">
        <v>21483925</v>
      </c>
      <c r="U472" s="17">
        <v>45301</v>
      </c>
      <c r="V472" s="15" t="str">
        <f t="shared" si="21"/>
        <v>Complete</v>
      </c>
    </row>
    <row r="473" spans="1:22" ht="14.5" customHeight="1" x14ac:dyDescent="0.35">
      <c r="A473" s="18" t="s">
        <v>7369</v>
      </c>
      <c r="B473" s="18" t="s">
        <v>7194</v>
      </c>
      <c r="C473" s="18" t="s">
        <v>1773</v>
      </c>
      <c r="D473" s="18" t="s">
        <v>3214</v>
      </c>
      <c r="E473" s="18" t="s">
        <v>2</v>
      </c>
      <c r="F473" s="15" t="str">
        <f t="shared" si="22"/>
        <v>Female</v>
      </c>
      <c r="G473" s="18" t="s">
        <v>3215</v>
      </c>
      <c r="H473" s="18" t="s">
        <v>3216</v>
      </c>
      <c r="I473" s="18">
        <v>472</v>
      </c>
      <c r="J473" s="18">
        <v>472</v>
      </c>
      <c r="K473" s="18" t="s">
        <v>5</v>
      </c>
      <c r="L473" s="18" t="s">
        <v>838</v>
      </c>
      <c r="M473" s="18" t="s">
        <v>839</v>
      </c>
      <c r="N473" s="18" t="s">
        <v>8</v>
      </c>
      <c r="O473" s="18" t="s">
        <v>840</v>
      </c>
      <c r="P473" s="18" t="s">
        <v>841</v>
      </c>
      <c r="Q473" s="22">
        <f t="shared" si="23"/>
        <v>55380000</v>
      </c>
      <c r="R473" s="18">
        <v>1758.47</v>
      </c>
      <c r="S473" s="19">
        <v>0.01</v>
      </c>
      <c r="T473" s="18">
        <v>80006768</v>
      </c>
      <c r="U473" s="20">
        <v>44354</v>
      </c>
      <c r="V473" s="18" t="str">
        <f t="shared" si="21"/>
        <v>Complete</v>
      </c>
    </row>
    <row r="474" spans="1:22" ht="14.5" customHeight="1" x14ac:dyDescent="0.35">
      <c r="A474" s="15" t="s">
        <v>7370</v>
      </c>
      <c r="B474" s="15" t="s">
        <v>6655</v>
      </c>
      <c r="C474" s="15" t="s">
        <v>3217</v>
      </c>
      <c r="D474" s="15" t="s">
        <v>3218</v>
      </c>
      <c r="E474" s="15" t="s">
        <v>2</v>
      </c>
      <c r="F474" s="15" t="str">
        <f t="shared" si="22"/>
        <v>Female</v>
      </c>
      <c r="G474" s="15" t="s">
        <v>3219</v>
      </c>
      <c r="H474" s="15" t="s">
        <v>3220</v>
      </c>
      <c r="I474" s="15">
        <v>473</v>
      </c>
      <c r="J474" s="15">
        <v>473</v>
      </c>
      <c r="K474" s="15" t="s">
        <v>32</v>
      </c>
      <c r="L474" s="15" t="s">
        <v>3221</v>
      </c>
      <c r="M474" s="15" t="s">
        <v>3222</v>
      </c>
      <c r="N474" s="15" t="s">
        <v>8033</v>
      </c>
      <c r="O474" s="15" t="s">
        <v>8033</v>
      </c>
      <c r="P474" s="15" t="s">
        <v>8033</v>
      </c>
      <c r="Q474" s="22">
        <f t="shared" si="23"/>
        <v>0</v>
      </c>
      <c r="R474" s="15">
        <v>1518.93</v>
      </c>
      <c r="S474" s="16">
        <v>6</v>
      </c>
      <c r="T474" s="15">
        <v>112591235</v>
      </c>
      <c r="U474" s="17">
        <v>46194</v>
      </c>
      <c r="V474" s="15" t="str">
        <f t="shared" si="21"/>
        <v>Missing</v>
      </c>
    </row>
    <row r="475" spans="1:22" ht="14.5" customHeight="1" x14ac:dyDescent="0.35">
      <c r="A475" s="18" t="s">
        <v>7371</v>
      </c>
      <c r="B475" s="18" t="s">
        <v>7372</v>
      </c>
      <c r="C475" s="18" t="s">
        <v>3223</v>
      </c>
      <c r="D475" s="18" t="s">
        <v>3224</v>
      </c>
      <c r="E475" s="18" t="s">
        <v>13</v>
      </c>
      <c r="F475" s="15" t="str">
        <f t="shared" si="22"/>
        <v>Male</v>
      </c>
      <c r="G475" s="18" t="s">
        <v>3225</v>
      </c>
      <c r="H475" s="18" t="s">
        <v>3226</v>
      </c>
      <c r="I475" s="18">
        <v>474</v>
      </c>
      <c r="J475" s="18">
        <v>474</v>
      </c>
      <c r="K475" s="18" t="s">
        <v>5</v>
      </c>
      <c r="L475" s="18" t="s">
        <v>3227</v>
      </c>
      <c r="M475" s="18" t="s">
        <v>3228</v>
      </c>
      <c r="N475" s="18" t="s">
        <v>99</v>
      </c>
      <c r="O475" s="18" t="s">
        <v>1498</v>
      </c>
      <c r="P475" s="18" t="s">
        <v>3229</v>
      </c>
      <c r="Q475" s="22">
        <f t="shared" si="23"/>
        <v>41810000</v>
      </c>
      <c r="R475" s="18">
        <v>1620.05</v>
      </c>
      <c r="S475" s="19">
        <v>-5.18</v>
      </c>
      <c r="T475" s="18">
        <v>75769816</v>
      </c>
      <c r="U475" s="20">
        <v>45737</v>
      </c>
      <c r="V475" s="18" t="str">
        <f t="shared" si="21"/>
        <v>Complete</v>
      </c>
    </row>
    <row r="476" spans="1:22" ht="14.5" customHeight="1" x14ac:dyDescent="0.35">
      <c r="A476" s="15" t="s">
        <v>7373</v>
      </c>
      <c r="B476" s="15" t="s">
        <v>6680</v>
      </c>
      <c r="C476" s="15" t="s">
        <v>3230</v>
      </c>
      <c r="D476" s="15" t="s">
        <v>3231</v>
      </c>
      <c r="E476" s="15" t="s">
        <v>13</v>
      </c>
      <c r="F476" s="15" t="str">
        <f t="shared" si="22"/>
        <v>Male</v>
      </c>
      <c r="G476" s="15" t="s">
        <v>3232</v>
      </c>
      <c r="H476" s="15" t="s">
        <v>3233</v>
      </c>
      <c r="I476" s="15">
        <v>475</v>
      </c>
      <c r="J476" s="15">
        <v>475</v>
      </c>
      <c r="K476" s="15" t="s">
        <v>5</v>
      </c>
      <c r="L476" s="15" t="s">
        <v>3234</v>
      </c>
      <c r="M476" s="15" t="s">
        <v>3235</v>
      </c>
      <c r="N476" s="15" t="s">
        <v>8033</v>
      </c>
      <c r="O476" s="15" t="s">
        <v>8033</v>
      </c>
      <c r="P476" s="15" t="s">
        <v>3236</v>
      </c>
      <c r="Q476" s="22">
        <f t="shared" si="23"/>
        <v>488700000</v>
      </c>
      <c r="R476" s="15">
        <v>579.48</v>
      </c>
      <c r="S476" s="16">
        <v>-4.62</v>
      </c>
      <c r="T476" s="15">
        <v>162013799</v>
      </c>
      <c r="U476" s="17">
        <v>44305</v>
      </c>
      <c r="V476" s="15" t="str">
        <f t="shared" si="21"/>
        <v>Missing</v>
      </c>
    </row>
    <row r="477" spans="1:22" ht="14.5" customHeight="1" x14ac:dyDescent="0.35">
      <c r="A477" s="18" t="s">
        <v>7374</v>
      </c>
      <c r="B477" s="18" t="s">
        <v>6605</v>
      </c>
      <c r="C477" s="18" t="s">
        <v>3237</v>
      </c>
      <c r="D477" s="18" t="s">
        <v>3238</v>
      </c>
      <c r="E477" s="18" t="s">
        <v>2</v>
      </c>
      <c r="F477" s="15" t="str">
        <f t="shared" si="22"/>
        <v>Female</v>
      </c>
      <c r="G477" s="18" t="s">
        <v>3239</v>
      </c>
      <c r="H477" s="18" t="s">
        <v>3240</v>
      </c>
      <c r="I477" s="18">
        <v>476</v>
      </c>
      <c r="J477" s="18">
        <v>476</v>
      </c>
      <c r="K477" s="18" t="s">
        <v>5</v>
      </c>
      <c r="L477" s="18" t="s">
        <v>3241</v>
      </c>
      <c r="M477" s="18" t="s">
        <v>3242</v>
      </c>
      <c r="N477" s="18" t="s">
        <v>8033</v>
      </c>
      <c r="O477" s="18" t="s">
        <v>8033</v>
      </c>
      <c r="P477" s="18" t="s">
        <v>3243</v>
      </c>
      <c r="Q477" s="22">
        <f t="shared" si="23"/>
        <v>1710000000</v>
      </c>
      <c r="R477" s="18">
        <v>106.73</v>
      </c>
      <c r="S477" s="19">
        <v>9.17</v>
      </c>
      <c r="T477" s="18">
        <v>24827419</v>
      </c>
      <c r="U477" s="20">
        <v>44765</v>
      </c>
      <c r="V477" s="18" t="str">
        <f t="shared" si="21"/>
        <v>Missing</v>
      </c>
    </row>
    <row r="478" spans="1:22" ht="14.5" customHeight="1" x14ac:dyDescent="0.35">
      <c r="A478" s="15" t="s">
        <v>7375</v>
      </c>
      <c r="B478" s="15" t="s">
        <v>7376</v>
      </c>
      <c r="C478" s="15" t="s">
        <v>3244</v>
      </c>
      <c r="D478" s="15" t="s">
        <v>3245</v>
      </c>
      <c r="E478" s="15" t="s">
        <v>13</v>
      </c>
      <c r="F478" s="15" t="str">
        <f t="shared" si="22"/>
        <v>Male</v>
      </c>
      <c r="G478" s="15" t="s">
        <v>3246</v>
      </c>
      <c r="H478" s="15" t="s">
        <v>3247</v>
      </c>
      <c r="I478" s="15">
        <v>477</v>
      </c>
      <c r="J478" s="15">
        <v>477</v>
      </c>
      <c r="K478" s="15" t="s">
        <v>5</v>
      </c>
      <c r="L478" s="15" t="s">
        <v>3248</v>
      </c>
      <c r="M478" s="15" t="s">
        <v>3249</v>
      </c>
      <c r="N478" s="15" t="s">
        <v>66</v>
      </c>
      <c r="O478" s="15" t="s">
        <v>293</v>
      </c>
      <c r="P478" s="15" t="s">
        <v>3250</v>
      </c>
      <c r="Q478" s="22">
        <f t="shared" si="23"/>
        <v>37650000</v>
      </c>
      <c r="R478" s="15">
        <v>1981.86</v>
      </c>
      <c r="S478" s="16">
        <v>12.44</v>
      </c>
      <c r="T478" s="15">
        <v>20500904</v>
      </c>
      <c r="U478" s="17">
        <v>44995</v>
      </c>
      <c r="V478" s="15" t="str">
        <f t="shared" si="21"/>
        <v>Complete</v>
      </c>
    </row>
    <row r="479" spans="1:22" ht="14.5" customHeight="1" x14ac:dyDescent="0.35">
      <c r="A479" s="18" t="s">
        <v>7377</v>
      </c>
      <c r="B479" s="18" t="s">
        <v>7154</v>
      </c>
      <c r="C479" s="18" t="s">
        <v>3251</v>
      </c>
      <c r="D479" s="18" t="s">
        <v>3252</v>
      </c>
      <c r="E479" s="18" t="s">
        <v>61</v>
      </c>
      <c r="F479" s="15" t="str">
        <f t="shared" si="22"/>
        <v>Other</v>
      </c>
      <c r="G479" s="18" t="s">
        <v>3253</v>
      </c>
      <c r="H479" s="18" t="s">
        <v>3254</v>
      </c>
      <c r="I479" s="18">
        <v>478</v>
      </c>
      <c r="J479" s="18">
        <v>478</v>
      </c>
      <c r="K479" s="18" t="s">
        <v>5</v>
      </c>
      <c r="L479" s="18" t="s">
        <v>3255</v>
      </c>
      <c r="M479" s="18" t="s">
        <v>3256</v>
      </c>
      <c r="N479" s="18" t="s">
        <v>25</v>
      </c>
      <c r="O479" s="18" t="s">
        <v>344</v>
      </c>
      <c r="P479" s="18" t="s">
        <v>3257</v>
      </c>
      <c r="Q479" s="22">
        <f t="shared" si="23"/>
        <v>162720000</v>
      </c>
      <c r="R479" s="18">
        <v>1772.59</v>
      </c>
      <c r="S479" s="19">
        <v>-1.81</v>
      </c>
      <c r="T479" s="18">
        <v>94749412</v>
      </c>
      <c r="U479" s="20">
        <v>46011</v>
      </c>
      <c r="V479" s="18" t="str">
        <f t="shared" si="21"/>
        <v>Complete</v>
      </c>
    </row>
    <row r="480" spans="1:22" ht="14.5" customHeight="1" x14ac:dyDescent="0.35">
      <c r="A480" s="15" t="s">
        <v>7378</v>
      </c>
      <c r="B480" s="15" t="s">
        <v>6607</v>
      </c>
      <c r="C480" s="15" t="s">
        <v>3258</v>
      </c>
      <c r="D480" s="15" t="s">
        <v>3259</v>
      </c>
      <c r="E480" s="15" t="s">
        <v>2</v>
      </c>
      <c r="F480" s="15" t="str">
        <f t="shared" si="22"/>
        <v>Female</v>
      </c>
      <c r="G480" s="15" t="s">
        <v>3260</v>
      </c>
      <c r="H480" s="15" t="s">
        <v>3261</v>
      </c>
      <c r="I480" s="15">
        <v>479</v>
      </c>
      <c r="J480" s="15">
        <v>479</v>
      </c>
      <c r="K480" s="15" t="s">
        <v>5</v>
      </c>
      <c r="L480" s="15" t="s">
        <v>3262</v>
      </c>
      <c r="M480" s="15" t="s">
        <v>3263</v>
      </c>
      <c r="N480" s="15" t="s">
        <v>66</v>
      </c>
      <c r="O480" s="15" t="s">
        <v>181</v>
      </c>
      <c r="P480" s="15" t="s">
        <v>3264</v>
      </c>
      <c r="Q480" s="22">
        <f t="shared" si="23"/>
        <v>42780000</v>
      </c>
      <c r="R480" s="15">
        <v>705.66</v>
      </c>
      <c r="S480" s="16">
        <v>-7.33</v>
      </c>
      <c r="T480" s="15">
        <v>70867334</v>
      </c>
      <c r="U480" s="17">
        <v>45498</v>
      </c>
      <c r="V480" s="15" t="str">
        <f t="shared" si="21"/>
        <v>Complete</v>
      </c>
    </row>
    <row r="481" spans="1:22" ht="14.5" customHeight="1" x14ac:dyDescent="0.35">
      <c r="A481" s="18" t="s">
        <v>7379</v>
      </c>
      <c r="B481" s="18" t="s">
        <v>7380</v>
      </c>
      <c r="C481" s="18" t="s">
        <v>3265</v>
      </c>
      <c r="D481" s="18" t="s">
        <v>3266</v>
      </c>
      <c r="E481" s="18" t="s">
        <v>13</v>
      </c>
      <c r="F481" s="15" t="str">
        <f t="shared" si="22"/>
        <v>Male</v>
      </c>
      <c r="G481" s="18" t="s">
        <v>3267</v>
      </c>
      <c r="H481" s="18" t="s">
        <v>3268</v>
      </c>
      <c r="I481" s="18">
        <v>480</v>
      </c>
      <c r="J481" s="18">
        <v>480</v>
      </c>
      <c r="K481" s="18" t="s">
        <v>5</v>
      </c>
      <c r="L481" s="18" t="s">
        <v>3269</v>
      </c>
      <c r="M481" s="18" t="s">
        <v>3270</v>
      </c>
      <c r="N481" s="18" t="s">
        <v>66</v>
      </c>
      <c r="O481" s="18" t="s">
        <v>181</v>
      </c>
      <c r="P481" s="18" t="s">
        <v>3271</v>
      </c>
      <c r="Q481" s="22">
        <f t="shared" si="23"/>
        <v>909020000</v>
      </c>
      <c r="R481" s="18">
        <v>1779.14</v>
      </c>
      <c r="S481" s="19">
        <v>5.43</v>
      </c>
      <c r="T481" s="18">
        <v>168950470</v>
      </c>
      <c r="U481" s="20">
        <v>44840</v>
      </c>
      <c r="V481" s="18" t="str">
        <f t="shared" si="21"/>
        <v>Complete</v>
      </c>
    </row>
    <row r="482" spans="1:22" ht="14.5" customHeight="1" x14ac:dyDescent="0.35">
      <c r="A482" s="15" t="s">
        <v>7381</v>
      </c>
      <c r="B482" s="15" t="s">
        <v>7158</v>
      </c>
      <c r="C482" s="15" t="s">
        <v>3272</v>
      </c>
      <c r="D482" s="15" t="s">
        <v>3273</v>
      </c>
      <c r="E482" s="15" t="s">
        <v>104</v>
      </c>
      <c r="F482" s="15" t="str">
        <f t="shared" si="22"/>
        <v>Other</v>
      </c>
      <c r="G482" s="15" t="s">
        <v>3274</v>
      </c>
      <c r="H482" s="15" t="s">
        <v>3275</v>
      </c>
      <c r="I482" s="15">
        <v>481</v>
      </c>
      <c r="J482" s="15">
        <v>481</v>
      </c>
      <c r="K482" s="15" t="s">
        <v>32</v>
      </c>
      <c r="L482" s="15" t="s">
        <v>3276</v>
      </c>
      <c r="M482" s="15" t="s">
        <v>3277</v>
      </c>
      <c r="N482" s="15" t="s">
        <v>48</v>
      </c>
      <c r="O482" s="15" t="s">
        <v>49</v>
      </c>
      <c r="P482" s="15" t="s">
        <v>3278</v>
      </c>
      <c r="Q482" s="22">
        <f t="shared" si="23"/>
        <v>4210000000</v>
      </c>
      <c r="R482" s="15">
        <v>1727.71</v>
      </c>
      <c r="S482" s="16">
        <v>-16.73</v>
      </c>
      <c r="T482" s="15">
        <v>130556488</v>
      </c>
      <c r="U482" s="17">
        <v>44202</v>
      </c>
      <c r="V482" s="15" t="str">
        <f t="shared" si="21"/>
        <v>Complete</v>
      </c>
    </row>
    <row r="483" spans="1:22" ht="14.5" customHeight="1" x14ac:dyDescent="0.35">
      <c r="A483" s="18" t="s">
        <v>7382</v>
      </c>
      <c r="B483" s="18" t="s">
        <v>7383</v>
      </c>
      <c r="C483" s="18" t="s">
        <v>3279</v>
      </c>
      <c r="D483" s="18" t="s">
        <v>3280</v>
      </c>
      <c r="E483" s="18" t="s">
        <v>2</v>
      </c>
      <c r="F483" s="15" t="str">
        <f t="shared" si="22"/>
        <v>Female</v>
      </c>
      <c r="G483" s="18" t="s">
        <v>3281</v>
      </c>
      <c r="H483" s="18" t="s">
        <v>3282</v>
      </c>
      <c r="I483" s="18">
        <v>482</v>
      </c>
      <c r="J483" s="18">
        <v>482</v>
      </c>
      <c r="K483" s="18" t="s">
        <v>5</v>
      </c>
      <c r="L483" s="18" t="s">
        <v>3283</v>
      </c>
      <c r="M483" s="18" t="s">
        <v>3284</v>
      </c>
      <c r="N483" s="18" t="s">
        <v>48</v>
      </c>
      <c r="O483" s="18" t="s">
        <v>57</v>
      </c>
      <c r="P483" s="18" t="s">
        <v>3285</v>
      </c>
      <c r="Q483" s="22">
        <f t="shared" si="23"/>
        <v>5870000000</v>
      </c>
      <c r="R483" s="18">
        <v>1926.96</v>
      </c>
      <c r="S483" s="19">
        <v>-14.5</v>
      </c>
      <c r="T483" s="18">
        <v>114379857</v>
      </c>
      <c r="U483" s="20">
        <v>45763</v>
      </c>
      <c r="V483" s="18" t="str">
        <f t="shared" si="21"/>
        <v>Complete</v>
      </c>
    </row>
    <row r="484" spans="1:22" ht="14.5" customHeight="1" x14ac:dyDescent="0.35">
      <c r="A484" s="15" t="s">
        <v>7384</v>
      </c>
      <c r="B484" s="15" t="s">
        <v>7385</v>
      </c>
      <c r="C484" s="15" t="s">
        <v>587</v>
      </c>
      <c r="D484" s="15" t="s">
        <v>3286</v>
      </c>
      <c r="E484" s="15" t="s">
        <v>13</v>
      </c>
      <c r="F484" s="15" t="str">
        <f t="shared" si="22"/>
        <v>Male</v>
      </c>
      <c r="G484" s="15" t="s">
        <v>3287</v>
      </c>
      <c r="H484" s="15" t="s">
        <v>3288</v>
      </c>
      <c r="I484" s="15">
        <v>483</v>
      </c>
      <c r="J484" s="15">
        <v>483</v>
      </c>
      <c r="K484" s="15" t="s">
        <v>5</v>
      </c>
      <c r="L484" s="15" t="s">
        <v>3289</v>
      </c>
      <c r="M484" s="15" t="s">
        <v>3290</v>
      </c>
      <c r="N484" s="15" t="s">
        <v>48</v>
      </c>
      <c r="O484" s="15" t="s">
        <v>57</v>
      </c>
      <c r="P484" s="15" t="s">
        <v>8033</v>
      </c>
      <c r="Q484" s="22">
        <f t="shared" si="23"/>
        <v>0</v>
      </c>
      <c r="R484" s="15">
        <v>1971.41</v>
      </c>
      <c r="S484" s="16">
        <v>-6.83</v>
      </c>
      <c r="T484" s="15">
        <v>14822691</v>
      </c>
      <c r="U484" s="17">
        <v>45517</v>
      </c>
      <c r="V484" s="15" t="str">
        <f t="shared" si="21"/>
        <v>Missing</v>
      </c>
    </row>
    <row r="485" spans="1:22" ht="14.5" customHeight="1" x14ac:dyDescent="0.35">
      <c r="A485" s="18" t="s">
        <v>7386</v>
      </c>
      <c r="B485" s="18" t="s">
        <v>6750</v>
      </c>
      <c r="C485" s="18" t="s">
        <v>3291</v>
      </c>
      <c r="D485" s="18" t="s">
        <v>3292</v>
      </c>
      <c r="E485" s="18" t="s">
        <v>2</v>
      </c>
      <c r="F485" s="15" t="str">
        <f t="shared" si="22"/>
        <v>Female</v>
      </c>
      <c r="G485" s="18" t="s">
        <v>3293</v>
      </c>
      <c r="H485" s="18" t="s">
        <v>3294</v>
      </c>
      <c r="I485" s="18">
        <v>484</v>
      </c>
      <c r="J485" s="18">
        <v>484</v>
      </c>
      <c r="K485" s="18" t="s">
        <v>32</v>
      </c>
      <c r="L485" s="18" t="s">
        <v>3295</v>
      </c>
      <c r="M485" s="18" t="s">
        <v>3296</v>
      </c>
      <c r="N485" s="18" t="s">
        <v>8033</v>
      </c>
      <c r="O485" s="18" t="s">
        <v>8033</v>
      </c>
      <c r="P485" s="18" t="s">
        <v>3297</v>
      </c>
      <c r="Q485" s="22">
        <f t="shared" si="23"/>
        <v>296920000</v>
      </c>
      <c r="R485" s="18">
        <v>714.55</v>
      </c>
      <c r="S485" s="19">
        <v>-4.41</v>
      </c>
      <c r="T485" s="18">
        <v>98089107</v>
      </c>
      <c r="U485" s="20">
        <v>44886</v>
      </c>
      <c r="V485" s="18" t="str">
        <f t="shared" si="21"/>
        <v>Missing</v>
      </c>
    </row>
    <row r="486" spans="1:22" ht="14.5" customHeight="1" x14ac:dyDescent="0.35">
      <c r="A486" s="15" t="s">
        <v>7387</v>
      </c>
      <c r="B486" s="15" t="s">
        <v>6739</v>
      </c>
      <c r="C486" s="15" t="s">
        <v>3298</v>
      </c>
      <c r="D486" s="15" t="s">
        <v>3299</v>
      </c>
      <c r="E486" s="15" t="s">
        <v>2</v>
      </c>
      <c r="F486" s="15" t="str">
        <f t="shared" si="22"/>
        <v>Female</v>
      </c>
      <c r="G486" s="15" t="s">
        <v>3300</v>
      </c>
      <c r="H486" s="15" t="s">
        <v>3301</v>
      </c>
      <c r="I486" s="15">
        <v>485</v>
      </c>
      <c r="J486" s="15">
        <v>485</v>
      </c>
      <c r="K486" s="15" t="s">
        <v>5</v>
      </c>
      <c r="L486" s="15" t="s">
        <v>3302</v>
      </c>
      <c r="M486" s="15" t="s">
        <v>3303</v>
      </c>
      <c r="N486" s="15" t="s">
        <v>25</v>
      </c>
      <c r="O486" s="15" t="s">
        <v>308</v>
      </c>
      <c r="P486" s="15" t="s">
        <v>3304</v>
      </c>
      <c r="Q486" s="22">
        <f t="shared" si="23"/>
        <v>5290000000</v>
      </c>
      <c r="R486" s="15">
        <v>964.43</v>
      </c>
      <c r="S486" s="16">
        <v>7.91</v>
      </c>
      <c r="T486" s="15">
        <v>117153612</v>
      </c>
      <c r="U486" s="17">
        <v>46209</v>
      </c>
      <c r="V486" s="15" t="str">
        <f t="shared" si="21"/>
        <v>Complete</v>
      </c>
    </row>
    <row r="487" spans="1:22" ht="14.5" customHeight="1" x14ac:dyDescent="0.35">
      <c r="A487" s="18" t="s">
        <v>7388</v>
      </c>
      <c r="B487" s="18" t="s">
        <v>7389</v>
      </c>
      <c r="C487" s="18" t="s">
        <v>3305</v>
      </c>
      <c r="D487" s="18" t="s">
        <v>3306</v>
      </c>
      <c r="E487" s="18" t="s">
        <v>13</v>
      </c>
      <c r="F487" s="15" t="str">
        <f t="shared" si="22"/>
        <v>Male</v>
      </c>
      <c r="G487" s="18" t="s">
        <v>3307</v>
      </c>
      <c r="H487" s="18" t="s">
        <v>3308</v>
      </c>
      <c r="I487" s="18">
        <v>486</v>
      </c>
      <c r="J487" s="18">
        <v>486</v>
      </c>
      <c r="K487" s="18" t="s">
        <v>32</v>
      </c>
      <c r="L487" s="18" t="s">
        <v>3309</v>
      </c>
      <c r="M487" s="18" t="s">
        <v>3310</v>
      </c>
      <c r="N487" s="18" t="s">
        <v>25</v>
      </c>
      <c r="O487" s="18" t="s">
        <v>344</v>
      </c>
      <c r="P487" s="18" t="s">
        <v>3311</v>
      </c>
      <c r="Q487" s="22">
        <f t="shared" si="23"/>
        <v>1160000000</v>
      </c>
      <c r="R487" s="18">
        <v>1523.04</v>
      </c>
      <c r="S487" s="19">
        <v>5.61</v>
      </c>
      <c r="T487" s="18">
        <v>197770792</v>
      </c>
      <c r="U487" s="20">
        <v>44425</v>
      </c>
      <c r="V487" s="18" t="str">
        <f t="shared" si="21"/>
        <v>Complete</v>
      </c>
    </row>
    <row r="488" spans="1:22" ht="14.5" customHeight="1" x14ac:dyDescent="0.35">
      <c r="A488" s="15" t="s">
        <v>7390</v>
      </c>
      <c r="B488" s="15" t="s">
        <v>7025</v>
      </c>
      <c r="C488" s="15" t="s">
        <v>3312</v>
      </c>
      <c r="D488" s="15" t="s">
        <v>588</v>
      </c>
      <c r="E488" s="15" t="s">
        <v>13</v>
      </c>
      <c r="F488" s="15" t="str">
        <f t="shared" si="22"/>
        <v>Male</v>
      </c>
      <c r="G488" s="15" t="s">
        <v>3313</v>
      </c>
      <c r="H488" s="15" t="s">
        <v>3314</v>
      </c>
      <c r="I488" s="15">
        <v>487</v>
      </c>
      <c r="J488" s="15">
        <v>487</v>
      </c>
      <c r="K488" s="15" t="s">
        <v>5</v>
      </c>
      <c r="L488" s="15" t="s">
        <v>2439</v>
      </c>
      <c r="M488" s="15" t="s">
        <v>2440</v>
      </c>
      <c r="N488" s="15" t="s">
        <v>189</v>
      </c>
      <c r="O488" s="15" t="s">
        <v>190</v>
      </c>
      <c r="P488" s="15" t="s">
        <v>2441</v>
      </c>
      <c r="Q488" s="22">
        <f t="shared" si="23"/>
        <v>2560000000</v>
      </c>
      <c r="R488" s="15">
        <v>818.37</v>
      </c>
      <c r="S488" s="16">
        <v>4.4800000000000004</v>
      </c>
      <c r="T488" s="15">
        <v>3535197</v>
      </c>
      <c r="U488" s="17">
        <v>44073</v>
      </c>
      <c r="V488" s="15" t="str">
        <f t="shared" si="21"/>
        <v>Complete</v>
      </c>
    </row>
    <row r="489" spans="1:22" ht="14.5" customHeight="1" x14ac:dyDescent="0.35">
      <c r="A489" s="18" t="s">
        <v>7391</v>
      </c>
      <c r="B489" s="18" t="s">
        <v>6676</v>
      </c>
      <c r="C489" s="18" t="s">
        <v>3315</v>
      </c>
      <c r="D489" s="18" t="s">
        <v>3316</v>
      </c>
      <c r="E489" s="18" t="s">
        <v>2</v>
      </c>
      <c r="F489" s="15" t="str">
        <f t="shared" si="22"/>
        <v>Female</v>
      </c>
      <c r="G489" s="18" t="s">
        <v>3317</v>
      </c>
      <c r="H489" s="18" t="s">
        <v>3318</v>
      </c>
      <c r="I489" s="18">
        <v>488</v>
      </c>
      <c r="J489" s="18">
        <v>488</v>
      </c>
      <c r="K489" s="18" t="s">
        <v>32</v>
      </c>
      <c r="L489" s="18" t="s">
        <v>3319</v>
      </c>
      <c r="M489" s="18" t="s">
        <v>3320</v>
      </c>
      <c r="N489" s="18" t="s">
        <v>1291</v>
      </c>
      <c r="O489" s="18" t="s">
        <v>151</v>
      </c>
      <c r="P489" s="18" t="s">
        <v>3321</v>
      </c>
      <c r="Q489" s="22">
        <f t="shared" si="23"/>
        <v>192450000</v>
      </c>
      <c r="R489" s="18">
        <v>1175.8399999999999</v>
      </c>
      <c r="S489" s="19">
        <v>-0.42</v>
      </c>
      <c r="T489" s="18">
        <v>53550454</v>
      </c>
      <c r="U489" s="20">
        <v>44882</v>
      </c>
      <c r="V489" s="18" t="str">
        <f t="shared" si="21"/>
        <v>Complete</v>
      </c>
    </row>
    <row r="490" spans="1:22" ht="14.5" customHeight="1" x14ac:dyDescent="0.35">
      <c r="A490" s="15" t="s">
        <v>7392</v>
      </c>
      <c r="B490" s="15" t="s">
        <v>7393</v>
      </c>
      <c r="C490" s="15" t="s">
        <v>3322</v>
      </c>
      <c r="D490" s="15" t="s">
        <v>3230</v>
      </c>
      <c r="E490" s="15" t="s">
        <v>13</v>
      </c>
      <c r="F490" s="15" t="str">
        <f t="shared" si="22"/>
        <v>Male</v>
      </c>
      <c r="G490" s="15" t="s">
        <v>3323</v>
      </c>
      <c r="H490" s="15" t="s">
        <v>3324</v>
      </c>
      <c r="I490" s="15">
        <v>489</v>
      </c>
      <c r="J490" s="15">
        <v>489</v>
      </c>
      <c r="K490" s="15" t="s">
        <v>5</v>
      </c>
      <c r="L490" s="15" t="s">
        <v>3325</v>
      </c>
      <c r="M490" s="15" t="s">
        <v>3326</v>
      </c>
      <c r="N490" s="15" t="s">
        <v>8033</v>
      </c>
      <c r="O490" s="15" t="s">
        <v>8033</v>
      </c>
      <c r="P490" s="15" t="s">
        <v>3327</v>
      </c>
      <c r="Q490" s="22">
        <f t="shared" si="23"/>
        <v>9760000</v>
      </c>
      <c r="R490" s="15">
        <v>638.5</v>
      </c>
      <c r="S490" s="16">
        <v>-6.84</v>
      </c>
      <c r="T490" s="15">
        <v>134197011</v>
      </c>
      <c r="U490" s="17">
        <v>44384</v>
      </c>
      <c r="V490" s="15" t="str">
        <f t="shared" si="21"/>
        <v>Missing</v>
      </c>
    </row>
    <row r="491" spans="1:22" ht="14.5" customHeight="1" x14ac:dyDescent="0.35">
      <c r="A491" s="18" t="s">
        <v>7394</v>
      </c>
      <c r="B491" s="18" t="s">
        <v>7395</v>
      </c>
      <c r="C491" s="18" t="s">
        <v>3322</v>
      </c>
      <c r="D491" s="18" t="s">
        <v>3328</v>
      </c>
      <c r="E491" s="18" t="s">
        <v>13</v>
      </c>
      <c r="F491" s="15" t="str">
        <f t="shared" si="22"/>
        <v>Male</v>
      </c>
      <c r="G491" s="18" t="s">
        <v>3329</v>
      </c>
      <c r="H491" s="18" t="s">
        <v>3330</v>
      </c>
      <c r="I491" s="18">
        <v>490</v>
      </c>
      <c r="J491" s="18">
        <v>490</v>
      </c>
      <c r="K491" s="18" t="s">
        <v>5</v>
      </c>
      <c r="L491" s="18" t="s">
        <v>3331</v>
      </c>
      <c r="M491" s="18" t="s">
        <v>3332</v>
      </c>
      <c r="N491" s="18" t="s">
        <v>48</v>
      </c>
      <c r="O491" s="18" t="s">
        <v>49</v>
      </c>
      <c r="P491" s="18" t="s">
        <v>3333</v>
      </c>
      <c r="Q491" s="22">
        <f t="shared" si="23"/>
        <v>1050000000</v>
      </c>
      <c r="R491" s="18">
        <v>796.73</v>
      </c>
      <c r="S491" s="19">
        <v>15.78</v>
      </c>
      <c r="T491" s="18">
        <v>62879088</v>
      </c>
      <c r="U491" s="20">
        <v>44264</v>
      </c>
      <c r="V491" s="18" t="str">
        <f t="shared" si="21"/>
        <v>Complete</v>
      </c>
    </row>
    <row r="492" spans="1:22" ht="14.5" customHeight="1" x14ac:dyDescent="0.35">
      <c r="A492" s="15" t="s">
        <v>7396</v>
      </c>
      <c r="B492" s="15" t="s">
        <v>7042</v>
      </c>
      <c r="C492" s="15" t="s">
        <v>3334</v>
      </c>
      <c r="D492" s="15" t="s">
        <v>3335</v>
      </c>
      <c r="E492" s="15" t="s">
        <v>13</v>
      </c>
      <c r="F492" s="15" t="str">
        <f t="shared" si="22"/>
        <v>Male</v>
      </c>
      <c r="G492" s="15" t="s">
        <v>3336</v>
      </c>
      <c r="H492" s="15" t="s">
        <v>3337</v>
      </c>
      <c r="I492" s="15">
        <v>491</v>
      </c>
      <c r="J492" s="15">
        <v>491</v>
      </c>
      <c r="K492" s="15" t="s">
        <v>5</v>
      </c>
      <c r="L492" s="15" t="s">
        <v>3338</v>
      </c>
      <c r="M492" s="15" t="s">
        <v>3339</v>
      </c>
      <c r="N492" s="15" t="s">
        <v>8</v>
      </c>
      <c r="O492" s="15" t="s">
        <v>9</v>
      </c>
      <c r="P492" s="15" t="s">
        <v>3340</v>
      </c>
      <c r="Q492" s="22">
        <f t="shared" si="23"/>
        <v>1780000000</v>
      </c>
      <c r="R492" s="15">
        <v>1995.79</v>
      </c>
      <c r="S492" s="16">
        <v>17.04</v>
      </c>
      <c r="T492" s="15">
        <v>35792662</v>
      </c>
      <c r="U492" s="17">
        <v>44178</v>
      </c>
      <c r="V492" s="15" t="str">
        <f t="shared" si="21"/>
        <v>Complete</v>
      </c>
    </row>
    <row r="493" spans="1:22" ht="14.5" customHeight="1" x14ac:dyDescent="0.35">
      <c r="A493" s="18" t="s">
        <v>7397</v>
      </c>
      <c r="B493" s="18" t="s">
        <v>7398</v>
      </c>
      <c r="C493" s="18" t="s">
        <v>3341</v>
      </c>
      <c r="D493" s="18" t="s">
        <v>3342</v>
      </c>
      <c r="E493" s="18" t="s">
        <v>13</v>
      </c>
      <c r="F493" s="15" t="str">
        <f t="shared" si="22"/>
        <v>Male</v>
      </c>
      <c r="G493" s="18" t="s">
        <v>3343</v>
      </c>
      <c r="H493" s="18" t="s">
        <v>3344</v>
      </c>
      <c r="I493" s="18">
        <v>492</v>
      </c>
      <c r="J493" s="18">
        <v>492</v>
      </c>
      <c r="K493" s="18" t="s">
        <v>32</v>
      </c>
      <c r="L493" s="18" t="s">
        <v>3345</v>
      </c>
      <c r="M493" s="18" t="s">
        <v>3346</v>
      </c>
      <c r="N493" s="18" t="s">
        <v>8033</v>
      </c>
      <c r="O493" s="18" t="s">
        <v>8033</v>
      </c>
      <c r="P493" s="18" t="s">
        <v>8033</v>
      </c>
      <c r="Q493" s="22">
        <f t="shared" si="23"/>
        <v>0</v>
      </c>
      <c r="R493" s="18">
        <v>1160.51</v>
      </c>
      <c r="S493" s="19">
        <v>18.45</v>
      </c>
      <c r="T493" s="18">
        <v>91930993</v>
      </c>
      <c r="U493" s="20">
        <v>44258</v>
      </c>
      <c r="V493" s="18" t="str">
        <f t="shared" si="21"/>
        <v>Missing</v>
      </c>
    </row>
    <row r="494" spans="1:22" ht="14.5" customHeight="1" x14ac:dyDescent="0.35">
      <c r="A494" s="15" t="s">
        <v>7399</v>
      </c>
      <c r="B494" s="15" t="s">
        <v>7010</v>
      </c>
      <c r="C494" s="15" t="s">
        <v>3347</v>
      </c>
      <c r="D494" s="15" t="s">
        <v>3348</v>
      </c>
      <c r="E494" s="15" t="s">
        <v>13</v>
      </c>
      <c r="F494" s="15" t="str">
        <f t="shared" si="22"/>
        <v>Male</v>
      </c>
      <c r="G494" s="15" t="s">
        <v>3349</v>
      </c>
      <c r="H494" s="15" t="s">
        <v>3350</v>
      </c>
      <c r="I494" s="15">
        <v>493</v>
      </c>
      <c r="J494" s="15">
        <v>493</v>
      </c>
      <c r="K494" s="15" t="s">
        <v>32</v>
      </c>
      <c r="L494" s="15" t="s">
        <v>2106</v>
      </c>
      <c r="M494" s="15" t="s">
        <v>2107</v>
      </c>
      <c r="N494" s="15" t="s">
        <v>48</v>
      </c>
      <c r="O494" s="15" t="s">
        <v>364</v>
      </c>
      <c r="P494" s="15" t="s">
        <v>8033</v>
      </c>
      <c r="Q494" s="22">
        <f t="shared" si="23"/>
        <v>0</v>
      </c>
      <c r="R494" s="15">
        <v>1267.54</v>
      </c>
      <c r="S494" s="16">
        <v>-10.61</v>
      </c>
      <c r="T494" s="15">
        <v>6966169</v>
      </c>
      <c r="U494" s="17">
        <v>45831</v>
      </c>
      <c r="V494" s="15" t="str">
        <f t="shared" si="21"/>
        <v>Missing</v>
      </c>
    </row>
    <row r="495" spans="1:22" ht="14.5" customHeight="1" x14ac:dyDescent="0.35">
      <c r="A495" s="18" t="s">
        <v>7400</v>
      </c>
      <c r="B495" s="18" t="s">
        <v>6591</v>
      </c>
      <c r="C495" s="18" t="s">
        <v>3351</v>
      </c>
      <c r="D495" s="18" t="s">
        <v>3352</v>
      </c>
      <c r="E495" s="18" t="s">
        <v>161</v>
      </c>
      <c r="F495" s="15" t="str">
        <f t="shared" si="22"/>
        <v>Other</v>
      </c>
      <c r="G495" s="18" t="s">
        <v>3353</v>
      </c>
      <c r="H495" s="18" t="s">
        <v>3354</v>
      </c>
      <c r="I495" s="18">
        <v>494</v>
      </c>
      <c r="J495" s="18">
        <v>494</v>
      </c>
      <c r="K495" s="18" t="s">
        <v>5</v>
      </c>
      <c r="L495" s="18" t="s">
        <v>3355</v>
      </c>
      <c r="M495" s="18" t="s">
        <v>3356</v>
      </c>
      <c r="N495" s="18" t="s">
        <v>117</v>
      </c>
      <c r="O495" s="18" t="s">
        <v>3095</v>
      </c>
      <c r="P495" s="18" t="s">
        <v>127</v>
      </c>
      <c r="Q495" s="22">
        <f t="shared" si="23"/>
        <v>4500000</v>
      </c>
      <c r="R495" s="18">
        <v>131.80000000000001</v>
      </c>
      <c r="S495" s="19">
        <v>18.05</v>
      </c>
      <c r="T495" s="18">
        <v>156263252</v>
      </c>
      <c r="U495" s="20">
        <v>45981</v>
      </c>
      <c r="V495" s="18" t="str">
        <f t="shared" si="21"/>
        <v>Complete</v>
      </c>
    </row>
    <row r="496" spans="1:22" ht="14.5" customHeight="1" x14ac:dyDescent="0.35">
      <c r="A496" s="15" t="s">
        <v>7401</v>
      </c>
      <c r="B496" s="15" t="s">
        <v>7014</v>
      </c>
      <c r="C496" s="15" t="s">
        <v>3357</v>
      </c>
      <c r="D496" s="15" t="s">
        <v>3358</v>
      </c>
      <c r="E496" s="15" t="s">
        <v>13</v>
      </c>
      <c r="F496" s="15" t="str">
        <f t="shared" si="22"/>
        <v>Male</v>
      </c>
      <c r="G496" s="15" t="s">
        <v>3359</v>
      </c>
      <c r="H496" s="15" t="s">
        <v>3360</v>
      </c>
      <c r="I496" s="15">
        <v>495</v>
      </c>
      <c r="J496" s="15">
        <v>495</v>
      </c>
      <c r="K496" s="15" t="s">
        <v>32</v>
      </c>
      <c r="L496" s="15" t="s">
        <v>3361</v>
      </c>
      <c r="M496" s="15" t="s">
        <v>3362</v>
      </c>
      <c r="N496" s="15" t="s">
        <v>48</v>
      </c>
      <c r="O496" s="15" t="s">
        <v>49</v>
      </c>
      <c r="P496" s="15" t="s">
        <v>3363</v>
      </c>
      <c r="Q496" s="22">
        <f t="shared" si="23"/>
        <v>8510000000</v>
      </c>
      <c r="R496" s="15">
        <v>497.05</v>
      </c>
      <c r="S496" s="16">
        <v>2.1</v>
      </c>
      <c r="T496" s="15">
        <v>95791910</v>
      </c>
      <c r="U496" s="17">
        <v>45415</v>
      </c>
      <c r="V496" s="15" t="str">
        <f t="shared" si="21"/>
        <v>Complete</v>
      </c>
    </row>
    <row r="497" spans="1:22" ht="14.5" customHeight="1" x14ac:dyDescent="0.35">
      <c r="A497" s="18" t="s">
        <v>7402</v>
      </c>
      <c r="B497" s="18" t="s">
        <v>7403</v>
      </c>
      <c r="C497" s="18" t="s">
        <v>3364</v>
      </c>
      <c r="D497" s="18" t="s">
        <v>3365</v>
      </c>
      <c r="E497" s="18" t="s">
        <v>2</v>
      </c>
      <c r="F497" s="15" t="str">
        <f t="shared" si="22"/>
        <v>Female</v>
      </c>
      <c r="G497" s="18" t="s">
        <v>3366</v>
      </c>
      <c r="H497" s="18" t="s">
        <v>3367</v>
      </c>
      <c r="I497" s="18">
        <v>496</v>
      </c>
      <c r="J497" s="18">
        <v>496</v>
      </c>
      <c r="K497" s="18" t="s">
        <v>5</v>
      </c>
      <c r="L497" s="18" t="s">
        <v>3368</v>
      </c>
      <c r="M497" s="18" t="s">
        <v>3369</v>
      </c>
      <c r="N497" s="18" t="s">
        <v>8</v>
      </c>
      <c r="O497" s="18" t="s">
        <v>600</v>
      </c>
      <c r="P497" s="18" t="s">
        <v>3370</v>
      </c>
      <c r="Q497" s="22">
        <f t="shared" si="23"/>
        <v>72130000</v>
      </c>
      <c r="R497" s="18">
        <v>401.33</v>
      </c>
      <c r="S497" s="19">
        <v>-6.2</v>
      </c>
      <c r="T497" s="18">
        <v>75085378</v>
      </c>
      <c r="U497" s="20">
        <v>46306</v>
      </c>
      <c r="V497" s="18" t="str">
        <f t="shared" si="21"/>
        <v>Complete</v>
      </c>
    </row>
    <row r="498" spans="1:22" ht="14.5" customHeight="1" x14ac:dyDescent="0.35">
      <c r="A498" s="15" t="s">
        <v>7404</v>
      </c>
      <c r="B498" s="15" t="s">
        <v>7405</v>
      </c>
      <c r="C498" s="15" t="s">
        <v>3371</v>
      </c>
      <c r="D498" s="15" t="s">
        <v>3372</v>
      </c>
      <c r="E498" s="15" t="s">
        <v>2</v>
      </c>
      <c r="F498" s="15" t="str">
        <f t="shared" si="22"/>
        <v>Female</v>
      </c>
      <c r="G498" s="15" t="s">
        <v>3373</v>
      </c>
      <c r="H498" s="15" t="s">
        <v>3374</v>
      </c>
      <c r="I498" s="15">
        <v>497</v>
      </c>
      <c r="J498" s="15">
        <v>497</v>
      </c>
      <c r="K498" s="15" t="s">
        <v>32</v>
      </c>
      <c r="L498" s="15" t="s">
        <v>3375</v>
      </c>
      <c r="M498" s="15" t="s">
        <v>3376</v>
      </c>
      <c r="N498" s="15" t="s">
        <v>25</v>
      </c>
      <c r="O498" s="15" t="s">
        <v>2114</v>
      </c>
      <c r="P498" s="15" t="s">
        <v>3377</v>
      </c>
      <c r="Q498" s="22">
        <f t="shared" si="23"/>
        <v>719190000</v>
      </c>
      <c r="R498" s="15">
        <v>1507.27</v>
      </c>
      <c r="S498" s="16">
        <v>8.81</v>
      </c>
      <c r="T498" s="15">
        <v>66794701</v>
      </c>
      <c r="U498" s="17">
        <v>45603</v>
      </c>
      <c r="V498" s="15" t="str">
        <f t="shared" si="21"/>
        <v>Complete</v>
      </c>
    </row>
    <row r="499" spans="1:22" ht="14.5" customHeight="1" x14ac:dyDescent="0.35">
      <c r="A499" s="18" t="s">
        <v>7406</v>
      </c>
      <c r="B499" s="18" t="s">
        <v>7128</v>
      </c>
      <c r="C499" s="18" t="s">
        <v>3378</v>
      </c>
      <c r="D499" s="18" t="s">
        <v>3379</v>
      </c>
      <c r="E499" s="18" t="s">
        <v>13</v>
      </c>
      <c r="F499" s="15" t="str">
        <f t="shared" si="22"/>
        <v>Male</v>
      </c>
      <c r="G499" s="18" t="s">
        <v>3380</v>
      </c>
      <c r="H499" s="18" t="s">
        <v>3381</v>
      </c>
      <c r="I499" s="18">
        <v>498</v>
      </c>
      <c r="J499" s="18">
        <v>498</v>
      </c>
      <c r="K499" s="18" t="s">
        <v>5</v>
      </c>
      <c r="L499" s="18" t="s">
        <v>3382</v>
      </c>
      <c r="M499" s="18" t="s">
        <v>3383</v>
      </c>
      <c r="N499" s="18" t="s">
        <v>8</v>
      </c>
      <c r="O499" s="18" t="s">
        <v>2468</v>
      </c>
      <c r="P499" s="18" t="s">
        <v>3384</v>
      </c>
      <c r="Q499" s="22">
        <f t="shared" si="23"/>
        <v>14160000000</v>
      </c>
      <c r="R499" s="18">
        <v>250.57</v>
      </c>
      <c r="S499" s="19">
        <v>8.15</v>
      </c>
      <c r="T499" s="18">
        <v>25809202</v>
      </c>
      <c r="U499" s="20">
        <v>44655</v>
      </c>
      <c r="V499" s="18" t="str">
        <f t="shared" si="21"/>
        <v>Complete</v>
      </c>
    </row>
    <row r="500" spans="1:22" ht="14.5" customHeight="1" x14ac:dyDescent="0.35">
      <c r="A500" s="15" t="s">
        <v>7407</v>
      </c>
      <c r="B500" s="15" t="s">
        <v>7408</v>
      </c>
      <c r="C500" s="15" t="s">
        <v>3385</v>
      </c>
      <c r="D500" s="15" t="s">
        <v>3386</v>
      </c>
      <c r="E500" s="15" t="s">
        <v>2</v>
      </c>
      <c r="F500" s="15" t="str">
        <f t="shared" si="22"/>
        <v>Female</v>
      </c>
      <c r="G500" s="15" t="s">
        <v>3387</v>
      </c>
      <c r="H500" s="15" t="s">
        <v>3388</v>
      </c>
      <c r="I500" s="15">
        <v>499</v>
      </c>
      <c r="J500" s="15">
        <v>499</v>
      </c>
      <c r="K500" s="15" t="s">
        <v>5</v>
      </c>
      <c r="L500" s="15" t="s">
        <v>3389</v>
      </c>
      <c r="M500" s="15" t="s">
        <v>3390</v>
      </c>
      <c r="N500" s="15" t="s">
        <v>48</v>
      </c>
      <c r="O500" s="15" t="s">
        <v>57</v>
      </c>
      <c r="P500" s="15" t="s">
        <v>3391</v>
      </c>
      <c r="Q500" s="22">
        <f t="shared" si="23"/>
        <v>60410000</v>
      </c>
      <c r="R500" s="15">
        <v>245.28</v>
      </c>
      <c r="S500" s="16">
        <v>-0.61</v>
      </c>
      <c r="T500" s="15">
        <v>86396768</v>
      </c>
      <c r="U500" s="17">
        <v>44327</v>
      </c>
      <c r="V500" s="15" t="str">
        <f t="shared" si="21"/>
        <v>Complete</v>
      </c>
    </row>
    <row r="501" spans="1:22" ht="14.5" customHeight="1" x14ac:dyDescent="0.35">
      <c r="A501" s="18" t="s">
        <v>7409</v>
      </c>
      <c r="B501" s="18" t="s">
        <v>6958</v>
      </c>
      <c r="C501" s="18" t="s">
        <v>1676</v>
      </c>
      <c r="D501" s="18" t="s">
        <v>3392</v>
      </c>
      <c r="E501" s="18" t="s">
        <v>2</v>
      </c>
      <c r="F501" s="15" t="str">
        <f t="shared" si="22"/>
        <v>Female</v>
      </c>
      <c r="G501" s="18" t="s">
        <v>3393</v>
      </c>
      <c r="H501" s="18" t="s">
        <v>3394</v>
      </c>
      <c r="I501" s="18">
        <v>500</v>
      </c>
      <c r="J501" s="18">
        <v>500</v>
      </c>
      <c r="K501" s="18" t="s">
        <v>5</v>
      </c>
      <c r="L501" s="18" t="s">
        <v>3395</v>
      </c>
      <c r="M501" s="18" t="s">
        <v>3396</v>
      </c>
      <c r="N501" s="18" t="s">
        <v>99</v>
      </c>
      <c r="O501" s="18" t="s">
        <v>3397</v>
      </c>
      <c r="P501" s="18" t="s">
        <v>3398</v>
      </c>
      <c r="Q501" s="22">
        <f t="shared" si="23"/>
        <v>14070000</v>
      </c>
      <c r="R501" s="18">
        <v>429.96</v>
      </c>
      <c r="S501" s="19">
        <v>-3.12</v>
      </c>
      <c r="T501" s="18">
        <v>98114797</v>
      </c>
      <c r="U501" s="20">
        <v>45677</v>
      </c>
      <c r="V501" s="18" t="str">
        <f t="shared" si="21"/>
        <v>Complete</v>
      </c>
    </row>
    <row r="502" spans="1:22" ht="14.5" customHeight="1" x14ac:dyDescent="0.35">
      <c r="A502" s="15" t="s">
        <v>7410</v>
      </c>
      <c r="B502" s="15" t="s">
        <v>6847</v>
      </c>
      <c r="C502" s="15" t="s">
        <v>3399</v>
      </c>
      <c r="D502" s="15" t="s">
        <v>3400</v>
      </c>
      <c r="E502" s="15" t="s">
        <v>2</v>
      </c>
      <c r="F502" s="15" t="str">
        <f t="shared" si="22"/>
        <v>Female</v>
      </c>
      <c r="G502" s="15" t="s">
        <v>3401</v>
      </c>
      <c r="H502" s="15" t="s">
        <v>3402</v>
      </c>
      <c r="I502" s="15">
        <v>501</v>
      </c>
      <c r="J502" s="15">
        <v>501</v>
      </c>
      <c r="K502" s="15" t="s">
        <v>5</v>
      </c>
      <c r="L502" s="15" t="s">
        <v>3403</v>
      </c>
      <c r="M502" s="15" t="s">
        <v>3404</v>
      </c>
      <c r="N502" s="15" t="s">
        <v>8</v>
      </c>
      <c r="O502" s="15" t="s">
        <v>26</v>
      </c>
      <c r="P502" s="15" t="s">
        <v>3405</v>
      </c>
      <c r="Q502" s="22">
        <f t="shared" si="23"/>
        <v>1900000000</v>
      </c>
      <c r="R502" s="15">
        <v>494.64</v>
      </c>
      <c r="S502" s="16">
        <v>6.06</v>
      </c>
      <c r="T502" s="15">
        <v>173952598</v>
      </c>
      <c r="U502" s="17">
        <v>45766</v>
      </c>
      <c r="V502" s="15" t="str">
        <f t="shared" si="21"/>
        <v>Complete</v>
      </c>
    </row>
    <row r="503" spans="1:22" ht="14.5" customHeight="1" x14ac:dyDescent="0.35">
      <c r="A503" s="18" t="s">
        <v>7411</v>
      </c>
      <c r="B503" s="18" t="s">
        <v>7412</v>
      </c>
      <c r="C503" s="18" t="s">
        <v>3406</v>
      </c>
      <c r="D503" s="18" t="s">
        <v>3407</v>
      </c>
      <c r="E503" s="18" t="s">
        <v>13</v>
      </c>
      <c r="F503" s="15" t="str">
        <f t="shared" si="22"/>
        <v>Male</v>
      </c>
      <c r="G503" s="18" t="s">
        <v>3408</v>
      </c>
      <c r="H503" s="18" t="s">
        <v>3409</v>
      </c>
      <c r="I503" s="18">
        <v>502</v>
      </c>
      <c r="J503" s="18">
        <v>502</v>
      </c>
      <c r="K503" s="18" t="s">
        <v>5</v>
      </c>
      <c r="L503" s="18" t="s">
        <v>3410</v>
      </c>
      <c r="M503" s="18" t="s">
        <v>3411</v>
      </c>
      <c r="N503" s="18" t="s">
        <v>8</v>
      </c>
      <c r="O503" s="18" t="s">
        <v>9</v>
      </c>
      <c r="P503" s="18" t="s">
        <v>3412</v>
      </c>
      <c r="Q503" s="22">
        <f t="shared" si="23"/>
        <v>143330000</v>
      </c>
      <c r="R503" s="18">
        <v>183.94</v>
      </c>
      <c r="S503" s="19">
        <v>-11.61</v>
      </c>
      <c r="T503" s="18">
        <v>4749352</v>
      </c>
      <c r="U503" s="20">
        <v>44590</v>
      </c>
      <c r="V503" s="18" t="str">
        <f t="shared" si="21"/>
        <v>Complete</v>
      </c>
    </row>
    <row r="504" spans="1:22" ht="14.5" customHeight="1" x14ac:dyDescent="0.35">
      <c r="A504" s="15" t="s">
        <v>7413</v>
      </c>
      <c r="B504" s="15" t="s">
        <v>7083</v>
      </c>
      <c r="C504" s="15" t="s">
        <v>3413</v>
      </c>
      <c r="D504" s="15" t="s">
        <v>3414</v>
      </c>
      <c r="E504" s="15" t="s">
        <v>2</v>
      </c>
      <c r="F504" s="15" t="str">
        <f t="shared" si="22"/>
        <v>Female</v>
      </c>
      <c r="G504" s="15" t="s">
        <v>3415</v>
      </c>
      <c r="H504" s="15" t="s">
        <v>3416</v>
      </c>
      <c r="I504" s="15">
        <v>503</v>
      </c>
      <c r="J504" s="15">
        <v>503</v>
      </c>
      <c r="K504" s="15" t="s">
        <v>5</v>
      </c>
      <c r="L504" s="15" t="s">
        <v>3417</v>
      </c>
      <c r="M504" s="15" t="s">
        <v>3418</v>
      </c>
      <c r="N504" s="15" t="s">
        <v>8</v>
      </c>
      <c r="O504" s="15" t="s">
        <v>9</v>
      </c>
      <c r="P504" s="15" t="s">
        <v>3419</v>
      </c>
      <c r="Q504" s="22">
        <f t="shared" si="23"/>
        <v>7180000</v>
      </c>
      <c r="R504" s="15">
        <v>349.79</v>
      </c>
      <c r="S504" s="16">
        <v>-11.48</v>
      </c>
      <c r="T504" s="15">
        <v>153740727</v>
      </c>
      <c r="U504" s="17">
        <v>44673</v>
      </c>
      <c r="V504" s="15" t="str">
        <f t="shared" si="21"/>
        <v>Complete</v>
      </c>
    </row>
    <row r="505" spans="1:22" ht="14.5" customHeight="1" x14ac:dyDescent="0.35">
      <c r="A505" s="18" t="s">
        <v>7414</v>
      </c>
      <c r="B505" s="18" t="s">
        <v>6805</v>
      </c>
      <c r="C505" s="18" t="s">
        <v>3420</v>
      </c>
      <c r="D505" s="18" t="s">
        <v>3421</v>
      </c>
      <c r="E505" s="18" t="s">
        <v>13</v>
      </c>
      <c r="F505" s="15" t="str">
        <f t="shared" si="22"/>
        <v>Male</v>
      </c>
      <c r="G505" s="18" t="s">
        <v>3422</v>
      </c>
      <c r="H505" s="18" t="s">
        <v>3423</v>
      </c>
      <c r="I505" s="18">
        <v>504</v>
      </c>
      <c r="J505" s="18">
        <v>504</v>
      </c>
      <c r="K505" s="18" t="s">
        <v>32</v>
      </c>
      <c r="L505" s="18" t="s">
        <v>3424</v>
      </c>
      <c r="M505" s="18" t="s">
        <v>3425</v>
      </c>
      <c r="N505" s="18" t="s">
        <v>117</v>
      </c>
      <c r="O505" s="18" t="s">
        <v>3426</v>
      </c>
      <c r="P505" s="18" t="s">
        <v>3427</v>
      </c>
      <c r="Q505" s="22">
        <f t="shared" si="23"/>
        <v>742650000</v>
      </c>
      <c r="R505" s="18">
        <v>919.51</v>
      </c>
      <c r="S505" s="19">
        <v>7.75</v>
      </c>
      <c r="T505" s="18">
        <v>7144668</v>
      </c>
      <c r="U505" s="20">
        <v>44017</v>
      </c>
      <c r="V505" s="18" t="str">
        <f t="shared" si="21"/>
        <v>Complete</v>
      </c>
    </row>
    <row r="506" spans="1:22" ht="14.5" customHeight="1" x14ac:dyDescent="0.35">
      <c r="A506" s="15" t="s">
        <v>7415</v>
      </c>
      <c r="B506" s="15" t="s">
        <v>7416</v>
      </c>
      <c r="C506" s="15" t="s">
        <v>3428</v>
      </c>
      <c r="D506" s="15" t="s">
        <v>3429</v>
      </c>
      <c r="E506" s="15" t="s">
        <v>13</v>
      </c>
      <c r="F506" s="15" t="str">
        <f t="shared" si="22"/>
        <v>Male</v>
      </c>
      <c r="G506" s="15" t="s">
        <v>3430</v>
      </c>
      <c r="H506" s="15" t="s">
        <v>3431</v>
      </c>
      <c r="I506" s="15">
        <v>505</v>
      </c>
      <c r="J506" s="15">
        <v>505</v>
      </c>
      <c r="K506" s="15" t="s">
        <v>32</v>
      </c>
      <c r="L506" s="15" t="s">
        <v>3432</v>
      </c>
      <c r="M506" s="15" t="s">
        <v>3433</v>
      </c>
      <c r="N506" s="15" t="s">
        <v>189</v>
      </c>
      <c r="O506" s="15" t="s">
        <v>1269</v>
      </c>
      <c r="P506" s="15" t="s">
        <v>3434</v>
      </c>
      <c r="Q506" s="22">
        <f t="shared" si="23"/>
        <v>64879999.999999993</v>
      </c>
      <c r="R506" s="15">
        <v>292.70999999999998</v>
      </c>
      <c r="S506" s="16">
        <v>16.28</v>
      </c>
      <c r="T506" s="15">
        <v>97835740</v>
      </c>
      <c r="U506" s="17">
        <v>45095</v>
      </c>
      <c r="V506" s="15" t="str">
        <f t="shared" si="21"/>
        <v>Complete</v>
      </c>
    </row>
    <row r="507" spans="1:22" ht="14.5" customHeight="1" x14ac:dyDescent="0.35">
      <c r="A507" s="18" t="s">
        <v>7417</v>
      </c>
      <c r="B507" s="18" t="s">
        <v>6773</v>
      </c>
      <c r="C507" s="18" t="s">
        <v>3435</v>
      </c>
      <c r="D507" s="18" t="s">
        <v>3436</v>
      </c>
      <c r="E507" s="18" t="s">
        <v>13</v>
      </c>
      <c r="F507" s="15" t="str">
        <f t="shared" si="22"/>
        <v>Male</v>
      </c>
      <c r="G507" s="18" t="s">
        <v>3437</v>
      </c>
      <c r="H507" s="18" t="s">
        <v>3438</v>
      </c>
      <c r="I507" s="18">
        <v>506</v>
      </c>
      <c r="J507" s="18">
        <v>506</v>
      </c>
      <c r="K507" s="18" t="s">
        <v>5</v>
      </c>
      <c r="L507" s="18" t="s">
        <v>3439</v>
      </c>
      <c r="M507" s="18" t="s">
        <v>3440</v>
      </c>
      <c r="N507" s="18" t="s">
        <v>99</v>
      </c>
      <c r="O507" s="18" t="s">
        <v>380</v>
      </c>
      <c r="P507" s="18" t="s">
        <v>3441</v>
      </c>
      <c r="Q507" s="22">
        <f t="shared" si="23"/>
        <v>2089999999.9999998</v>
      </c>
      <c r="R507" s="18">
        <v>1831.04</v>
      </c>
      <c r="S507" s="19">
        <v>5.89</v>
      </c>
      <c r="T507" s="18">
        <v>111507209</v>
      </c>
      <c r="U507" s="20">
        <v>44308</v>
      </c>
      <c r="V507" s="18" t="str">
        <f t="shared" si="21"/>
        <v>Complete</v>
      </c>
    </row>
    <row r="508" spans="1:22" ht="14.5" customHeight="1" x14ac:dyDescent="0.35">
      <c r="A508" s="15" t="s">
        <v>7418</v>
      </c>
      <c r="B508" s="15" t="s">
        <v>7419</v>
      </c>
      <c r="C508" s="15" t="s">
        <v>3442</v>
      </c>
      <c r="D508" s="15" t="s">
        <v>3443</v>
      </c>
      <c r="E508" s="15" t="s">
        <v>13</v>
      </c>
      <c r="F508" s="15" t="str">
        <f t="shared" si="22"/>
        <v>Male</v>
      </c>
      <c r="G508" s="15" t="s">
        <v>3444</v>
      </c>
      <c r="H508" s="15" t="s">
        <v>3445</v>
      </c>
      <c r="I508" s="15">
        <v>507</v>
      </c>
      <c r="J508" s="15">
        <v>507</v>
      </c>
      <c r="K508" s="15" t="s">
        <v>5</v>
      </c>
      <c r="L508" s="15" t="s">
        <v>3446</v>
      </c>
      <c r="M508" s="15" t="s">
        <v>3447</v>
      </c>
      <c r="N508" s="15" t="s">
        <v>48</v>
      </c>
      <c r="O508" s="15" t="s">
        <v>49</v>
      </c>
      <c r="P508" s="15" t="s">
        <v>8033</v>
      </c>
      <c r="Q508" s="22">
        <f t="shared" si="23"/>
        <v>0</v>
      </c>
      <c r="R508" s="15">
        <v>48.44</v>
      </c>
      <c r="S508" s="16">
        <v>2.66</v>
      </c>
      <c r="T508" s="15">
        <v>40932709</v>
      </c>
      <c r="U508" s="17">
        <v>46323</v>
      </c>
      <c r="V508" s="15" t="str">
        <f t="shared" si="21"/>
        <v>Missing</v>
      </c>
    </row>
    <row r="509" spans="1:22" ht="14.5" customHeight="1" x14ac:dyDescent="0.35">
      <c r="A509" s="18" t="s">
        <v>7420</v>
      </c>
      <c r="B509" s="18" t="s">
        <v>7231</v>
      </c>
      <c r="C509" s="18" t="s">
        <v>3448</v>
      </c>
      <c r="D509" s="18" t="s">
        <v>3449</v>
      </c>
      <c r="E509" s="18" t="s">
        <v>13</v>
      </c>
      <c r="F509" s="15" t="str">
        <f t="shared" si="22"/>
        <v>Male</v>
      </c>
      <c r="G509" s="18" t="s">
        <v>3450</v>
      </c>
      <c r="H509" s="18" t="s">
        <v>3451</v>
      </c>
      <c r="I509" s="18">
        <v>508</v>
      </c>
      <c r="J509" s="18">
        <v>508</v>
      </c>
      <c r="K509" s="18" t="s">
        <v>5</v>
      </c>
      <c r="L509" s="18" t="s">
        <v>3452</v>
      </c>
      <c r="M509" s="18" t="s">
        <v>3453</v>
      </c>
      <c r="N509" s="18" t="s">
        <v>48</v>
      </c>
      <c r="O509" s="18" t="s">
        <v>484</v>
      </c>
      <c r="P509" s="18" t="s">
        <v>3454</v>
      </c>
      <c r="Q509" s="22">
        <f t="shared" si="23"/>
        <v>77630000</v>
      </c>
      <c r="R509" s="18">
        <v>1618.56</v>
      </c>
      <c r="S509" s="19">
        <v>14.13</v>
      </c>
      <c r="T509" s="18">
        <v>131419398</v>
      </c>
      <c r="U509" s="20">
        <v>44588</v>
      </c>
      <c r="V509" s="18" t="str">
        <f t="shared" si="21"/>
        <v>Complete</v>
      </c>
    </row>
    <row r="510" spans="1:22" ht="14.5" customHeight="1" x14ac:dyDescent="0.35">
      <c r="A510" s="15" t="s">
        <v>7421</v>
      </c>
      <c r="B510" s="15" t="s">
        <v>7422</v>
      </c>
      <c r="C510" s="15" t="s">
        <v>3455</v>
      </c>
      <c r="D510" s="15" t="s">
        <v>3456</v>
      </c>
      <c r="E510" s="15" t="s">
        <v>2</v>
      </c>
      <c r="F510" s="15" t="str">
        <f t="shared" si="22"/>
        <v>Female</v>
      </c>
      <c r="G510" s="15" t="s">
        <v>3457</v>
      </c>
      <c r="H510" s="15" t="s">
        <v>3458</v>
      </c>
      <c r="I510" s="15">
        <v>509</v>
      </c>
      <c r="J510" s="15">
        <v>509</v>
      </c>
      <c r="K510" s="15" t="s">
        <v>32</v>
      </c>
      <c r="L510" s="15" t="s">
        <v>3459</v>
      </c>
      <c r="M510" s="15" t="s">
        <v>3460</v>
      </c>
      <c r="N510" s="15" t="s">
        <v>48</v>
      </c>
      <c r="O510" s="15" t="s">
        <v>49</v>
      </c>
      <c r="P510" s="15" t="s">
        <v>3461</v>
      </c>
      <c r="Q510" s="22">
        <f t="shared" si="23"/>
        <v>1720000000</v>
      </c>
      <c r="R510" s="15">
        <v>367.62</v>
      </c>
      <c r="S510" s="16">
        <v>-13.07</v>
      </c>
      <c r="T510" s="15">
        <v>6859300</v>
      </c>
      <c r="U510" s="17">
        <v>46293</v>
      </c>
      <c r="V510" s="15" t="str">
        <f t="shared" si="21"/>
        <v>Complete</v>
      </c>
    </row>
    <row r="511" spans="1:22" ht="14.5" customHeight="1" x14ac:dyDescent="0.35">
      <c r="A511" s="18" t="s">
        <v>7423</v>
      </c>
      <c r="B511" s="18" t="s">
        <v>6593</v>
      </c>
      <c r="C511" s="18" t="s">
        <v>3462</v>
      </c>
      <c r="D511" s="18" t="s">
        <v>3463</v>
      </c>
      <c r="E511" s="18" t="s">
        <v>13</v>
      </c>
      <c r="F511" s="15" t="str">
        <f t="shared" si="22"/>
        <v>Male</v>
      </c>
      <c r="G511" s="18" t="s">
        <v>3464</v>
      </c>
      <c r="H511" s="18" t="s">
        <v>3465</v>
      </c>
      <c r="I511" s="18">
        <v>510</v>
      </c>
      <c r="J511" s="18">
        <v>510</v>
      </c>
      <c r="K511" s="18" t="s">
        <v>5</v>
      </c>
      <c r="L511" s="18" t="s">
        <v>3042</v>
      </c>
      <c r="M511" s="18" t="s">
        <v>3043</v>
      </c>
      <c r="N511" s="18" t="s">
        <v>134</v>
      </c>
      <c r="O511" s="18" t="s">
        <v>135</v>
      </c>
      <c r="P511" s="18" t="s">
        <v>3044</v>
      </c>
      <c r="Q511" s="22">
        <f t="shared" si="23"/>
        <v>371610000</v>
      </c>
      <c r="R511" s="18">
        <v>1198.24</v>
      </c>
      <c r="S511" s="19">
        <v>-19.05</v>
      </c>
      <c r="T511" s="18">
        <v>161935506</v>
      </c>
      <c r="U511" s="20">
        <v>44409</v>
      </c>
      <c r="V511" s="18" t="str">
        <f t="shared" si="21"/>
        <v>Complete</v>
      </c>
    </row>
    <row r="512" spans="1:22" ht="14.5" customHeight="1" x14ac:dyDescent="0.35">
      <c r="A512" s="15" t="s">
        <v>7424</v>
      </c>
      <c r="B512" s="15" t="s">
        <v>6692</v>
      </c>
      <c r="C512" s="15" t="s">
        <v>3466</v>
      </c>
      <c r="D512" s="15" t="s">
        <v>3467</v>
      </c>
      <c r="E512" s="15" t="s">
        <v>2</v>
      </c>
      <c r="F512" s="15" t="str">
        <f t="shared" si="22"/>
        <v>Female</v>
      </c>
      <c r="G512" s="15" t="s">
        <v>3468</v>
      </c>
      <c r="H512" s="15" t="s">
        <v>3469</v>
      </c>
      <c r="I512" s="15">
        <v>511</v>
      </c>
      <c r="J512" s="15">
        <v>511</v>
      </c>
      <c r="K512" s="15" t="s">
        <v>5</v>
      </c>
      <c r="L512" s="15" t="s">
        <v>3470</v>
      </c>
      <c r="M512" s="15" t="s">
        <v>3471</v>
      </c>
      <c r="N512" s="15" t="s">
        <v>99</v>
      </c>
      <c r="O512" s="15" t="s">
        <v>3472</v>
      </c>
      <c r="P512" s="15" t="s">
        <v>3473</v>
      </c>
      <c r="Q512" s="22">
        <f t="shared" si="23"/>
        <v>542670000</v>
      </c>
      <c r="R512" s="15">
        <v>1814.63</v>
      </c>
      <c r="S512" s="16">
        <v>3.85</v>
      </c>
      <c r="T512" s="15">
        <v>66175095</v>
      </c>
      <c r="U512" s="17">
        <v>43951</v>
      </c>
      <c r="V512" s="15" t="str">
        <f t="shared" si="21"/>
        <v>Complete</v>
      </c>
    </row>
    <row r="513" spans="1:22" ht="14.5" customHeight="1" x14ac:dyDescent="0.35">
      <c r="A513" s="18" t="s">
        <v>7425</v>
      </c>
      <c r="B513" s="18" t="s">
        <v>7426</v>
      </c>
      <c r="C513" s="18" t="s">
        <v>3474</v>
      </c>
      <c r="D513" s="18" t="s">
        <v>3475</v>
      </c>
      <c r="E513" s="18" t="s">
        <v>2</v>
      </c>
      <c r="F513" s="15" t="str">
        <f t="shared" si="22"/>
        <v>Female</v>
      </c>
      <c r="G513" s="18" t="s">
        <v>3476</v>
      </c>
      <c r="H513" s="18" t="s">
        <v>3477</v>
      </c>
      <c r="I513" s="18">
        <v>512</v>
      </c>
      <c r="J513" s="18">
        <v>512</v>
      </c>
      <c r="K513" s="18" t="s">
        <v>32</v>
      </c>
      <c r="L513" s="18" t="s">
        <v>3478</v>
      </c>
      <c r="M513" s="18" t="s">
        <v>3479</v>
      </c>
      <c r="N513" s="18" t="s">
        <v>8033</v>
      </c>
      <c r="O513" s="18" t="s">
        <v>8033</v>
      </c>
      <c r="P513" s="18" t="s">
        <v>8033</v>
      </c>
      <c r="Q513" s="22">
        <f t="shared" si="23"/>
        <v>0</v>
      </c>
      <c r="R513" s="18">
        <v>645.4</v>
      </c>
      <c r="S513" s="19">
        <v>-18.66</v>
      </c>
      <c r="T513" s="18">
        <v>146127701</v>
      </c>
      <c r="U513" s="20">
        <v>45251</v>
      </c>
      <c r="V513" s="18" t="str">
        <f t="shared" si="21"/>
        <v>Missing</v>
      </c>
    </row>
    <row r="514" spans="1:22" ht="14.5" customHeight="1" x14ac:dyDescent="0.35">
      <c r="A514" s="15" t="s">
        <v>7427</v>
      </c>
      <c r="B514" s="15" t="s">
        <v>6591</v>
      </c>
      <c r="C514" s="15" t="s">
        <v>3480</v>
      </c>
      <c r="D514" s="15" t="s">
        <v>3481</v>
      </c>
      <c r="E514" s="15" t="s">
        <v>2</v>
      </c>
      <c r="F514" s="15" t="str">
        <f t="shared" si="22"/>
        <v>Female</v>
      </c>
      <c r="G514" s="15" t="s">
        <v>3482</v>
      </c>
      <c r="H514" s="15" t="s">
        <v>3483</v>
      </c>
      <c r="I514" s="15">
        <v>513</v>
      </c>
      <c r="J514" s="15">
        <v>513</v>
      </c>
      <c r="K514" s="15" t="s">
        <v>5</v>
      </c>
      <c r="L514" s="15" t="s">
        <v>3484</v>
      </c>
      <c r="M514" s="15" t="s">
        <v>3485</v>
      </c>
      <c r="N514" s="15" t="s">
        <v>66</v>
      </c>
      <c r="O514" s="15" t="s">
        <v>181</v>
      </c>
      <c r="P514" s="15" t="s">
        <v>3486</v>
      </c>
      <c r="Q514" s="22">
        <f t="shared" si="23"/>
        <v>2060000000</v>
      </c>
      <c r="R514" s="15">
        <v>585.22</v>
      </c>
      <c r="S514" s="16">
        <v>6.24</v>
      </c>
      <c r="T514" s="15">
        <v>53006342</v>
      </c>
      <c r="U514" s="17">
        <v>45131</v>
      </c>
      <c r="V514" s="15" t="str">
        <f t="shared" ref="V514:V577" si="24">IF(OR(N:N="n/a", O:O="n/a", P:P="n/a"), "Missing", "Complete")</f>
        <v>Complete</v>
      </c>
    </row>
    <row r="515" spans="1:22" ht="14.5" customHeight="1" x14ac:dyDescent="0.35">
      <c r="A515" s="18" t="s">
        <v>7428</v>
      </c>
      <c r="B515" s="18" t="s">
        <v>7429</v>
      </c>
      <c r="C515" s="18" t="s">
        <v>1902</v>
      </c>
      <c r="D515" s="18" t="s">
        <v>3487</v>
      </c>
      <c r="E515" s="18" t="s">
        <v>2</v>
      </c>
      <c r="F515" s="15" t="str">
        <f t="shared" ref="F515:F578" si="25">IF(OR(E515="female", E515="male"), PROPER(E515), "Other")</f>
        <v>Female</v>
      </c>
      <c r="G515" s="18" t="s">
        <v>3488</v>
      </c>
      <c r="H515" s="18" t="s">
        <v>3489</v>
      </c>
      <c r="I515" s="18">
        <v>514</v>
      </c>
      <c r="J515" s="18">
        <v>514</v>
      </c>
      <c r="K515" s="18" t="s">
        <v>32</v>
      </c>
      <c r="L515" s="18" t="s">
        <v>3490</v>
      </c>
      <c r="M515" s="18" t="s">
        <v>3491</v>
      </c>
      <c r="N515" s="18" t="s">
        <v>142</v>
      </c>
      <c r="O515" s="18" t="s">
        <v>3158</v>
      </c>
      <c r="P515" s="18" t="s">
        <v>3492</v>
      </c>
      <c r="Q515" s="22">
        <f t="shared" ref="Q515:Q578" si="26">IF(P515="n/a", 0, IF(RIGHT(P515, 1)="B", VALUE(MID(P515, 2, LEN(P515)-2)*1000000000), VALUE(MID(P515, 2, LEN(P515)-2)*1000000)))</f>
        <v>95290000000</v>
      </c>
      <c r="R515" s="18">
        <v>1251.94</v>
      </c>
      <c r="S515" s="19">
        <v>-13.46</v>
      </c>
      <c r="T515" s="18">
        <v>82164637</v>
      </c>
      <c r="U515" s="20">
        <v>45062</v>
      </c>
      <c r="V515" s="18" t="str">
        <f t="shared" si="24"/>
        <v>Complete</v>
      </c>
    </row>
    <row r="516" spans="1:22" ht="14.5" customHeight="1" x14ac:dyDescent="0.35">
      <c r="A516" s="15" t="s">
        <v>7430</v>
      </c>
      <c r="B516" s="15" t="s">
        <v>7311</v>
      </c>
      <c r="C516" s="15" t="s">
        <v>3493</v>
      </c>
      <c r="D516" s="15" t="s">
        <v>3494</v>
      </c>
      <c r="E516" s="15" t="s">
        <v>13</v>
      </c>
      <c r="F516" s="15" t="str">
        <f t="shared" si="25"/>
        <v>Male</v>
      </c>
      <c r="G516" s="15" t="s">
        <v>3495</v>
      </c>
      <c r="H516" s="15" t="s">
        <v>3496</v>
      </c>
      <c r="I516" s="15">
        <v>515</v>
      </c>
      <c r="J516" s="15">
        <v>515</v>
      </c>
      <c r="K516" s="15" t="s">
        <v>32</v>
      </c>
      <c r="L516" s="15" t="s">
        <v>3497</v>
      </c>
      <c r="M516" s="15" t="s">
        <v>2382</v>
      </c>
      <c r="N516" s="15" t="s">
        <v>8033</v>
      </c>
      <c r="O516" s="15" t="s">
        <v>8033</v>
      </c>
      <c r="P516" s="15" t="s">
        <v>8033</v>
      </c>
      <c r="Q516" s="22">
        <f t="shared" si="26"/>
        <v>0</v>
      </c>
      <c r="R516" s="15">
        <v>1587.22</v>
      </c>
      <c r="S516" s="16">
        <v>12.56</v>
      </c>
      <c r="T516" s="15">
        <v>30743414</v>
      </c>
      <c r="U516" s="17">
        <v>45250</v>
      </c>
      <c r="V516" s="15" t="str">
        <f t="shared" si="24"/>
        <v>Missing</v>
      </c>
    </row>
    <row r="517" spans="1:22" ht="14.5" customHeight="1" x14ac:dyDescent="0.35">
      <c r="A517" s="18" t="s">
        <v>7431</v>
      </c>
      <c r="B517" s="18" t="s">
        <v>7432</v>
      </c>
      <c r="C517" s="18" t="s">
        <v>3498</v>
      </c>
      <c r="D517" s="18" t="s">
        <v>3499</v>
      </c>
      <c r="E517" s="18" t="s">
        <v>2</v>
      </c>
      <c r="F517" s="15" t="str">
        <f t="shared" si="25"/>
        <v>Female</v>
      </c>
      <c r="G517" s="18" t="s">
        <v>3500</v>
      </c>
      <c r="H517" s="18" t="s">
        <v>3501</v>
      </c>
      <c r="I517" s="18">
        <v>516</v>
      </c>
      <c r="J517" s="18">
        <v>516</v>
      </c>
      <c r="K517" s="18" t="s">
        <v>5</v>
      </c>
      <c r="L517" s="18" t="s">
        <v>3502</v>
      </c>
      <c r="M517" s="18" t="s">
        <v>3503</v>
      </c>
      <c r="N517" s="18" t="s">
        <v>117</v>
      </c>
      <c r="O517" s="18" t="s">
        <v>118</v>
      </c>
      <c r="P517" s="18" t="s">
        <v>3504</v>
      </c>
      <c r="Q517" s="22">
        <f t="shared" si="26"/>
        <v>126390000</v>
      </c>
      <c r="R517" s="18">
        <v>1184.6300000000001</v>
      </c>
      <c r="S517" s="19">
        <v>8.08</v>
      </c>
      <c r="T517" s="18">
        <v>74443833</v>
      </c>
      <c r="U517" s="20">
        <v>44988</v>
      </c>
      <c r="V517" s="18" t="str">
        <f t="shared" si="24"/>
        <v>Complete</v>
      </c>
    </row>
    <row r="518" spans="1:22" ht="14.5" customHeight="1" x14ac:dyDescent="0.35">
      <c r="A518" s="15" t="s">
        <v>7433</v>
      </c>
      <c r="B518" s="15" t="s">
        <v>7022</v>
      </c>
      <c r="C518" s="15" t="s">
        <v>3505</v>
      </c>
      <c r="D518" s="15" t="s">
        <v>3506</v>
      </c>
      <c r="E518" s="15" t="s">
        <v>2</v>
      </c>
      <c r="F518" s="15" t="str">
        <f t="shared" si="25"/>
        <v>Female</v>
      </c>
      <c r="G518" s="15" t="s">
        <v>3507</v>
      </c>
      <c r="H518" s="15" t="s">
        <v>3508</v>
      </c>
      <c r="I518" s="15">
        <v>517</v>
      </c>
      <c r="J518" s="15">
        <v>517</v>
      </c>
      <c r="K518" s="15" t="s">
        <v>32</v>
      </c>
      <c r="L518" s="15" t="s">
        <v>378</v>
      </c>
      <c r="M518" s="15" t="s">
        <v>379</v>
      </c>
      <c r="N518" s="15" t="s">
        <v>99</v>
      </c>
      <c r="O518" s="15" t="s">
        <v>380</v>
      </c>
      <c r="P518" s="15" t="s">
        <v>381</v>
      </c>
      <c r="Q518" s="22">
        <f t="shared" si="26"/>
        <v>751340000</v>
      </c>
      <c r="R518" s="15">
        <v>114.54</v>
      </c>
      <c r="S518" s="16">
        <v>10.67</v>
      </c>
      <c r="T518" s="15">
        <v>188665582</v>
      </c>
      <c r="U518" s="17">
        <v>44980</v>
      </c>
      <c r="V518" s="15" t="str">
        <f t="shared" si="24"/>
        <v>Complete</v>
      </c>
    </row>
    <row r="519" spans="1:22" ht="14.5" customHeight="1" x14ac:dyDescent="0.35">
      <c r="A519" s="18" t="s">
        <v>7434</v>
      </c>
      <c r="B519" s="18" t="s">
        <v>7376</v>
      </c>
      <c r="C519" s="18" t="s">
        <v>3509</v>
      </c>
      <c r="D519" s="18" t="s">
        <v>3510</v>
      </c>
      <c r="E519" s="18" t="s">
        <v>52</v>
      </c>
      <c r="F519" s="15" t="str">
        <f t="shared" si="25"/>
        <v>Other</v>
      </c>
      <c r="G519" s="18" t="s">
        <v>3511</v>
      </c>
      <c r="H519" s="18" t="s">
        <v>3512</v>
      </c>
      <c r="I519" s="18">
        <v>518</v>
      </c>
      <c r="J519" s="18">
        <v>518</v>
      </c>
      <c r="K519" s="18" t="s">
        <v>5</v>
      </c>
      <c r="L519" s="18" t="s">
        <v>3513</v>
      </c>
      <c r="M519" s="18" t="s">
        <v>3514</v>
      </c>
      <c r="N519" s="18" t="s">
        <v>8033</v>
      </c>
      <c r="O519" s="18" t="s">
        <v>8033</v>
      </c>
      <c r="P519" s="18" t="s">
        <v>3515</v>
      </c>
      <c r="Q519" s="22">
        <f t="shared" si="26"/>
        <v>388090000</v>
      </c>
      <c r="R519" s="18">
        <v>1292</v>
      </c>
      <c r="S519" s="19">
        <v>7.06</v>
      </c>
      <c r="T519" s="18">
        <v>119557670</v>
      </c>
      <c r="U519" s="20">
        <v>45523</v>
      </c>
      <c r="V519" s="18" t="str">
        <f t="shared" si="24"/>
        <v>Missing</v>
      </c>
    </row>
    <row r="520" spans="1:22" ht="14.5" customHeight="1" x14ac:dyDescent="0.35">
      <c r="A520" s="15" t="s">
        <v>7435</v>
      </c>
      <c r="B520" s="15" t="s">
        <v>7229</v>
      </c>
      <c r="C520" s="15" t="s">
        <v>3516</v>
      </c>
      <c r="D520" s="15" t="s">
        <v>3517</v>
      </c>
      <c r="E520" s="15" t="s">
        <v>2</v>
      </c>
      <c r="F520" s="15" t="str">
        <f t="shared" si="25"/>
        <v>Female</v>
      </c>
      <c r="G520" s="15" t="s">
        <v>3518</v>
      </c>
      <c r="H520" s="15" t="s">
        <v>3519</v>
      </c>
      <c r="I520" s="15">
        <v>519</v>
      </c>
      <c r="J520" s="15">
        <v>519</v>
      </c>
      <c r="K520" s="15" t="s">
        <v>32</v>
      </c>
      <c r="L520" s="15" t="s">
        <v>3520</v>
      </c>
      <c r="M520" s="15" t="s">
        <v>3521</v>
      </c>
      <c r="N520" s="15" t="s">
        <v>8033</v>
      </c>
      <c r="O520" s="15" t="s">
        <v>8033</v>
      </c>
      <c r="P520" s="15" t="s">
        <v>3522</v>
      </c>
      <c r="Q520" s="22">
        <f t="shared" si="26"/>
        <v>703230000</v>
      </c>
      <c r="R520" s="15">
        <v>1674.29</v>
      </c>
      <c r="S520" s="16">
        <v>-8.69</v>
      </c>
      <c r="T520" s="15">
        <v>17796687</v>
      </c>
      <c r="U520" s="17">
        <v>45851</v>
      </c>
      <c r="V520" s="15" t="str">
        <f t="shared" si="24"/>
        <v>Missing</v>
      </c>
    </row>
    <row r="521" spans="1:22" ht="14.5" customHeight="1" x14ac:dyDescent="0.35">
      <c r="A521" s="18" t="s">
        <v>7436</v>
      </c>
      <c r="B521" s="18" t="s">
        <v>7143</v>
      </c>
      <c r="C521" s="18" t="s">
        <v>3523</v>
      </c>
      <c r="D521" s="18" t="s">
        <v>3524</v>
      </c>
      <c r="E521" s="18" t="s">
        <v>2</v>
      </c>
      <c r="F521" s="15" t="str">
        <f t="shared" si="25"/>
        <v>Female</v>
      </c>
      <c r="G521" s="18" t="s">
        <v>3525</v>
      </c>
      <c r="H521" s="18" t="s">
        <v>3526</v>
      </c>
      <c r="I521" s="18">
        <v>520</v>
      </c>
      <c r="J521" s="18">
        <v>520</v>
      </c>
      <c r="K521" s="18" t="s">
        <v>32</v>
      </c>
      <c r="L521" s="18" t="s">
        <v>3527</v>
      </c>
      <c r="M521" s="18" t="s">
        <v>3528</v>
      </c>
      <c r="N521" s="18" t="s">
        <v>90</v>
      </c>
      <c r="O521" s="18" t="s">
        <v>1261</v>
      </c>
      <c r="P521" s="18" t="s">
        <v>3529</v>
      </c>
      <c r="Q521" s="22">
        <f t="shared" si="26"/>
        <v>5390000000</v>
      </c>
      <c r="R521" s="18">
        <v>1961.75</v>
      </c>
      <c r="S521" s="19">
        <v>11.82</v>
      </c>
      <c r="T521" s="18">
        <v>78973286</v>
      </c>
      <c r="U521" s="20">
        <v>45333</v>
      </c>
      <c r="V521" s="18" t="str">
        <f t="shared" si="24"/>
        <v>Complete</v>
      </c>
    </row>
    <row r="522" spans="1:22" ht="14.5" customHeight="1" x14ac:dyDescent="0.35">
      <c r="A522" s="15" t="s">
        <v>7437</v>
      </c>
      <c r="B522" s="15" t="s">
        <v>7056</v>
      </c>
      <c r="C522" s="15" t="s">
        <v>3530</v>
      </c>
      <c r="D522" s="15" t="s">
        <v>3531</v>
      </c>
      <c r="E522" s="15" t="s">
        <v>13</v>
      </c>
      <c r="F522" s="15" t="str">
        <f t="shared" si="25"/>
        <v>Male</v>
      </c>
      <c r="G522" s="15" t="s">
        <v>3532</v>
      </c>
      <c r="H522" s="15" t="s">
        <v>3533</v>
      </c>
      <c r="I522" s="15">
        <v>521</v>
      </c>
      <c r="J522" s="15">
        <v>521</v>
      </c>
      <c r="K522" s="15" t="s">
        <v>5</v>
      </c>
      <c r="L522" s="15" t="s">
        <v>3534</v>
      </c>
      <c r="M522" s="15" t="s">
        <v>3535</v>
      </c>
      <c r="N522" s="15" t="s">
        <v>48</v>
      </c>
      <c r="O522" s="15" t="s">
        <v>57</v>
      </c>
      <c r="P522" s="15" t="s">
        <v>8033</v>
      </c>
      <c r="Q522" s="22">
        <f t="shared" si="26"/>
        <v>0</v>
      </c>
      <c r="R522" s="15">
        <v>528.39</v>
      </c>
      <c r="S522" s="16">
        <v>-1.49</v>
      </c>
      <c r="T522" s="15">
        <v>137003107</v>
      </c>
      <c r="U522" s="17">
        <v>43878</v>
      </c>
      <c r="V522" s="15" t="str">
        <f t="shared" si="24"/>
        <v>Missing</v>
      </c>
    </row>
    <row r="523" spans="1:22" ht="14.5" customHeight="1" x14ac:dyDescent="0.35">
      <c r="A523" s="18" t="s">
        <v>7438</v>
      </c>
      <c r="B523" s="18" t="s">
        <v>7439</v>
      </c>
      <c r="C523" s="18" t="s">
        <v>3536</v>
      </c>
      <c r="D523" s="18" t="s">
        <v>3537</v>
      </c>
      <c r="E523" s="18" t="s">
        <v>13</v>
      </c>
      <c r="F523" s="15" t="str">
        <f t="shared" si="25"/>
        <v>Male</v>
      </c>
      <c r="G523" s="18" t="s">
        <v>3538</v>
      </c>
      <c r="H523" s="18" t="s">
        <v>3539</v>
      </c>
      <c r="I523" s="18">
        <v>522</v>
      </c>
      <c r="J523" s="18">
        <v>522</v>
      </c>
      <c r="K523" s="18" t="s">
        <v>5</v>
      </c>
      <c r="L523" s="18" t="s">
        <v>3540</v>
      </c>
      <c r="M523" s="18" t="s">
        <v>3541</v>
      </c>
      <c r="N523" s="18" t="s">
        <v>48</v>
      </c>
      <c r="O523" s="18" t="s">
        <v>49</v>
      </c>
      <c r="P523" s="18" t="s">
        <v>3542</v>
      </c>
      <c r="Q523" s="22">
        <f t="shared" si="26"/>
        <v>1180000000</v>
      </c>
      <c r="R523" s="18">
        <v>662.58</v>
      </c>
      <c r="S523" s="19">
        <v>18.23</v>
      </c>
      <c r="T523" s="18">
        <v>100762091</v>
      </c>
      <c r="U523" s="20">
        <v>46027</v>
      </c>
      <c r="V523" s="18" t="str">
        <f t="shared" si="24"/>
        <v>Complete</v>
      </c>
    </row>
    <row r="524" spans="1:22" ht="14.5" customHeight="1" x14ac:dyDescent="0.35">
      <c r="A524" s="15" t="s">
        <v>7440</v>
      </c>
      <c r="B524" s="15" t="s">
        <v>7027</v>
      </c>
      <c r="C524" s="15" t="s">
        <v>2249</v>
      </c>
      <c r="D524" s="15" t="s">
        <v>3543</v>
      </c>
      <c r="E524" s="15" t="s">
        <v>2</v>
      </c>
      <c r="F524" s="15" t="str">
        <f t="shared" si="25"/>
        <v>Female</v>
      </c>
      <c r="G524" s="15" t="s">
        <v>3544</v>
      </c>
      <c r="H524" s="15" t="s">
        <v>3545</v>
      </c>
      <c r="I524" s="15">
        <v>523</v>
      </c>
      <c r="J524" s="15">
        <v>523</v>
      </c>
      <c r="K524" s="15" t="s">
        <v>32</v>
      </c>
      <c r="L524" s="15" t="s">
        <v>3546</v>
      </c>
      <c r="M524" s="15" t="s">
        <v>3547</v>
      </c>
      <c r="N524" s="15" t="s">
        <v>8033</v>
      </c>
      <c r="O524" s="15" t="s">
        <v>8033</v>
      </c>
      <c r="P524" s="15" t="s">
        <v>3441</v>
      </c>
      <c r="Q524" s="22">
        <f t="shared" si="26"/>
        <v>2089999999.9999998</v>
      </c>
      <c r="R524" s="15">
        <v>813.94</v>
      </c>
      <c r="S524" s="16">
        <v>-2.0699999999999998</v>
      </c>
      <c r="T524" s="15">
        <v>136859935</v>
      </c>
      <c r="U524" s="17">
        <v>44755</v>
      </c>
      <c r="V524" s="15" t="str">
        <f t="shared" si="24"/>
        <v>Missing</v>
      </c>
    </row>
    <row r="525" spans="1:22" ht="14.5" customHeight="1" x14ac:dyDescent="0.35">
      <c r="A525" s="18" t="s">
        <v>7441</v>
      </c>
      <c r="B525" s="18" t="s">
        <v>7442</v>
      </c>
      <c r="C525" s="18" t="s">
        <v>3548</v>
      </c>
      <c r="D525" s="18" t="s">
        <v>3549</v>
      </c>
      <c r="E525" s="18" t="s">
        <v>2</v>
      </c>
      <c r="F525" s="15" t="str">
        <f t="shared" si="25"/>
        <v>Female</v>
      </c>
      <c r="G525" s="18" t="s">
        <v>3550</v>
      </c>
      <c r="H525" s="18" t="s">
        <v>3551</v>
      </c>
      <c r="I525" s="18">
        <v>524</v>
      </c>
      <c r="J525" s="18">
        <v>524</v>
      </c>
      <c r="K525" s="18" t="s">
        <v>32</v>
      </c>
      <c r="L525" s="18" t="s">
        <v>3552</v>
      </c>
      <c r="M525" s="18" t="s">
        <v>3553</v>
      </c>
      <c r="N525" s="18" t="s">
        <v>8033</v>
      </c>
      <c r="O525" s="18" t="s">
        <v>8033</v>
      </c>
      <c r="P525" s="18" t="s">
        <v>3554</v>
      </c>
      <c r="Q525" s="22">
        <f t="shared" si="26"/>
        <v>56460000</v>
      </c>
      <c r="R525" s="18">
        <v>1993.15</v>
      </c>
      <c r="S525" s="19">
        <v>17.79</v>
      </c>
      <c r="T525" s="18">
        <v>62851365</v>
      </c>
      <c r="U525" s="20">
        <v>46218</v>
      </c>
      <c r="V525" s="18" t="str">
        <f t="shared" si="24"/>
        <v>Missing</v>
      </c>
    </row>
    <row r="526" spans="1:22" ht="14.5" customHeight="1" x14ac:dyDescent="0.35">
      <c r="A526" s="15" t="s">
        <v>7443</v>
      </c>
      <c r="B526" s="15" t="s">
        <v>7444</v>
      </c>
      <c r="C526" s="15" t="s">
        <v>3555</v>
      </c>
      <c r="D526" s="15" t="s">
        <v>3556</v>
      </c>
      <c r="E526" s="15" t="s">
        <v>13</v>
      </c>
      <c r="F526" s="15" t="str">
        <f t="shared" si="25"/>
        <v>Male</v>
      </c>
      <c r="G526" s="15" t="s">
        <v>3557</v>
      </c>
      <c r="H526" s="15" t="s">
        <v>3558</v>
      </c>
      <c r="I526" s="15">
        <v>525</v>
      </c>
      <c r="J526" s="15">
        <v>525</v>
      </c>
      <c r="K526" s="15" t="s">
        <v>32</v>
      </c>
      <c r="L526" s="15" t="s">
        <v>3559</v>
      </c>
      <c r="M526" s="15" t="s">
        <v>3560</v>
      </c>
      <c r="N526" s="15" t="s">
        <v>8033</v>
      </c>
      <c r="O526" s="15" t="s">
        <v>8033</v>
      </c>
      <c r="P526" s="15" t="s">
        <v>3561</v>
      </c>
      <c r="Q526" s="22">
        <f t="shared" si="26"/>
        <v>199020000</v>
      </c>
      <c r="R526" s="15">
        <v>636.04999999999995</v>
      </c>
      <c r="S526" s="16">
        <v>-7.87</v>
      </c>
      <c r="T526" s="15">
        <v>69821774</v>
      </c>
      <c r="U526" s="17">
        <v>44529</v>
      </c>
      <c r="V526" s="15" t="str">
        <f t="shared" si="24"/>
        <v>Missing</v>
      </c>
    </row>
    <row r="527" spans="1:22" ht="14.5" customHeight="1" x14ac:dyDescent="0.35">
      <c r="A527" s="18" t="s">
        <v>7445</v>
      </c>
      <c r="B527" s="18" t="s">
        <v>6799</v>
      </c>
      <c r="C527" s="18" t="s">
        <v>3562</v>
      </c>
      <c r="D527" s="18" t="s">
        <v>3563</v>
      </c>
      <c r="E527" s="18" t="s">
        <v>13</v>
      </c>
      <c r="F527" s="15" t="str">
        <f t="shared" si="25"/>
        <v>Male</v>
      </c>
      <c r="G527" s="18" t="s">
        <v>3564</v>
      </c>
      <c r="H527" s="18" t="s">
        <v>3565</v>
      </c>
      <c r="I527" s="18">
        <v>526</v>
      </c>
      <c r="J527" s="18">
        <v>526</v>
      </c>
      <c r="K527" s="18" t="s">
        <v>32</v>
      </c>
      <c r="L527" s="18" t="s">
        <v>88</v>
      </c>
      <c r="M527" s="18" t="s">
        <v>89</v>
      </c>
      <c r="N527" s="18" t="s">
        <v>90</v>
      </c>
      <c r="O527" s="18" t="s">
        <v>91</v>
      </c>
      <c r="P527" s="18" t="s">
        <v>92</v>
      </c>
      <c r="Q527" s="22">
        <f t="shared" si="26"/>
        <v>32900000000</v>
      </c>
      <c r="R527" s="18">
        <v>897.38</v>
      </c>
      <c r="S527" s="19">
        <v>8.41</v>
      </c>
      <c r="T527" s="18">
        <v>146262282</v>
      </c>
      <c r="U527" s="20">
        <v>44332</v>
      </c>
      <c r="V527" s="18" t="str">
        <f t="shared" si="24"/>
        <v>Complete</v>
      </c>
    </row>
    <row r="528" spans="1:22" ht="14.5" customHeight="1" x14ac:dyDescent="0.35">
      <c r="A528" s="15" t="s">
        <v>7446</v>
      </c>
      <c r="B528" s="15" t="s">
        <v>6880</v>
      </c>
      <c r="C528" s="15" t="s">
        <v>3566</v>
      </c>
      <c r="D528" s="15" t="s">
        <v>3567</v>
      </c>
      <c r="E528" s="15" t="s">
        <v>2</v>
      </c>
      <c r="F528" s="15" t="str">
        <f t="shared" si="25"/>
        <v>Female</v>
      </c>
      <c r="G528" s="15" t="s">
        <v>3568</v>
      </c>
      <c r="H528" s="15" t="s">
        <v>3569</v>
      </c>
      <c r="I528" s="15">
        <v>527</v>
      </c>
      <c r="J528" s="15">
        <v>527</v>
      </c>
      <c r="K528" s="15" t="s">
        <v>32</v>
      </c>
      <c r="L528" s="15" t="s">
        <v>3570</v>
      </c>
      <c r="M528" s="15" t="s">
        <v>3571</v>
      </c>
      <c r="N528" s="15" t="s">
        <v>90</v>
      </c>
      <c r="O528" s="15" t="s">
        <v>3203</v>
      </c>
      <c r="P528" s="15" t="s">
        <v>3572</v>
      </c>
      <c r="Q528" s="22">
        <f t="shared" si="26"/>
        <v>864670000</v>
      </c>
      <c r="R528" s="15">
        <v>7.44</v>
      </c>
      <c r="S528" s="16">
        <v>-11.34</v>
      </c>
      <c r="T528" s="15">
        <v>85095189</v>
      </c>
      <c r="U528" s="17">
        <v>44727</v>
      </c>
      <c r="V528" s="15" t="str">
        <f t="shared" si="24"/>
        <v>Complete</v>
      </c>
    </row>
    <row r="529" spans="1:22" ht="14.5" customHeight="1" x14ac:dyDescent="0.35">
      <c r="A529" s="18" t="s">
        <v>7447</v>
      </c>
      <c r="B529" s="18" t="s">
        <v>7448</v>
      </c>
      <c r="C529" s="18" t="s">
        <v>3573</v>
      </c>
      <c r="D529" s="18" t="s">
        <v>3574</v>
      </c>
      <c r="E529" s="18" t="s">
        <v>13</v>
      </c>
      <c r="F529" s="15" t="str">
        <f t="shared" si="25"/>
        <v>Male</v>
      </c>
      <c r="G529" s="18" t="s">
        <v>3575</v>
      </c>
      <c r="H529" s="18" t="s">
        <v>3576</v>
      </c>
      <c r="I529" s="18">
        <v>528</v>
      </c>
      <c r="J529" s="18">
        <v>528</v>
      </c>
      <c r="K529" s="18" t="s">
        <v>32</v>
      </c>
      <c r="L529" s="18" t="s">
        <v>3577</v>
      </c>
      <c r="M529" s="18" t="s">
        <v>3578</v>
      </c>
      <c r="N529" s="18" t="s">
        <v>134</v>
      </c>
      <c r="O529" s="18" t="s">
        <v>135</v>
      </c>
      <c r="P529" s="18" t="s">
        <v>3579</v>
      </c>
      <c r="Q529" s="22">
        <f t="shared" si="26"/>
        <v>20420000000</v>
      </c>
      <c r="R529" s="18">
        <v>1343.81</v>
      </c>
      <c r="S529" s="19">
        <v>-16.7</v>
      </c>
      <c r="T529" s="18">
        <v>80496665</v>
      </c>
      <c r="U529" s="20">
        <v>45729</v>
      </c>
      <c r="V529" s="18" t="str">
        <f t="shared" si="24"/>
        <v>Complete</v>
      </c>
    </row>
    <row r="530" spans="1:22" ht="14.5" customHeight="1" x14ac:dyDescent="0.35">
      <c r="A530" s="15" t="s">
        <v>7449</v>
      </c>
      <c r="B530" s="15" t="s">
        <v>7017</v>
      </c>
      <c r="C530" s="15" t="s">
        <v>3580</v>
      </c>
      <c r="D530" s="15" t="s">
        <v>3581</v>
      </c>
      <c r="E530" s="15" t="s">
        <v>2</v>
      </c>
      <c r="F530" s="15" t="str">
        <f t="shared" si="25"/>
        <v>Female</v>
      </c>
      <c r="G530" s="15" t="s">
        <v>3582</v>
      </c>
      <c r="H530" s="15" t="s">
        <v>3583</v>
      </c>
      <c r="I530" s="15">
        <v>529</v>
      </c>
      <c r="J530" s="15">
        <v>529</v>
      </c>
      <c r="K530" s="15" t="s">
        <v>5</v>
      </c>
      <c r="L530" s="15" t="s">
        <v>1551</v>
      </c>
      <c r="M530" s="15" t="s">
        <v>1552</v>
      </c>
      <c r="N530" s="15" t="s">
        <v>99</v>
      </c>
      <c r="O530" s="15" t="s">
        <v>1553</v>
      </c>
      <c r="P530" s="15" t="s">
        <v>1554</v>
      </c>
      <c r="Q530" s="22">
        <f t="shared" si="26"/>
        <v>15550000000</v>
      </c>
      <c r="R530" s="15">
        <v>1588.31</v>
      </c>
      <c r="S530" s="16">
        <v>-14.1</v>
      </c>
      <c r="T530" s="15">
        <v>123273270</v>
      </c>
      <c r="U530" s="17">
        <v>43847</v>
      </c>
      <c r="V530" s="15" t="str">
        <f t="shared" si="24"/>
        <v>Complete</v>
      </c>
    </row>
    <row r="531" spans="1:22" ht="14.5" customHeight="1" x14ac:dyDescent="0.35">
      <c r="A531" s="18" t="s">
        <v>7450</v>
      </c>
      <c r="B531" s="18" t="s">
        <v>7451</v>
      </c>
      <c r="C531" s="18" t="s">
        <v>3584</v>
      </c>
      <c r="D531" s="18" t="s">
        <v>3585</v>
      </c>
      <c r="E531" s="18" t="s">
        <v>13</v>
      </c>
      <c r="F531" s="15" t="str">
        <f t="shared" si="25"/>
        <v>Male</v>
      </c>
      <c r="G531" s="18" t="s">
        <v>3586</v>
      </c>
      <c r="H531" s="18" t="s">
        <v>3587</v>
      </c>
      <c r="I531" s="18">
        <v>530</v>
      </c>
      <c r="J531" s="18">
        <v>530</v>
      </c>
      <c r="K531" s="18" t="s">
        <v>5</v>
      </c>
      <c r="L531" s="18" t="s">
        <v>3588</v>
      </c>
      <c r="M531" s="18" t="s">
        <v>3589</v>
      </c>
      <c r="N531" s="18" t="s">
        <v>48</v>
      </c>
      <c r="O531" s="18" t="s">
        <v>669</v>
      </c>
      <c r="P531" s="18" t="s">
        <v>3590</v>
      </c>
      <c r="Q531" s="22">
        <f t="shared" si="26"/>
        <v>951530000</v>
      </c>
      <c r="R531" s="18">
        <v>516.45000000000005</v>
      </c>
      <c r="S531" s="19">
        <v>-8.2200000000000006</v>
      </c>
      <c r="T531" s="18">
        <v>148686893</v>
      </c>
      <c r="U531" s="20">
        <v>46330</v>
      </c>
      <c r="V531" s="18" t="str">
        <f t="shared" si="24"/>
        <v>Complete</v>
      </c>
    </row>
    <row r="532" spans="1:22" ht="14.5" customHeight="1" x14ac:dyDescent="0.35">
      <c r="A532" s="15" t="s">
        <v>7452</v>
      </c>
      <c r="B532" s="15" t="s">
        <v>6843</v>
      </c>
      <c r="C532" s="15" t="s">
        <v>3591</v>
      </c>
      <c r="D532" s="15" t="s">
        <v>3592</v>
      </c>
      <c r="E532" s="15" t="s">
        <v>13</v>
      </c>
      <c r="F532" s="15" t="str">
        <f t="shared" si="25"/>
        <v>Male</v>
      </c>
      <c r="G532" s="15" t="s">
        <v>3593</v>
      </c>
      <c r="H532" s="15" t="s">
        <v>3594</v>
      </c>
      <c r="I532" s="15">
        <v>531</v>
      </c>
      <c r="J532" s="15">
        <v>531</v>
      </c>
      <c r="K532" s="15" t="s">
        <v>32</v>
      </c>
      <c r="L532" s="15" t="s">
        <v>3595</v>
      </c>
      <c r="M532" s="15" t="s">
        <v>3596</v>
      </c>
      <c r="N532" s="15" t="s">
        <v>134</v>
      </c>
      <c r="O532" s="15" t="s">
        <v>2454</v>
      </c>
      <c r="P532" s="15" t="s">
        <v>3597</v>
      </c>
      <c r="Q532" s="22">
        <f t="shared" si="26"/>
        <v>5150000000</v>
      </c>
      <c r="R532" s="15">
        <v>1118.32</v>
      </c>
      <c r="S532" s="16">
        <v>4.83</v>
      </c>
      <c r="T532" s="15">
        <v>115494250</v>
      </c>
      <c r="U532" s="17">
        <v>44877</v>
      </c>
      <c r="V532" s="15" t="str">
        <f t="shared" si="24"/>
        <v>Complete</v>
      </c>
    </row>
    <row r="533" spans="1:22" ht="14.5" customHeight="1" x14ac:dyDescent="0.35">
      <c r="A533" s="18" t="s">
        <v>7453</v>
      </c>
      <c r="B533" s="18" t="s">
        <v>6591</v>
      </c>
      <c r="C533" s="18" t="s">
        <v>3598</v>
      </c>
      <c r="D533" s="18" t="s">
        <v>3599</v>
      </c>
      <c r="E533" s="18" t="s">
        <v>61</v>
      </c>
      <c r="F533" s="15" t="str">
        <f t="shared" si="25"/>
        <v>Other</v>
      </c>
      <c r="G533" s="18" t="s">
        <v>3600</v>
      </c>
      <c r="H533" s="18" t="s">
        <v>3601</v>
      </c>
      <c r="I533" s="18">
        <v>532</v>
      </c>
      <c r="J533" s="18">
        <v>532</v>
      </c>
      <c r="K533" s="18" t="s">
        <v>5</v>
      </c>
      <c r="L533" s="18" t="s">
        <v>3602</v>
      </c>
      <c r="M533" s="18" t="s">
        <v>3603</v>
      </c>
      <c r="N533" s="18" t="s">
        <v>66</v>
      </c>
      <c r="O533" s="18" t="s">
        <v>293</v>
      </c>
      <c r="P533" s="18" t="s">
        <v>3604</v>
      </c>
      <c r="Q533" s="22">
        <f t="shared" si="26"/>
        <v>205590000</v>
      </c>
      <c r="R533" s="18">
        <v>385.83</v>
      </c>
      <c r="S533" s="19">
        <v>-17.440000000000001</v>
      </c>
      <c r="T533" s="18">
        <v>113569287</v>
      </c>
      <c r="U533" s="20">
        <v>45146</v>
      </c>
      <c r="V533" s="18" t="str">
        <f t="shared" si="24"/>
        <v>Complete</v>
      </c>
    </row>
    <row r="534" spans="1:22" ht="14.5" customHeight="1" x14ac:dyDescent="0.35">
      <c r="A534" s="15" t="s">
        <v>7454</v>
      </c>
      <c r="B534" s="15" t="s">
        <v>6855</v>
      </c>
      <c r="C534" s="15" t="s">
        <v>3605</v>
      </c>
      <c r="D534" s="15" t="s">
        <v>3606</v>
      </c>
      <c r="E534" s="15" t="s">
        <v>1407</v>
      </c>
      <c r="F534" s="15" t="str">
        <f t="shared" si="25"/>
        <v>Other</v>
      </c>
      <c r="G534" s="15" t="s">
        <v>3607</v>
      </c>
      <c r="H534" s="15" t="s">
        <v>3608</v>
      </c>
      <c r="I534" s="15">
        <v>533</v>
      </c>
      <c r="J534" s="15">
        <v>533</v>
      </c>
      <c r="K534" s="15" t="s">
        <v>5</v>
      </c>
      <c r="L534" s="15" t="s">
        <v>3609</v>
      </c>
      <c r="M534" s="15" t="s">
        <v>3610</v>
      </c>
      <c r="N534" s="15" t="s">
        <v>66</v>
      </c>
      <c r="O534" s="15" t="s">
        <v>422</v>
      </c>
      <c r="P534" s="15" t="s">
        <v>3611</v>
      </c>
      <c r="Q534" s="22">
        <f t="shared" si="26"/>
        <v>1220000000</v>
      </c>
      <c r="R534" s="15">
        <v>81.459999999999994</v>
      </c>
      <c r="S534" s="16">
        <v>5.18</v>
      </c>
      <c r="T534" s="15">
        <v>34933162</v>
      </c>
      <c r="U534" s="17">
        <v>44775</v>
      </c>
      <c r="V534" s="15" t="str">
        <f t="shared" si="24"/>
        <v>Complete</v>
      </c>
    </row>
    <row r="535" spans="1:22" ht="14.5" customHeight="1" x14ac:dyDescent="0.35">
      <c r="A535" s="18" t="s">
        <v>7455</v>
      </c>
      <c r="B535" s="18" t="s">
        <v>7456</v>
      </c>
      <c r="C535" s="18" t="s">
        <v>3612</v>
      </c>
      <c r="D535" s="18" t="s">
        <v>3613</v>
      </c>
      <c r="E535" s="18" t="s">
        <v>13</v>
      </c>
      <c r="F535" s="15" t="str">
        <f t="shared" si="25"/>
        <v>Male</v>
      </c>
      <c r="G535" s="18" t="s">
        <v>3614</v>
      </c>
      <c r="H535" s="18" t="s">
        <v>3615</v>
      </c>
      <c r="I535" s="18">
        <v>534</v>
      </c>
      <c r="J535" s="18">
        <v>534</v>
      </c>
      <c r="K535" s="18" t="s">
        <v>32</v>
      </c>
      <c r="L535" s="18" t="s">
        <v>3616</v>
      </c>
      <c r="M535" s="18" t="s">
        <v>3617</v>
      </c>
      <c r="N535" s="18" t="s">
        <v>8033</v>
      </c>
      <c r="O535" s="18" t="s">
        <v>8033</v>
      </c>
      <c r="P535" s="18" t="s">
        <v>8033</v>
      </c>
      <c r="Q535" s="22">
        <f t="shared" si="26"/>
        <v>0</v>
      </c>
      <c r="R535" s="18">
        <v>771.39</v>
      </c>
      <c r="S535" s="19">
        <v>4.99</v>
      </c>
      <c r="T535" s="18">
        <v>182078028</v>
      </c>
      <c r="U535" s="20">
        <v>45819</v>
      </c>
      <c r="V535" s="18" t="str">
        <f t="shared" si="24"/>
        <v>Missing</v>
      </c>
    </row>
    <row r="536" spans="1:22" ht="14.5" customHeight="1" x14ac:dyDescent="0.35">
      <c r="A536" s="15" t="s">
        <v>7457</v>
      </c>
      <c r="B536" s="15" t="s">
        <v>7146</v>
      </c>
      <c r="C536" s="15" t="s">
        <v>3618</v>
      </c>
      <c r="D536" s="15" t="s">
        <v>3619</v>
      </c>
      <c r="E536" s="15" t="s">
        <v>2</v>
      </c>
      <c r="F536" s="15" t="str">
        <f t="shared" si="25"/>
        <v>Female</v>
      </c>
      <c r="G536" s="15" t="s">
        <v>3620</v>
      </c>
      <c r="H536" s="15" t="s">
        <v>3621</v>
      </c>
      <c r="I536" s="15">
        <v>535</v>
      </c>
      <c r="J536" s="15">
        <v>535</v>
      </c>
      <c r="K536" s="15" t="s">
        <v>32</v>
      </c>
      <c r="L536" s="15" t="s">
        <v>3622</v>
      </c>
      <c r="M536" s="15" t="s">
        <v>3623</v>
      </c>
      <c r="N536" s="15" t="s">
        <v>8033</v>
      </c>
      <c r="O536" s="15" t="s">
        <v>8033</v>
      </c>
      <c r="P536" s="15" t="s">
        <v>8033</v>
      </c>
      <c r="Q536" s="22">
        <f t="shared" si="26"/>
        <v>0</v>
      </c>
      <c r="R536" s="15">
        <v>639.41999999999996</v>
      </c>
      <c r="S536" s="16">
        <v>-0.45</v>
      </c>
      <c r="T536" s="15">
        <v>22250981</v>
      </c>
      <c r="U536" s="17">
        <v>44172</v>
      </c>
      <c r="V536" s="15" t="str">
        <f t="shared" si="24"/>
        <v>Missing</v>
      </c>
    </row>
    <row r="537" spans="1:22" ht="14.5" customHeight="1" x14ac:dyDescent="0.35">
      <c r="A537" s="18" t="s">
        <v>7458</v>
      </c>
      <c r="B537" s="18" t="s">
        <v>7202</v>
      </c>
      <c r="C537" s="18" t="s">
        <v>2871</v>
      </c>
      <c r="D537" s="18" t="s">
        <v>3624</v>
      </c>
      <c r="E537" s="18" t="s">
        <v>2</v>
      </c>
      <c r="F537" s="15" t="str">
        <f t="shared" si="25"/>
        <v>Female</v>
      </c>
      <c r="G537" s="18" t="s">
        <v>3625</v>
      </c>
      <c r="H537" s="18" t="s">
        <v>3626</v>
      </c>
      <c r="I537" s="18">
        <v>536</v>
      </c>
      <c r="J537" s="18">
        <v>536</v>
      </c>
      <c r="K537" s="18" t="s">
        <v>32</v>
      </c>
      <c r="L537" s="18" t="s">
        <v>3627</v>
      </c>
      <c r="M537" s="18" t="s">
        <v>3628</v>
      </c>
      <c r="N537" s="18" t="s">
        <v>99</v>
      </c>
      <c r="O537" s="18" t="s">
        <v>1498</v>
      </c>
      <c r="P537" s="18" t="s">
        <v>3629</v>
      </c>
      <c r="Q537" s="22">
        <f t="shared" si="26"/>
        <v>88730000</v>
      </c>
      <c r="R537" s="18">
        <v>1201.28</v>
      </c>
      <c r="S537" s="19">
        <v>-17.46</v>
      </c>
      <c r="T537" s="18">
        <v>532255</v>
      </c>
      <c r="U537" s="20">
        <v>44822</v>
      </c>
      <c r="V537" s="18" t="str">
        <f t="shared" si="24"/>
        <v>Complete</v>
      </c>
    </row>
    <row r="538" spans="1:22" ht="14.5" customHeight="1" x14ac:dyDescent="0.35">
      <c r="A538" s="15" t="s">
        <v>7459</v>
      </c>
      <c r="B538" s="15" t="s">
        <v>7460</v>
      </c>
      <c r="C538" s="15" t="s">
        <v>3630</v>
      </c>
      <c r="D538" s="15" t="s">
        <v>3631</v>
      </c>
      <c r="E538" s="15" t="s">
        <v>2</v>
      </c>
      <c r="F538" s="15" t="str">
        <f t="shared" si="25"/>
        <v>Female</v>
      </c>
      <c r="G538" s="15" t="s">
        <v>3632</v>
      </c>
      <c r="H538" s="15" t="s">
        <v>3633</v>
      </c>
      <c r="I538" s="15">
        <v>537</v>
      </c>
      <c r="J538" s="15">
        <v>537</v>
      </c>
      <c r="K538" s="15" t="s">
        <v>5</v>
      </c>
      <c r="L538" s="15" t="s">
        <v>3634</v>
      </c>
      <c r="M538" s="15" t="s">
        <v>3635</v>
      </c>
      <c r="N538" s="15" t="s">
        <v>8</v>
      </c>
      <c r="O538" s="15" t="s">
        <v>9</v>
      </c>
      <c r="P538" s="15" t="s">
        <v>3636</v>
      </c>
      <c r="Q538" s="22">
        <f t="shared" si="26"/>
        <v>198090000</v>
      </c>
      <c r="R538" s="15">
        <v>673.15</v>
      </c>
      <c r="S538" s="16">
        <v>13.84</v>
      </c>
      <c r="T538" s="15">
        <v>80763821</v>
      </c>
      <c r="U538" s="17">
        <v>45625</v>
      </c>
      <c r="V538" s="15" t="str">
        <f t="shared" si="24"/>
        <v>Complete</v>
      </c>
    </row>
    <row r="539" spans="1:22" ht="14.5" customHeight="1" x14ac:dyDescent="0.35">
      <c r="A539" s="18" t="s">
        <v>7461</v>
      </c>
      <c r="B539" s="18" t="s">
        <v>7168</v>
      </c>
      <c r="C539" s="18" t="s">
        <v>3637</v>
      </c>
      <c r="D539" s="18" t="s">
        <v>3638</v>
      </c>
      <c r="E539" s="18" t="s">
        <v>52</v>
      </c>
      <c r="F539" s="15" t="str">
        <f t="shared" si="25"/>
        <v>Other</v>
      </c>
      <c r="G539" s="18" t="s">
        <v>3639</v>
      </c>
      <c r="H539" s="18" t="s">
        <v>3640</v>
      </c>
      <c r="I539" s="18">
        <v>538</v>
      </c>
      <c r="J539" s="18">
        <v>538</v>
      </c>
      <c r="K539" s="18" t="s">
        <v>5</v>
      </c>
      <c r="L539" s="18" t="s">
        <v>3641</v>
      </c>
      <c r="M539" s="18" t="s">
        <v>3642</v>
      </c>
      <c r="N539" s="18" t="s">
        <v>8</v>
      </c>
      <c r="O539" s="18" t="s">
        <v>840</v>
      </c>
      <c r="P539" s="18" t="s">
        <v>903</v>
      </c>
      <c r="Q539" s="22">
        <f t="shared" si="26"/>
        <v>1300000000</v>
      </c>
      <c r="R539" s="18">
        <v>1926.78</v>
      </c>
      <c r="S539" s="19">
        <v>5.71</v>
      </c>
      <c r="T539" s="18">
        <v>180388587</v>
      </c>
      <c r="U539" s="20">
        <v>44664</v>
      </c>
      <c r="V539" s="18" t="str">
        <f t="shared" si="24"/>
        <v>Complete</v>
      </c>
    </row>
    <row r="540" spans="1:22" ht="14.5" customHeight="1" x14ac:dyDescent="0.35">
      <c r="A540" s="15" t="s">
        <v>7462</v>
      </c>
      <c r="B540" s="15" t="s">
        <v>7029</v>
      </c>
      <c r="C540" s="15" t="s">
        <v>3643</v>
      </c>
      <c r="D540" s="15" t="s">
        <v>3644</v>
      </c>
      <c r="E540" s="15" t="s">
        <v>13</v>
      </c>
      <c r="F540" s="15" t="str">
        <f t="shared" si="25"/>
        <v>Male</v>
      </c>
      <c r="G540" s="15" t="s">
        <v>3645</v>
      </c>
      <c r="H540" s="15" t="s">
        <v>3646</v>
      </c>
      <c r="I540" s="15">
        <v>539</v>
      </c>
      <c r="J540" s="15">
        <v>539</v>
      </c>
      <c r="K540" s="15" t="s">
        <v>5</v>
      </c>
      <c r="L540" s="15" t="s">
        <v>3647</v>
      </c>
      <c r="M540" s="15" t="s">
        <v>3648</v>
      </c>
      <c r="N540" s="15" t="s">
        <v>8033</v>
      </c>
      <c r="O540" s="15" t="s">
        <v>8033</v>
      </c>
      <c r="P540" s="15" t="s">
        <v>3649</v>
      </c>
      <c r="Q540" s="22">
        <f t="shared" si="26"/>
        <v>4200000</v>
      </c>
      <c r="R540" s="15">
        <v>1191.3599999999999</v>
      </c>
      <c r="S540" s="16">
        <v>-12.01</v>
      </c>
      <c r="T540" s="15">
        <v>154693676</v>
      </c>
      <c r="U540" s="17">
        <v>44829</v>
      </c>
      <c r="V540" s="15" t="str">
        <f t="shared" si="24"/>
        <v>Missing</v>
      </c>
    </row>
    <row r="541" spans="1:22" ht="14.5" customHeight="1" x14ac:dyDescent="0.35">
      <c r="A541" s="18" t="s">
        <v>7463</v>
      </c>
      <c r="B541" s="18" t="s">
        <v>7464</v>
      </c>
      <c r="C541" s="18" t="s">
        <v>3650</v>
      </c>
      <c r="D541" s="18" t="s">
        <v>3651</v>
      </c>
      <c r="E541" s="18" t="s">
        <v>2</v>
      </c>
      <c r="F541" s="15" t="str">
        <f t="shared" si="25"/>
        <v>Female</v>
      </c>
      <c r="G541" s="18" t="s">
        <v>3652</v>
      </c>
      <c r="H541" s="18" t="s">
        <v>3653</v>
      </c>
      <c r="I541" s="18">
        <v>540</v>
      </c>
      <c r="J541" s="18">
        <v>540</v>
      </c>
      <c r="K541" s="18" t="s">
        <v>32</v>
      </c>
      <c r="L541" s="18" t="s">
        <v>3654</v>
      </c>
      <c r="M541" s="18" t="s">
        <v>3655</v>
      </c>
      <c r="N541" s="18" t="s">
        <v>117</v>
      </c>
      <c r="O541" s="18" t="s">
        <v>3095</v>
      </c>
      <c r="P541" s="18" t="s">
        <v>3656</v>
      </c>
      <c r="Q541" s="22">
        <f t="shared" si="26"/>
        <v>5040000000</v>
      </c>
      <c r="R541" s="18">
        <v>1362.97</v>
      </c>
      <c r="S541" s="19">
        <v>5.84</v>
      </c>
      <c r="T541" s="18">
        <v>104228257</v>
      </c>
      <c r="U541" s="20">
        <v>44041</v>
      </c>
      <c r="V541" s="18" t="str">
        <f t="shared" si="24"/>
        <v>Complete</v>
      </c>
    </row>
    <row r="542" spans="1:22" ht="14.5" customHeight="1" x14ac:dyDescent="0.35">
      <c r="A542" s="15" t="s">
        <v>7465</v>
      </c>
      <c r="B542" s="15" t="s">
        <v>7102</v>
      </c>
      <c r="C542" s="15" t="s">
        <v>3657</v>
      </c>
      <c r="D542" s="15" t="s">
        <v>3658</v>
      </c>
      <c r="E542" s="15" t="s">
        <v>2</v>
      </c>
      <c r="F542" s="15" t="str">
        <f t="shared" si="25"/>
        <v>Female</v>
      </c>
      <c r="G542" s="15" t="s">
        <v>3659</v>
      </c>
      <c r="H542" s="15" t="s">
        <v>3660</v>
      </c>
      <c r="I542" s="15">
        <v>541</v>
      </c>
      <c r="J542" s="15">
        <v>541</v>
      </c>
      <c r="K542" s="15" t="s">
        <v>32</v>
      </c>
      <c r="L542" s="15" t="s">
        <v>3661</v>
      </c>
      <c r="M542" s="15" t="s">
        <v>3662</v>
      </c>
      <c r="N542" s="15" t="s">
        <v>99</v>
      </c>
      <c r="O542" s="15" t="s">
        <v>135</v>
      </c>
      <c r="P542" s="15" t="s">
        <v>3663</v>
      </c>
      <c r="Q542" s="22">
        <f t="shared" si="26"/>
        <v>19890000000</v>
      </c>
      <c r="R542" s="15">
        <v>16.64</v>
      </c>
      <c r="S542" s="16">
        <v>-16.84</v>
      </c>
      <c r="T542" s="15">
        <v>149883506</v>
      </c>
      <c r="U542" s="17">
        <v>45108</v>
      </c>
      <c r="V542" s="15" t="str">
        <f t="shared" si="24"/>
        <v>Complete</v>
      </c>
    </row>
    <row r="543" spans="1:22" ht="14.5" customHeight="1" x14ac:dyDescent="0.35">
      <c r="A543" s="18" t="s">
        <v>7466</v>
      </c>
      <c r="B543" s="18" t="s">
        <v>6994</v>
      </c>
      <c r="C543" s="18" t="s">
        <v>3664</v>
      </c>
      <c r="D543" s="18" t="s">
        <v>3665</v>
      </c>
      <c r="E543" s="18" t="s">
        <v>13</v>
      </c>
      <c r="F543" s="15" t="str">
        <f t="shared" si="25"/>
        <v>Male</v>
      </c>
      <c r="G543" s="18" t="s">
        <v>3666</v>
      </c>
      <c r="H543" s="18" t="s">
        <v>3667</v>
      </c>
      <c r="I543" s="18">
        <v>542</v>
      </c>
      <c r="J543" s="18">
        <v>542</v>
      </c>
      <c r="K543" s="18" t="s">
        <v>5</v>
      </c>
      <c r="L543" s="18" t="s">
        <v>3668</v>
      </c>
      <c r="M543" s="18" t="s">
        <v>3669</v>
      </c>
      <c r="N543" s="18" t="s">
        <v>1291</v>
      </c>
      <c r="O543" s="18" t="s">
        <v>3670</v>
      </c>
      <c r="P543" s="18" t="s">
        <v>3671</v>
      </c>
      <c r="Q543" s="22">
        <f t="shared" si="26"/>
        <v>905460000</v>
      </c>
      <c r="R543" s="18">
        <v>1206</v>
      </c>
      <c r="S543" s="19">
        <v>2.12</v>
      </c>
      <c r="T543" s="18">
        <v>42194593</v>
      </c>
      <c r="U543" s="20">
        <v>45723</v>
      </c>
      <c r="V543" s="18" t="str">
        <f t="shared" si="24"/>
        <v>Complete</v>
      </c>
    </row>
    <row r="544" spans="1:22" ht="14.5" customHeight="1" x14ac:dyDescent="0.35">
      <c r="A544" s="15" t="s">
        <v>7467</v>
      </c>
      <c r="B544" s="15" t="s">
        <v>6961</v>
      </c>
      <c r="C544" s="15" t="s">
        <v>3672</v>
      </c>
      <c r="D544" s="15" t="s">
        <v>3673</v>
      </c>
      <c r="E544" s="15" t="s">
        <v>2</v>
      </c>
      <c r="F544" s="15" t="str">
        <f t="shared" si="25"/>
        <v>Female</v>
      </c>
      <c r="G544" s="15" t="s">
        <v>3674</v>
      </c>
      <c r="H544" s="15" t="s">
        <v>3675</v>
      </c>
      <c r="I544" s="15">
        <v>543</v>
      </c>
      <c r="J544" s="15">
        <v>543</v>
      </c>
      <c r="K544" s="15" t="s">
        <v>5</v>
      </c>
      <c r="L544" s="15" t="s">
        <v>3676</v>
      </c>
      <c r="M544" s="15" t="s">
        <v>3677</v>
      </c>
      <c r="N544" s="15" t="s">
        <v>8</v>
      </c>
      <c r="O544" s="15" t="s">
        <v>9</v>
      </c>
      <c r="P544" s="15" t="s">
        <v>3678</v>
      </c>
      <c r="Q544" s="22">
        <f t="shared" si="26"/>
        <v>420220000</v>
      </c>
      <c r="R544" s="15">
        <v>887</v>
      </c>
      <c r="S544" s="16">
        <v>-4.33</v>
      </c>
      <c r="T544" s="15">
        <v>44100064</v>
      </c>
      <c r="U544" s="17">
        <v>44572</v>
      </c>
      <c r="V544" s="15" t="str">
        <f t="shared" si="24"/>
        <v>Complete</v>
      </c>
    </row>
    <row r="545" spans="1:22" ht="14.5" customHeight="1" x14ac:dyDescent="0.35">
      <c r="A545" s="18" t="s">
        <v>7468</v>
      </c>
      <c r="B545" s="18" t="s">
        <v>6682</v>
      </c>
      <c r="C545" s="18" t="s">
        <v>3679</v>
      </c>
      <c r="D545" s="18" t="s">
        <v>3680</v>
      </c>
      <c r="E545" s="18" t="s">
        <v>13</v>
      </c>
      <c r="F545" s="15" t="str">
        <f t="shared" si="25"/>
        <v>Male</v>
      </c>
      <c r="G545" s="18" t="s">
        <v>3681</v>
      </c>
      <c r="H545" s="18" t="s">
        <v>3682</v>
      </c>
      <c r="I545" s="18">
        <v>544</v>
      </c>
      <c r="J545" s="18">
        <v>544</v>
      </c>
      <c r="K545" s="18" t="s">
        <v>32</v>
      </c>
      <c r="L545" s="18" t="s">
        <v>3683</v>
      </c>
      <c r="M545" s="18" t="s">
        <v>3684</v>
      </c>
      <c r="N545" s="18" t="s">
        <v>1291</v>
      </c>
      <c r="O545" s="18" t="s">
        <v>1921</v>
      </c>
      <c r="P545" s="18" t="s">
        <v>3685</v>
      </c>
      <c r="Q545" s="22">
        <f t="shared" si="26"/>
        <v>8420000000</v>
      </c>
      <c r="R545" s="18">
        <v>679.5</v>
      </c>
      <c r="S545" s="19">
        <v>13.68</v>
      </c>
      <c r="T545" s="18">
        <v>120079380</v>
      </c>
      <c r="U545" s="20">
        <v>43861</v>
      </c>
      <c r="V545" s="18" t="str">
        <f t="shared" si="24"/>
        <v>Complete</v>
      </c>
    </row>
    <row r="546" spans="1:22" ht="14.5" customHeight="1" x14ac:dyDescent="0.35">
      <c r="A546" s="15" t="s">
        <v>7469</v>
      </c>
      <c r="B546" s="15" t="s">
        <v>6725</v>
      </c>
      <c r="C546" s="15" t="s">
        <v>3686</v>
      </c>
      <c r="D546" s="15" t="s">
        <v>3687</v>
      </c>
      <c r="E546" s="15" t="s">
        <v>13</v>
      </c>
      <c r="F546" s="15" t="str">
        <f t="shared" si="25"/>
        <v>Male</v>
      </c>
      <c r="G546" s="15" t="s">
        <v>3688</v>
      </c>
      <c r="H546" s="15" t="s">
        <v>3689</v>
      </c>
      <c r="I546" s="15">
        <v>545</v>
      </c>
      <c r="J546" s="15">
        <v>545</v>
      </c>
      <c r="K546" s="15" t="s">
        <v>32</v>
      </c>
      <c r="L546" s="15" t="s">
        <v>3690</v>
      </c>
      <c r="M546" s="15" t="s">
        <v>3691</v>
      </c>
      <c r="N546" s="15" t="s">
        <v>8</v>
      </c>
      <c r="O546" s="15" t="s">
        <v>9</v>
      </c>
      <c r="P546" s="15" t="s">
        <v>3692</v>
      </c>
      <c r="Q546" s="22">
        <f t="shared" si="26"/>
        <v>688770000</v>
      </c>
      <c r="R546" s="15">
        <v>905.38</v>
      </c>
      <c r="S546" s="16">
        <v>-11.45</v>
      </c>
      <c r="T546" s="15">
        <v>196653773</v>
      </c>
      <c r="U546" s="17">
        <v>45742</v>
      </c>
      <c r="V546" s="15" t="str">
        <f t="shared" si="24"/>
        <v>Complete</v>
      </c>
    </row>
    <row r="547" spans="1:22" ht="14.5" customHeight="1" x14ac:dyDescent="0.35">
      <c r="A547" s="18" t="s">
        <v>7470</v>
      </c>
      <c r="B547" s="18" t="s">
        <v>7471</v>
      </c>
      <c r="C547" s="18" t="s">
        <v>3693</v>
      </c>
      <c r="D547" s="18" t="s">
        <v>3694</v>
      </c>
      <c r="E547" s="18" t="s">
        <v>13</v>
      </c>
      <c r="F547" s="15" t="str">
        <f t="shared" si="25"/>
        <v>Male</v>
      </c>
      <c r="G547" s="18" t="s">
        <v>3695</v>
      </c>
      <c r="H547" s="18" t="s">
        <v>3696</v>
      </c>
      <c r="I547" s="18">
        <v>546</v>
      </c>
      <c r="J547" s="18">
        <v>546</v>
      </c>
      <c r="K547" s="18" t="s">
        <v>32</v>
      </c>
      <c r="L547" s="18" t="s">
        <v>3697</v>
      </c>
      <c r="M547" s="18" t="s">
        <v>3698</v>
      </c>
      <c r="N547" s="18" t="s">
        <v>25</v>
      </c>
      <c r="O547" s="18" t="s">
        <v>2660</v>
      </c>
      <c r="P547" s="18" t="s">
        <v>3699</v>
      </c>
      <c r="Q547" s="22">
        <f t="shared" si="26"/>
        <v>558630000</v>
      </c>
      <c r="R547" s="18">
        <v>723.88</v>
      </c>
      <c r="S547" s="19">
        <v>-13.38</v>
      </c>
      <c r="T547" s="18">
        <v>140303708</v>
      </c>
      <c r="U547" s="20">
        <v>44352</v>
      </c>
      <c r="V547" s="18" t="str">
        <f t="shared" si="24"/>
        <v>Complete</v>
      </c>
    </row>
    <row r="548" spans="1:22" ht="14.5" customHeight="1" x14ac:dyDescent="0.35">
      <c r="A548" s="15" t="s">
        <v>7472</v>
      </c>
      <c r="B548" s="15" t="s">
        <v>7473</v>
      </c>
      <c r="C548" s="15" t="s">
        <v>3700</v>
      </c>
      <c r="D548" s="15" t="s">
        <v>3701</v>
      </c>
      <c r="E548" s="15" t="s">
        <v>13</v>
      </c>
      <c r="F548" s="15" t="str">
        <f t="shared" si="25"/>
        <v>Male</v>
      </c>
      <c r="G548" s="15" t="s">
        <v>3702</v>
      </c>
      <c r="H548" s="15" t="s">
        <v>3703</v>
      </c>
      <c r="I548" s="15">
        <v>547</v>
      </c>
      <c r="J548" s="15">
        <v>547</v>
      </c>
      <c r="K548" s="15" t="s">
        <v>32</v>
      </c>
      <c r="L548" s="15" t="s">
        <v>3704</v>
      </c>
      <c r="M548" s="15" t="s">
        <v>3705</v>
      </c>
      <c r="N548" s="15" t="s">
        <v>48</v>
      </c>
      <c r="O548" s="15" t="s">
        <v>204</v>
      </c>
      <c r="P548" s="15" t="s">
        <v>3706</v>
      </c>
      <c r="Q548" s="22">
        <f t="shared" si="26"/>
        <v>67980000000.000008</v>
      </c>
      <c r="R548" s="15">
        <v>1354.38</v>
      </c>
      <c r="S548" s="16">
        <v>2.35</v>
      </c>
      <c r="T548" s="15">
        <v>193133002</v>
      </c>
      <c r="U548" s="17">
        <v>43944</v>
      </c>
      <c r="V548" s="15" t="str">
        <f t="shared" si="24"/>
        <v>Complete</v>
      </c>
    </row>
    <row r="549" spans="1:22" ht="14.5" customHeight="1" x14ac:dyDescent="0.35">
      <c r="A549" s="18" t="s">
        <v>7474</v>
      </c>
      <c r="B549" s="18" t="s">
        <v>6619</v>
      </c>
      <c r="C549" s="18" t="s">
        <v>3707</v>
      </c>
      <c r="D549" s="18" t="s">
        <v>3708</v>
      </c>
      <c r="E549" s="18" t="s">
        <v>13</v>
      </c>
      <c r="F549" s="15" t="str">
        <f t="shared" si="25"/>
        <v>Male</v>
      </c>
      <c r="G549" s="18" t="s">
        <v>3709</v>
      </c>
      <c r="H549" s="18" t="s">
        <v>3710</v>
      </c>
      <c r="I549" s="18">
        <v>548</v>
      </c>
      <c r="J549" s="18">
        <v>548</v>
      </c>
      <c r="K549" s="18" t="s">
        <v>5</v>
      </c>
      <c r="L549" s="18" t="s">
        <v>3711</v>
      </c>
      <c r="M549" s="18" t="s">
        <v>3712</v>
      </c>
      <c r="N549" s="18" t="s">
        <v>8033</v>
      </c>
      <c r="O549" s="18" t="s">
        <v>8033</v>
      </c>
      <c r="P549" s="18" t="s">
        <v>3713</v>
      </c>
      <c r="Q549" s="22">
        <f t="shared" si="26"/>
        <v>802720000</v>
      </c>
      <c r="R549" s="18">
        <v>834.24</v>
      </c>
      <c r="S549" s="19">
        <v>-5.46</v>
      </c>
      <c r="T549" s="18">
        <v>61969719</v>
      </c>
      <c r="U549" s="20">
        <v>44575</v>
      </c>
      <c r="V549" s="18" t="str">
        <f t="shared" si="24"/>
        <v>Missing</v>
      </c>
    </row>
    <row r="550" spans="1:22" ht="14.5" customHeight="1" x14ac:dyDescent="0.35">
      <c r="A550" s="15" t="s">
        <v>7475</v>
      </c>
      <c r="B550" s="15" t="s">
        <v>6702</v>
      </c>
      <c r="C550" s="15" t="s">
        <v>3714</v>
      </c>
      <c r="D550" s="15" t="s">
        <v>3715</v>
      </c>
      <c r="E550" s="15" t="s">
        <v>13</v>
      </c>
      <c r="F550" s="15" t="str">
        <f t="shared" si="25"/>
        <v>Male</v>
      </c>
      <c r="G550" s="15" t="s">
        <v>3716</v>
      </c>
      <c r="H550" s="15" t="s">
        <v>3717</v>
      </c>
      <c r="I550" s="15">
        <v>549</v>
      </c>
      <c r="J550" s="15">
        <v>549</v>
      </c>
      <c r="K550" s="15" t="s">
        <v>32</v>
      </c>
      <c r="L550" s="15" t="s">
        <v>3718</v>
      </c>
      <c r="M550" s="15" t="s">
        <v>3719</v>
      </c>
      <c r="N550" s="15" t="s">
        <v>8</v>
      </c>
      <c r="O550" s="15" t="s">
        <v>9</v>
      </c>
      <c r="P550" s="15" t="s">
        <v>3720</v>
      </c>
      <c r="Q550" s="22">
        <f t="shared" si="26"/>
        <v>107750000000</v>
      </c>
      <c r="R550" s="15">
        <v>1609.39</v>
      </c>
      <c r="S550" s="16">
        <v>12.55</v>
      </c>
      <c r="T550" s="15">
        <v>192637079</v>
      </c>
      <c r="U550" s="17">
        <v>45020</v>
      </c>
      <c r="V550" s="15" t="str">
        <f t="shared" si="24"/>
        <v>Complete</v>
      </c>
    </row>
    <row r="551" spans="1:22" ht="14.5" customHeight="1" x14ac:dyDescent="0.35">
      <c r="A551" s="18" t="s">
        <v>7476</v>
      </c>
      <c r="B551" s="18" t="s">
        <v>7477</v>
      </c>
      <c r="C551" s="18" t="s">
        <v>3721</v>
      </c>
      <c r="D551" s="18" t="s">
        <v>3722</v>
      </c>
      <c r="E551" s="18" t="s">
        <v>13</v>
      </c>
      <c r="F551" s="15" t="str">
        <f t="shared" si="25"/>
        <v>Male</v>
      </c>
      <c r="G551" s="18" t="s">
        <v>3723</v>
      </c>
      <c r="H551" s="18" t="s">
        <v>3724</v>
      </c>
      <c r="I551" s="18">
        <v>550</v>
      </c>
      <c r="J551" s="18">
        <v>550</v>
      </c>
      <c r="K551" s="18" t="s">
        <v>5</v>
      </c>
      <c r="L551" s="18" t="s">
        <v>3725</v>
      </c>
      <c r="M551" s="18" t="s">
        <v>3726</v>
      </c>
      <c r="N551" s="18" t="s">
        <v>8</v>
      </c>
      <c r="O551" s="18" t="s">
        <v>26</v>
      </c>
      <c r="P551" s="18" t="s">
        <v>3727</v>
      </c>
      <c r="Q551" s="22">
        <f t="shared" si="26"/>
        <v>154260000</v>
      </c>
      <c r="R551" s="18">
        <v>760.73</v>
      </c>
      <c r="S551" s="19">
        <v>18.18</v>
      </c>
      <c r="T551" s="18">
        <v>164845617</v>
      </c>
      <c r="U551" s="20">
        <v>44243</v>
      </c>
      <c r="V551" s="18" t="str">
        <f t="shared" si="24"/>
        <v>Complete</v>
      </c>
    </row>
    <row r="552" spans="1:22" ht="14.5" customHeight="1" x14ac:dyDescent="0.35">
      <c r="A552" s="15" t="s">
        <v>7478</v>
      </c>
      <c r="B552" s="15" t="s">
        <v>6680</v>
      </c>
      <c r="C552" s="15" t="s">
        <v>3728</v>
      </c>
      <c r="D552" s="15" t="s">
        <v>3729</v>
      </c>
      <c r="E552" s="15" t="s">
        <v>13</v>
      </c>
      <c r="F552" s="15" t="str">
        <f t="shared" si="25"/>
        <v>Male</v>
      </c>
      <c r="G552" s="15" t="s">
        <v>3730</v>
      </c>
      <c r="H552" s="15" t="s">
        <v>3731</v>
      </c>
      <c r="I552" s="15">
        <v>551</v>
      </c>
      <c r="J552" s="15">
        <v>551</v>
      </c>
      <c r="K552" s="15" t="s">
        <v>5</v>
      </c>
      <c r="L552" s="15" t="s">
        <v>3732</v>
      </c>
      <c r="M552" s="15" t="s">
        <v>3733</v>
      </c>
      <c r="N552" s="15" t="s">
        <v>189</v>
      </c>
      <c r="O552" s="15" t="s">
        <v>3734</v>
      </c>
      <c r="P552" s="15" t="s">
        <v>3735</v>
      </c>
      <c r="Q552" s="22">
        <f t="shared" si="26"/>
        <v>71740000</v>
      </c>
      <c r="R552" s="15">
        <v>447.15</v>
      </c>
      <c r="S552" s="16">
        <v>-0.74</v>
      </c>
      <c r="T552" s="15">
        <v>130196939</v>
      </c>
      <c r="U552" s="17">
        <v>46182</v>
      </c>
      <c r="V552" s="15" t="str">
        <f t="shared" si="24"/>
        <v>Complete</v>
      </c>
    </row>
    <row r="553" spans="1:22" ht="14.5" customHeight="1" x14ac:dyDescent="0.35">
      <c r="A553" s="18" t="s">
        <v>7479</v>
      </c>
      <c r="B553" s="18" t="s">
        <v>6643</v>
      </c>
      <c r="C553" s="18" t="s">
        <v>3736</v>
      </c>
      <c r="D553" s="18" t="s">
        <v>3737</v>
      </c>
      <c r="E553" s="18" t="s">
        <v>2</v>
      </c>
      <c r="F553" s="15" t="str">
        <f t="shared" si="25"/>
        <v>Female</v>
      </c>
      <c r="G553" s="18" t="s">
        <v>3738</v>
      </c>
      <c r="H553" s="18" t="s">
        <v>3739</v>
      </c>
      <c r="I553" s="18">
        <v>552</v>
      </c>
      <c r="J553" s="18">
        <v>552</v>
      </c>
      <c r="K553" s="18" t="s">
        <v>5</v>
      </c>
      <c r="L553" s="18" t="s">
        <v>3740</v>
      </c>
      <c r="M553" s="18" t="s">
        <v>3741</v>
      </c>
      <c r="N553" s="18" t="s">
        <v>48</v>
      </c>
      <c r="O553" s="18" t="s">
        <v>57</v>
      </c>
      <c r="P553" s="18" t="s">
        <v>2203</v>
      </c>
      <c r="Q553" s="22">
        <f t="shared" si="26"/>
        <v>1650000000</v>
      </c>
      <c r="R553" s="18">
        <v>1169.53</v>
      </c>
      <c r="S553" s="19">
        <v>18.579999999999998</v>
      </c>
      <c r="T553" s="18">
        <v>158622035</v>
      </c>
      <c r="U553" s="20">
        <v>46052</v>
      </c>
      <c r="V553" s="18" t="str">
        <f t="shared" si="24"/>
        <v>Complete</v>
      </c>
    </row>
    <row r="554" spans="1:22" ht="14.5" customHeight="1" x14ac:dyDescent="0.35">
      <c r="A554" s="15" t="s">
        <v>7480</v>
      </c>
      <c r="B554" s="15" t="s">
        <v>7481</v>
      </c>
      <c r="C554" s="15" t="s">
        <v>3742</v>
      </c>
      <c r="D554" s="15" t="s">
        <v>3743</v>
      </c>
      <c r="E554" s="15" t="s">
        <v>13</v>
      </c>
      <c r="F554" s="15" t="str">
        <f t="shared" si="25"/>
        <v>Male</v>
      </c>
      <c r="G554" s="15" t="s">
        <v>3744</v>
      </c>
      <c r="H554" s="15" t="s">
        <v>3745</v>
      </c>
      <c r="I554" s="15">
        <v>553</v>
      </c>
      <c r="J554" s="15">
        <v>553</v>
      </c>
      <c r="K554" s="15" t="s">
        <v>5</v>
      </c>
      <c r="L554" s="15" t="s">
        <v>3746</v>
      </c>
      <c r="M554" s="15" t="s">
        <v>3747</v>
      </c>
      <c r="N554" s="15" t="s">
        <v>117</v>
      </c>
      <c r="O554" s="15" t="s">
        <v>118</v>
      </c>
      <c r="P554" s="15" t="s">
        <v>3748</v>
      </c>
      <c r="Q554" s="22">
        <f t="shared" si="26"/>
        <v>8390000000.000001</v>
      </c>
      <c r="R554" s="15">
        <v>1547.02</v>
      </c>
      <c r="S554" s="16">
        <v>-7.92</v>
      </c>
      <c r="T554" s="15">
        <v>129219315</v>
      </c>
      <c r="U554" s="17">
        <v>46310</v>
      </c>
      <c r="V554" s="15" t="str">
        <f t="shared" si="24"/>
        <v>Complete</v>
      </c>
    </row>
    <row r="555" spans="1:22" ht="14.5" customHeight="1" x14ac:dyDescent="0.35">
      <c r="A555" s="18" t="s">
        <v>7482</v>
      </c>
      <c r="B555" s="18" t="s">
        <v>6870</v>
      </c>
      <c r="C555" s="18" t="s">
        <v>3749</v>
      </c>
      <c r="D555" s="18" t="s">
        <v>3750</v>
      </c>
      <c r="E555" s="18" t="s">
        <v>13</v>
      </c>
      <c r="F555" s="15" t="str">
        <f t="shared" si="25"/>
        <v>Male</v>
      </c>
      <c r="G555" s="18" t="s">
        <v>3751</v>
      </c>
      <c r="H555" s="18" t="s">
        <v>3752</v>
      </c>
      <c r="I555" s="18">
        <v>554</v>
      </c>
      <c r="J555" s="18">
        <v>554</v>
      </c>
      <c r="K555" s="18" t="s">
        <v>32</v>
      </c>
      <c r="L555" s="18" t="s">
        <v>3753</v>
      </c>
      <c r="M555" s="18" t="s">
        <v>3754</v>
      </c>
      <c r="N555" s="18" t="s">
        <v>8033</v>
      </c>
      <c r="O555" s="18" t="s">
        <v>8033</v>
      </c>
      <c r="P555" s="18" t="s">
        <v>101</v>
      </c>
      <c r="Q555" s="22">
        <f t="shared" si="26"/>
        <v>1100000000</v>
      </c>
      <c r="R555" s="18">
        <v>1989.14</v>
      </c>
      <c r="S555" s="19">
        <v>-17.78</v>
      </c>
      <c r="T555" s="18">
        <v>72338803</v>
      </c>
      <c r="U555" s="20">
        <v>44073</v>
      </c>
      <c r="V555" s="18" t="str">
        <f t="shared" si="24"/>
        <v>Missing</v>
      </c>
    </row>
    <row r="556" spans="1:22" ht="14.5" customHeight="1" x14ac:dyDescent="0.35">
      <c r="A556" s="15" t="s">
        <v>7483</v>
      </c>
      <c r="B556" s="15" t="s">
        <v>7448</v>
      </c>
      <c r="C556" s="15" t="s">
        <v>3755</v>
      </c>
      <c r="D556" s="15" t="s">
        <v>3756</v>
      </c>
      <c r="E556" s="15" t="s">
        <v>13</v>
      </c>
      <c r="F556" s="15" t="str">
        <f t="shared" si="25"/>
        <v>Male</v>
      </c>
      <c r="G556" s="15" t="s">
        <v>3757</v>
      </c>
      <c r="H556" s="15" t="s">
        <v>3758</v>
      </c>
      <c r="I556" s="15">
        <v>555</v>
      </c>
      <c r="J556" s="15">
        <v>555</v>
      </c>
      <c r="K556" s="15" t="s">
        <v>32</v>
      </c>
      <c r="L556" s="15" t="s">
        <v>3759</v>
      </c>
      <c r="M556" s="15" t="s">
        <v>3760</v>
      </c>
      <c r="N556" s="15" t="s">
        <v>8033</v>
      </c>
      <c r="O556" s="15" t="s">
        <v>8033</v>
      </c>
      <c r="P556" s="15" t="s">
        <v>3761</v>
      </c>
      <c r="Q556" s="22">
        <f t="shared" si="26"/>
        <v>305710000</v>
      </c>
      <c r="R556" s="15">
        <v>1345.43</v>
      </c>
      <c r="S556" s="16">
        <v>8.6300000000000008</v>
      </c>
      <c r="T556" s="15">
        <v>114585751</v>
      </c>
      <c r="U556" s="17">
        <v>44323</v>
      </c>
      <c r="V556" s="15" t="str">
        <f t="shared" si="24"/>
        <v>Missing</v>
      </c>
    </row>
    <row r="557" spans="1:22" ht="14.5" customHeight="1" x14ac:dyDescent="0.35">
      <c r="A557" s="18" t="s">
        <v>7484</v>
      </c>
      <c r="B557" s="18" t="s">
        <v>6795</v>
      </c>
      <c r="C557" s="18" t="s">
        <v>3762</v>
      </c>
      <c r="D557" s="18" t="s">
        <v>1219</v>
      </c>
      <c r="E557" s="18" t="s">
        <v>13</v>
      </c>
      <c r="F557" s="15" t="str">
        <f t="shared" si="25"/>
        <v>Male</v>
      </c>
      <c r="G557" s="18" t="s">
        <v>3763</v>
      </c>
      <c r="H557" s="18" t="s">
        <v>3764</v>
      </c>
      <c r="I557" s="18">
        <v>556</v>
      </c>
      <c r="J557" s="18">
        <v>556</v>
      </c>
      <c r="K557" s="18" t="s">
        <v>32</v>
      </c>
      <c r="L557" s="18" t="s">
        <v>3765</v>
      </c>
      <c r="M557" s="18" t="s">
        <v>3766</v>
      </c>
      <c r="N557" s="18" t="s">
        <v>48</v>
      </c>
      <c r="O557" s="18" t="s">
        <v>2323</v>
      </c>
      <c r="P557" s="18" t="s">
        <v>3767</v>
      </c>
      <c r="Q557" s="22">
        <f t="shared" si="26"/>
        <v>330010000</v>
      </c>
      <c r="R557" s="18">
        <v>1312.56</v>
      </c>
      <c r="S557" s="19">
        <v>-7.62</v>
      </c>
      <c r="T557" s="18">
        <v>50048221</v>
      </c>
      <c r="U557" s="20">
        <v>45855</v>
      </c>
      <c r="V557" s="18" t="str">
        <f t="shared" si="24"/>
        <v>Complete</v>
      </c>
    </row>
    <row r="558" spans="1:22" ht="14.5" customHeight="1" x14ac:dyDescent="0.35">
      <c r="A558" s="15" t="s">
        <v>7485</v>
      </c>
      <c r="B558" s="15" t="s">
        <v>6729</v>
      </c>
      <c r="C558" s="15" t="s">
        <v>3768</v>
      </c>
      <c r="D558" s="15" t="s">
        <v>3769</v>
      </c>
      <c r="E558" s="15" t="s">
        <v>2</v>
      </c>
      <c r="F558" s="15" t="str">
        <f t="shared" si="25"/>
        <v>Female</v>
      </c>
      <c r="G558" s="15" t="s">
        <v>3770</v>
      </c>
      <c r="H558" s="15" t="s">
        <v>3771</v>
      </c>
      <c r="I558" s="15">
        <v>557</v>
      </c>
      <c r="J558" s="15">
        <v>557</v>
      </c>
      <c r="K558" s="15" t="s">
        <v>32</v>
      </c>
      <c r="L558" s="15" t="s">
        <v>3772</v>
      </c>
      <c r="M558" s="15" t="s">
        <v>3773</v>
      </c>
      <c r="N558" s="15" t="s">
        <v>25</v>
      </c>
      <c r="O558" s="15" t="s">
        <v>3774</v>
      </c>
      <c r="P558" s="15" t="s">
        <v>3775</v>
      </c>
      <c r="Q558" s="22">
        <f t="shared" si="26"/>
        <v>12700000000</v>
      </c>
      <c r="R558" s="15">
        <v>528.54999999999995</v>
      </c>
      <c r="S558" s="16">
        <v>16.47</v>
      </c>
      <c r="T558" s="15">
        <v>88264532</v>
      </c>
      <c r="U558" s="17">
        <v>45634</v>
      </c>
      <c r="V558" s="15" t="str">
        <f t="shared" si="24"/>
        <v>Complete</v>
      </c>
    </row>
    <row r="559" spans="1:22" ht="14.5" customHeight="1" x14ac:dyDescent="0.35">
      <c r="A559" s="18" t="s">
        <v>7486</v>
      </c>
      <c r="B559" s="18" t="s">
        <v>7412</v>
      </c>
      <c r="C559" s="18" t="s">
        <v>3776</v>
      </c>
      <c r="D559" s="18" t="s">
        <v>3777</v>
      </c>
      <c r="E559" s="18" t="s">
        <v>13</v>
      </c>
      <c r="F559" s="15" t="str">
        <f t="shared" si="25"/>
        <v>Male</v>
      </c>
      <c r="G559" s="18" t="s">
        <v>3778</v>
      </c>
      <c r="H559" s="18" t="s">
        <v>3779</v>
      </c>
      <c r="I559" s="18">
        <v>558</v>
      </c>
      <c r="J559" s="18">
        <v>558</v>
      </c>
      <c r="K559" s="18" t="s">
        <v>32</v>
      </c>
      <c r="L559" s="18" t="s">
        <v>3780</v>
      </c>
      <c r="M559" s="18" t="s">
        <v>3781</v>
      </c>
      <c r="N559" s="18" t="s">
        <v>323</v>
      </c>
      <c r="O559" s="18" t="s">
        <v>324</v>
      </c>
      <c r="P559" s="18" t="s">
        <v>3782</v>
      </c>
      <c r="Q559" s="22">
        <f t="shared" si="26"/>
        <v>3560000000</v>
      </c>
      <c r="R559" s="18">
        <v>1973.49</v>
      </c>
      <c r="S559" s="19">
        <v>-2.72</v>
      </c>
      <c r="T559" s="18">
        <v>51422290</v>
      </c>
      <c r="U559" s="20">
        <v>46041</v>
      </c>
      <c r="V559" s="18" t="str">
        <f t="shared" si="24"/>
        <v>Complete</v>
      </c>
    </row>
    <row r="560" spans="1:22" ht="14.5" customHeight="1" x14ac:dyDescent="0.35">
      <c r="A560" s="15" t="s">
        <v>7487</v>
      </c>
      <c r="B560" s="15" t="s">
        <v>7128</v>
      </c>
      <c r="C560" s="15" t="s">
        <v>3783</v>
      </c>
      <c r="D560" s="15" t="s">
        <v>3784</v>
      </c>
      <c r="E560" s="15" t="s">
        <v>2</v>
      </c>
      <c r="F560" s="15" t="str">
        <f t="shared" si="25"/>
        <v>Female</v>
      </c>
      <c r="G560" s="15" t="s">
        <v>3785</v>
      </c>
      <c r="H560" s="15" t="s">
        <v>3786</v>
      </c>
      <c r="I560" s="15">
        <v>559</v>
      </c>
      <c r="J560" s="15">
        <v>559</v>
      </c>
      <c r="K560" s="15" t="s">
        <v>32</v>
      </c>
      <c r="L560" s="15" t="s">
        <v>3787</v>
      </c>
      <c r="M560" s="15" t="s">
        <v>3788</v>
      </c>
      <c r="N560" s="15" t="s">
        <v>189</v>
      </c>
      <c r="O560" s="15" t="s">
        <v>1047</v>
      </c>
      <c r="P560" s="15" t="s">
        <v>3789</v>
      </c>
      <c r="Q560" s="22">
        <f t="shared" si="26"/>
        <v>229320000000</v>
      </c>
      <c r="R560" s="15">
        <v>1160.17</v>
      </c>
      <c r="S560" s="16">
        <v>-1.5</v>
      </c>
      <c r="T560" s="15">
        <v>89076818</v>
      </c>
      <c r="U560" s="17">
        <v>45108</v>
      </c>
      <c r="V560" s="15" t="str">
        <f t="shared" si="24"/>
        <v>Complete</v>
      </c>
    </row>
    <row r="561" spans="1:22" ht="14.5" customHeight="1" x14ac:dyDescent="0.35">
      <c r="A561" s="18" t="s">
        <v>7488</v>
      </c>
      <c r="B561" s="18" t="s">
        <v>7038</v>
      </c>
      <c r="C561" s="18" t="s">
        <v>3790</v>
      </c>
      <c r="D561" s="18" t="s">
        <v>3791</v>
      </c>
      <c r="E561" s="18" t="s">
        <v>13</v>
      </c>
      <c r="F561" s="15" t="str">
        <f t="shared" si="25"/>
        <v>Male</v>
      </c>
      <c r="G561" s="18" t="s">
        <v>3792</v>
      </c>
      <c r="H561" s="18" t="s">
        <v>3793</v>
      </c>
      <c r="I561" s="18">
        <v>560</v>
      </c>
      <c r="J561" s="18">
        <v>560</v>
      </c>
      <c r="K561" s="18" t="s">
        <v>5</v>
      </c>
      <c r="L561" s="18" t="s">
        <v>3794</v>
      </c>
      <c r="M561" s="18" t="s">
        <v>3795</v>
      </c>
      <c r="N561" s="18" t="s">
        <v>48</v>
      </c>
      <c r="O561" s="18" t="s">
        <v>57</v>
      </c>
      <c r="P561" s="18" t="s">
        <v>3796</v>
      </c>
      <c r="Q561" s="22">
        <f t="shared" si="26"/>
        <v>198160000</v>
      </c>
      <c r="R561" s="18">
        <v>25.25</v>
      </c>
      <c r="S561" s="19">
        <v>-9.08</v>
      </c>
      <c r="T561" s="18">
        <v>11761725</v>
      </c>
      <c r="U561" s="20">
        <v>45350</v>
      </c>
      <c r="V561" s="18" t="str">
        <f t="shared" si="24"/>
        <v>Complete</v>
      </c>
    </row>
    <row r="562" spans="1:22" ht="14.5" customHeight="1" x14ac:dyDescent="0.35">
      <c r="A562" s="15" t="s">
        <v>7489</v>
      </c>
      <c r="B562" s="15" t="s">
        <v>7490</v>
      </c>
      <c r="C562" s="15" t="s">
        <v>3797</v>
      </c>
      <c r="D562" s="15" t="s">
        <v>3798</v>
      </c>
      <c r="E562" s="15" t="s">
        <v>13</v>
      </c>
      <c r="F562" s="15" t="str">
        <f t="shared" si="25"/>
        <v>Male</v>
      </c>
      <c r="G562" s="15" t="s">
        <v>3799</v>
      </c>
      <c r="H562" s="15" t="s">
        <v>3800</v>
      </c>
      <c r="I562" s="15">
        <v>561</v>
      </c>
      <c r="J562" s="15">
        <v>561</v>
      </c>
      <c r="K562" s="15" t="s">
        <v>5</v>
      </c>
      <c r="L562" s="15" t="s">
        <v>3801</v>
      </c>
      <c r="M562" s="15" t="s">
        <v>3802</v>
      </c>
      <c r="N562" s="15" t="s">
        <v>189</v>
      </c>
      <c r="O562" s="15" t="s">
        <v>2930</v>
      </c>
      <c r="P562" s="15" t="s">
        <v>3803</v>
      </c>
      <c r="Q562" s="22">
        <f t="shared" si="26"/>
        <v>6140000</v>
      </c>
      <c r="R562" s="15">
        <v>1050.6199999999999</v>
      </c>
      <c r="S562" s="16">
        <v>3.9</v>
      </c>
      <c r="T562" s="15">
        <v>48993888</v>
      </c>
      <c r="U562" s="17">
        <v>45926</v>
      </c>
      <c r="V562" s="15" t="str">
        <f t="shared" si="24"/>
        <v>Complete</v>
      </c>
    </row>
    <row r="563" spans="1:22" ht="14.5" customHeight="1" x14ac:dyDescent="0.35">
      <c r="A563" s="18" t="s">
        <v>7491</v>
      </c>
      <c r="B563" s="18" t="s">
        <v>6859</v>
      </c>
      <c r="C563" s="18" t="s">
        <v>3804</v>
      </c>
      <c r="D563" s="18" t="s">
        <v>3805</v>
      </c>
      <c r="E563" s="18" t="s">
        <v>13</v>
      </c>
      <c r="F563" s="15" t="str">
        <f t="shared" si="25"/>
        <v>Male</v>
      </c>
      <c r="G563" s="18" t="s">
        <v>3806</v>
      </c>
      <c r="H563" s="18" t="s">
        <v>3807</v>
      </c>
      <c r="I563" s="18">
        <v>562</v>
      </c>
      <c r="J563" s="18">
        <v>562</v>
      </c>
      <c r="K563" s="18" t="s">
        <v>5</v>
      </c>
      <c r="L563" s="18" t="s">
        <v>3808</v>
      </c>
      <c r="M563" s="18" t="s">
        <v>3809</v>
      </c>
      <c r="N563" s="18" t="s">
        <v>25</v>
      </c>
      <c r="O563" s="18" t="s">
        <v>2114</v>
      </c>
      <c r="P563" s="18" t="s">
        <v>3810</v>
      </c>
      <c r="Q563" s="22">
        <f t="shared" si="26"/>
        <v>410690000</v>
      </c>
      <c r="R563" s="18">
        <v>323.24</v>
      </c>
      <c r="S563" s="19">
        <v>-10.97</v>
      </c>
      <c r="T563" s="18">
        <v>100359266</v>
      </c>
      <c r="U563" s="20">
        <v>44741</v>
      </c>
      <c r="V563" s="18" t="str">
        <f t="shared" si="24"/>
        <v>Complete</v>
      </c>
    </row>
    <row r="564" spans="1:22" ht="14.5" customHeight="1" x14ac:dyDescent="0.35">
      <c r="A564" s="15" t="s">
        <v>7492</v>
      </c>
      <c r="B564" s="15" t="s">
        <v>7493</v>
      </c>
      <c r="C564" s="15" t="s">
        <v>3811</v>
      </c>
      <c r="D564" s="15" t="s">
        <v>3812</v>
      </c>
      <c r="E564" s="15" t="s">
        <v>13</v>
      </c>
      <c r="F564" s="15" t="str">
        <f t="shared" si="25"/>
        <v>Male</v>
      </c>
      <c r="G564" s="15" t="s">
        <v>3813</v>
      </c>
      <c r="H564" s="15" t="s">
        <v>3814</v>
      </c>
      <c r="I564" s="15">
        <v>563</v>
      </c>
      <c r="J564" s="15">
        <v>563</v>
      </c>
      <c r="K564" s="15" t="s">
        <v>32</v>
      </c>
      <c r="L564" s="15" t="s">
        <v>3815</v>
      </c>
      <c r="M564" s="15" t="s">
        <v>541</v>
      </c>
      <c r="N564" s="15" t="s">
        <v>8033</v>
      </c>
      <c r="O564" s="15" t="s">
        <v>8033</v>
      </c>
      <c r="P564" s="15" t="s">
        <v>8033</v>
      </c>
      <c r="Q564" s="22">
        <f t="shared" si="26"/>
        <v>0</v>
      </c>
      <c r="R564" s="15">
        <v>1702.18</v>
      </c>
      <c r="S564" s="16">
        <v>14.95</v>
      </c>
      <c r="T564" s="15">
        <v>161461346</v>
      </c>
      <c r="U564" s="17">
        <v>44541</v>
      </c>
      <c r="V564" s="15" t="str">
        <f t="shared" si="24"/>
        <v>Missing</v>
      </c>
    </row>
    <row r="565" spans="1:22" ht="14.5" customHeight="1" x14ac:dyDescent="0.35">
      <c r="A565" s="18" t="s">
        <v>7494</v>
      </c>
      <c r="B565" s="18" t="s">
        <v>7412</v>
      </c>
      <c r="C565" s="18" t="s">
        <v>1676</v>
      </c>
      <c r="D565" s="18" t="s">
        <v>3816</v>
      </c>
      <c r="E565" s="18" t="s">
        <v>13</v>
      </c>
      <c r="F565" s="15" t="str">
        <f t="shared" si="25"/>
        <v>Male</v>
      </c>
      <c r="G565" s="18" t="s">
        <v>3817</v>
      </c>
      <c r="H565" s="18" t="s">
        <v>3818</v>
      </c>
      <c r="I565" s="18">
        <v>564</v>
      </c>
      <c r="J565" s="18">
        <v>564</v>
      </c>
      <c r="K565" s="18" t="s">
        <v>5</v>
      </c>
      <c r="L565" s="18" t="s">
        <v>3819</v>
      </c>
      <c r="M565" s="18" t="s">
        <v>3820</v>
      </c>
      <c r="N565" s="18" t="s">
        <v>8</v>
      </c>
      <c r="O565" s="18" t="s">
        <v>18</v>
      </c>
      <c r="P565" s="18" t="s">
        <v>3821</v>
      </c>
      <c r="Q565" s="22">
        <f t="shared" si="26"/>
        <v>20950000</v>
      </c>
      <c r="R565" s="18">
        <v>1728.24</v>
      </c>
      <c r="S565" s="19">
        <v>-1.2</v>
      </c>
      <c r="T565" s="18">
        <v>65243963</v>
      </c>
      <c r="U565" s="20">
        <v>44587</v>
      </c>
      <c r="V565" s="18" t="str">
        <f t="shared" si="24"/>
        <v>Complete</v>
      </c>
    </row>
    <row r="566" spans="1:22" ht="14.5" customHeight="1" x14ac:dyDescent="0.35">
      <c r="A566" s="15" t="s">
        <v>7495</v>
      </c>
      <c r="B566" s="15" t="s">
        <v>7496</v>
      </c>
      <c r="C566" s="15" t="s">
        <v>3822</v>
      </c>
      <c r="D566" s="15" t="s">
        <v>3823</v>
      </c>
      <c r="E566" s="15" t="s">
        <v>2</v>
      </c>
      <c r="F566" s="15" t="str">
        <f t="shared" si="25"/>
        <v>Female</v>
      </c>
      <c r="G566" s="15" t="s">
        <v>3824</v>
      </c>
      <c r="H566" s="15" t="s">
        <v>3825</v>
      </c>
      <c r="I566" s="15">
        <v>565</v>
      </c>
      <c r="J566" s="15">
        <v>565</v>
      </c>
      <c r="K566" s="15" t="s">
        <v>32</v>
      </c>
      <c r="L566" s="15" t="s">
        <v>3826</v>
      </c>
      <c r="M566" s="15" t="s">
        <v>3827</v>
      </c>
      <c r="N566" s="15" t="s">
        <v>8033</v>
      </c>
      <c r="O566" s="15" t="s">
        <v>8033</v>
      </c>
      <c r="P566" s="15" t="s">
        <v>3828</v>
      </c>
      <c r="Q566" s="22">
        <f t="shared" si="26"/>
        <v>239770000</v>
      </c>
      <c r="R566" s="15">
        <v>702.63</v>
      </c>
      <c r="S566" s="16">
        <v>8.81</v>
      </c>
      <c r="T566" s="15">
        <v>158709358</v>
      </c>
      <c r="U566" s="17">
        <v>44800</v>
      </c>
      <c r="V566" s="15" t="str">
        <f t="shared" si="24"/>
        <v>Missing</v>
      </c>
    </row>
    <row r="567" spans="1:22" ht="14.5" customHeight="1" x14ac:dyDescent="0.35">
      <c r="A567" s="18" t="s">
        <v>7497</v>
      </c>
      <c r="B567" s="18" t="s">
        <v>7227</v>
      </c>
      <c r="C567" s="18" t="s">
        <v>3829</v>
      </c>
      <c r="D567" s="18" t="s">
        <v>3830</v>
      </c>
      <c r="E567" s="18" t="s">
        <v>2</v>
      </c>
      <c r="F567" s="15" t="str">
        <f t="shared" si="25"/>
        <v>Female</v>
      </c>
      <c r="G567" s="18" t="s">
        <v>3831</v>
      </c>
      <c r="H567" s="18" t="s">
        <v>3832</v>
      </c>
      <c r="I567" s="18">
        <v>566</v>
      </c>
      <c r="J567" s="18">
        <v>566</v>
      </c>
      <c r="K567" s="18" t="s">
        <v>5</v>
      </c>
      <c r="L567" s="18" t="s">
        <v>3833</v>
      </c>
      <c r="M567" s="18" t="s">
        <v>3834</v>
      </c>
      <c r="N567" s="18" t="s">
        <v>48</v>
      </c>
      <c r="O567" s="18" t="s">
        <v>57</v>
      </c>
      <c r="P567" s="18" t="s">
        <v>8033</v>
      </c>
      <c r="Q567" s="22">
        <f t="shared" si="26"/>
        <v>0</v>
      </c>
      <c r="R567" s="18">
        <v>863.27</v>
      </c>
      <c r="S567" s="19">
        <v>-5.13</v>
      </c>
      <c r="T567" s="18">
        <v>169643457</v>
      </c>
      <c r="U567" s="20">
        <v>44053</v>
      </c>
      <c r="V567" s="18" t="str">
        <f t="shared" si="24"/>
        <v>Missing</v>
      </c>
    </row>
    <row r="568" spans="1:22" ht="14.5" customHeight="1" x14ac:dyDescent="0.35">
      <c r="A568" s="15" t="s">
        <v>7498</v>
      </c>
      <c r="B568" s="15" t="s">
        <v>7072</v>
      </c>
      <c r="C568" s="15" t="s">
        <v>3835</v>
      </c>
      <c r="D568" s="15" t="s">
        <v>3836</v>
      </c>
      <c r="E568" s="15" t="s">
        <v>52</v>
      </c>
      <c r="F568" s="15" t="str">
        <f t="shared" si="25"/>
        <v>Other</v>
      </c>
      <c r="G568" s="15" t="s">
        <v>3837</v>
      </c>
      <c r="H568" s="15" t="s">
        <v>3838</v>
      </c>
      <c r="I568" s="15">
        <v>567</v>
      </c>
      <c r="J568" s="15">
        <v>567</v>
      </c>
      <c r="K568" s="15" t="s">
        <v>5</v>
      </c>
      <c r="L568" s="15" t="s">
        <v>3839</v>
      </c>
      <c r="M568" s="15" t="s">
        <v>3840</v>
      </c>
      <c r="N568" s="15" t="s">
        <v>8</v>
      </c>
      <c r="O568" s="15" t="s">
        <v>9</v>
      </c>
      <c r="P568" s="15" t="s">
        <v>3841</v>
      </c>
      <c r="Q568" s="22">
        <f t="shared" si="26"/>
        <v>647690000</v>
      </c>
      <c r="R568" s="15">
        <v>1741.66</v>
      </c>
      <c r="S568" s="16">
        <v>5.12</v>
      </c>
      <c r="T568" s="15">
        <v>189706155</v>
      </c>
      <c r="U568" s="17">
        <v>45448</v>
      </c>
      <c r="V568" s="15" t="str">
        <f t="shared" si="24"/>
        <v>Complete</v>
      </c>
    </row>
    <row r="569" spans="1:22" ht="14.5" customHeight="1" x14ac:dyDescent="0.35">
      <c r="A569" s="18" t="s">
        <v>7499</v>
      </c>
      <c r="B569" s="18" t="s">
        <v>7141</v>
      </c>
      <c r="C569" s="18" t="s">
        <v>3842</v>
      </c>
      <c r="D569" s="18" t="s">
        <v>3843</v>
      </c>
      <c r="E569" s="18" t="s">
        <v>2</v>
      </c>
      <c r="F569" s="15" t="str">
        <f t="shared" si="25"/>
        <v>Female</v>
      </c>
      <c r="G569" s="18" t="s">
        <v>3844</v>
      </c>
      <c r="H569" s="18" t="s">
        <v>3845</v>
      </c>
      <c r="I569" s="18">
        <v>568</v>
      </c>
      <c r="J569" s="18">
        <v>568</v>
      </c>
      <c r="K569" s="18" t="s">
        <v>5</v>
      </c>
      <c r="L569" s="18" t="s">
        <v>247</v>
      </c>
      <c r="M569" s="18" t="s">
        <v>248</v>
      </c>
      <c r="N569" s="18" t="s">
        <v>8</v>
      </c>
      <c r="O569" s="18" t="s">
        <v>9</v>
      </c>
      <c r="P569" s="18" t="s">
        <v>249</v>
      </c>
      <c r="Q569" s="22">
        <f t="shared" si="26"/>
        <v>73790000</v>
      </c>
      <c r="R569" s="18">
        <v>389.84</v>
      </c>
      <c r="S569" s="19">
        <v>-1.44</v>
      </c>
      <c r="T569" s="18">
        <v>63638363</v>
      </c>
      <c r="U569" s="20">
        <v>45679</v>
      </c>
      <c r="V569" s="18" t="str">
        <f t="shared" si="24"/>
        <v>Complete</v>
      </c>
    </row>
    <row r="570" spans="1:22" ht="14.5" customHeight="1" x14ac:dyDescent="0.35">
      <c r="A570" s="15" t="s">
        <v>7500</v>
      </c>
      <c r="B570" s="15" t="s">
        <v>6961</v>
      </c>
      <c r="C570" s="15" t="s">
        <v>3846</v>
      </c>
      <c r="D570" s="15" t="s">
        <v>3847</v>
      </c>
      <c r="E570" s="15" t="s">
        <v>2</v>
      </c>
      <c r="F570" s="15" t="str">
        <f t="shared" si="25"/>
        <v>Female</v>
      </c>
      <c r="G570" s="15" t="s">
        <v>3848</v>
      </c>
      <c r="H570" s="15" t="s">
        <v>3849</v>
      </c>
      <c r="I570" s="15">
        <v>569</v>
      </c>
      <c r="J570" s="15">
        <v>569</v>
      </c>
      <c r="K570" s="15" t="s">
        <v>5</v>
      </c>
      <c r="L570" s="15" t="s">
        <v>3850</v>
      </c>
      <c r="M570" s="15" t="s">
        <v>3851</v>
      </c>
      <c r="N570" s="15" t="s">
        <v>48</v>
      </c>
      <c r="O570" s="15" t="s">
        <v>204</v>
      </c>
      <c r="P570" s="15" t="s">
        <v>3852</v>
      </c>
      <c r="Q570" s="22">
        <f t="shared" si="26"/>
        <v>2380000000</v>
      </c>
      <c r="R570" s="15">
        <v>104.95</v>
      </c>
      <c r="S570" s="16">
        <v>15.81</v>
      </c>
      <c r="T570" s="15">
        <v>67582167</v>
      </c>
      <c r="U570" s="17">
        <v>44174</v>
      </c>
      <c r="V570" s="15" t="str">
        <f t="shared" si="24"/>
        <v>Complete</v>
      </c>
    </row>
    <row r="571" spans="1:22" ht="14.5" customHeight="1" x14ac:dyDescent="0.35">
      <c r="A571" s="18" t="s">
        <v>7501</v>
      </c>
      <c r="B571" s="18" t="s">
        <v>6669</v>
      </c>
      <c r="C571" s="18" t="s">
        <v>3853</v>
      </c>
      <c r="D571" s="18" t="s">
        <v>3854</v>
      </c>
      <c r="E571" s="18" t="s">
        <v>13</v>
      </c>
      <c r="F571" s="15" t="str">
        <f t="shared" si="25"/>
        <v>Male</v>
      </c>
      <c r="G571" s="18" t="s">
        <v>3855</v>
      </c>
      <c r="H571" s="18" t="s">
        <v>3856</v>
      </c>
      <c r="I571" s="18">
        <v>570</v>
      </c>
      <c r="J571" s="18">
        <v>570</v>
      </c>
      <c r="K571" s="18" t="s">
        <v>5</v>
      </c>
      <c r="L571" s="18" t="s">
        <v>3857</v>
      </c>
      <c r="M571" s="18" t="s">
        <v>3858</v>
      </c>
      <c r="N571" s="18" t="s">
        <v>25</v>
      </c>
      <c r="O571" s="18" t="s">
        <v>151</v>
      </c>
      <c r="P571" s="18" t="s">
        <v>3859</v>
      </c>
      <c r="Q571" s="22">
        <f t="shared" si="26"/>
        <v>444680000</v>
      </c>
      <c r="R571" s="18">
        <v>1004.84</v>
      </c>
      <c r="S571" s="19">
        <v>0.22</v>
      </c>
      <c r="T571" s="18">
        <v>129089197</v>
      </c>
      <c r="U571" s="20">
        <v>44500</v>
      </c>
      <c r="V571" s="18" t="str">
        <f t="shared" si="24"/>
        <v>Complete</v>
      </c>
    </row>
    <row r="572" spans="1:22" ht="14.5" customHeight="1" x14ac:dyDescent="0.35">
      <c r="A572" s="15" t="s">
        <v>7502</v>
      </c>
      <c r="B572" s="15" t="s">
        <v>7354</v>
      </c>
      <c r="C572" s="15" t="s">
        <v>3860</v>
      </c>
      <c r="D572" s="15" t="s">
        <v>3861</v>
      </c>
      <c r="E572" s="15" t="s">
        <v>208</v>
      </c>
      <c r="F572" s="15" t="str">
        <f t="shared" si="25"/>
        <v>Other</v>
      </c>
      <c r="G572" s="15" t="s">
        <v>3862</v>
      </c>
      <c r="H572" s="15" t="s">
        <v>3863</v>
      </c>
      <c r="I572" s="15">
        <v>571</v>
      </c>
      <c r="J572" s="15">
        <v>571</v>
      </c>
      <c r="K572" s="15" t="s">
        <v>5</v>
      </c>
      <c r="L572" s="15" t="s">
        <v>3864</v>
      </c>
      <c r="M572" s="15" t="s">
        <v>3865</v>
      </c>
      <c r="N572" s="15" t="s">
        <v>8</v>
      </c>
      <c r="O572" s="15" t="s">
        <v>840</v>
      </c>
      <c r="P572" s="15" t="s">
        <v>3866</v>
      </c>
      <c r="Q572" s="22">
        <f t="shared" si="26"/>
        <v>371140000</v>
      </c>
      <c r="R572" s="15">
        <v>1254.6400000000001</v>
      </c>
      <c r="S572" s="16">
        <v>-17.579999999999998</v>
      </c>
      <c r="T572" s="15">
        <v>138214657</v>
      </c>
      <c r="U572" s="17">
        <v>45712</v>
      </c>
      <c r="V572" s="15" t="str">
        <f t="shared" si="24"/>
        <v>Complete</v>
      </c>
    </row>
    <row r="573" spans="1:22" ht="14.5" customHeight="1" x14ac:dyDescent="0.35">
      <c r="A573" s="18" t="s">
        <v>7503</v>
      </c>
      <c r="B573" s="18" t="s">
        <v>6597</v>
      </c>
      <c r="C573" s="18" t="s">
        <v>3867</v>
      </c>
      <c r="D573" s="18" t="s">
        <v>3868</v>
      </c>
      <c r="E573" s="18" t="s">
        <v>13</v>
      </c>
      <c r="F573" s="15" t="str">
        <f t="shared" si="25"/>
        <v>Male</v>
      </c>
      <c r="G573" s="18" t="s">
        <v>3869</v>
      </c>
      <c r="H573" s="18" t="s">
        <v>3870</v>
      </c>
      <c r="I573" s="18">
        <v>572</v>
      </c>
      <c r="J573" s="18">
        <v>572</v>
      </c>
      <c r="K573" s="18" t="s">
        <v>32</v>
      </c>
      <c r="L573" s="18" t="s">
        <v>3871</v>
      </c>
      <c r="M573" s="18" t="s">
        <v>3872</v>
      </c>
      <c r="N573" s="18" t="s">
        <v>99</v>
      </c>
      <c r="O573" s="18" t="s">
        <v>2604</v>
      </c>
      <c r="P573" s="18" t="s">
        <v>3873</v>
      </c>
      <c r="Q573" s="22">
        <f t="shared" si="26"/>
        <v>2650000000</v>
      </c>
      <c r="R573" s="18">
        <v>1861.86</v>
      </c>
      <c r="S573" s="19">
        <v>4.34</v>
      </c>
      <c r="T573" s="18">
        <v>48148697</v>
      </c>
      <c r="U573" s="20">
        <v>45752</v>
      </c>
      <c r="V573" s="18" t="str">
        <f t="shared" si="24"/>
        <v>Complete</v>
      </c>
    </row>
    <row r="574" spans="1:22" ht="14.5" customHeight="1" x14ac:dyDescent="0.35">
      <c r="A574" s="15" t="s">
        <v>7504</v>
      </c>
      <c r="B574" s="15" t="s">
        <v>6595</v>
      </c>
      <c r="C574" s="15" t="s">
        <v>3874</v>
      </c>
      <c r="D574" s="15" t="s">
        <v>3875</v>
      </c>
      <c r="E574" s="15" t="s">
        <v>13</v>
      </c>
      <c r="F574" s="15" t="str">
        <f t="shared" si="25"/>
        <v>Male</v>
      </c>
      <c r="G574" s="15" t="s">
        <v>3876</v>
      </c>
      <c r="H574" s="15" t="s">
        <v>3877</v>
      </c>
      <c r="I574" s="15">
        <v>573</v>
      </c>
      <c r="J574" s="15">
        <v>573</v>
      </c>
      <c r="K574" s="15" t="s">
        <v>32</v>
      </c>
      <c r="L574" s="15" t="s">
        <v>3878</v>
      </c>
      <c r="M574" s="15" t="s">
        <v>3879</v>
      </c>
      <c r="N574" s="15" t="s">
        <v>134</v>
      </c>
      <c r="O574" s="15" t="s">
        <v>2176</v>
      </c>
      <c r="P574" s="15" t="s">
        <v>3880</v>
      </c>
      <c r="Q574" s="22">
        <f t="shared" si="26"/>
        <v>9010000000</v>
      </c>
      <c r="R574" s="15">
        <v>353.75</v>
      </c>
      <c r="S574" s="16">
        <v>3.45</v>
      </c>
      <c r="T574" s="15">
        <v>53535227</v>
      </c>
      <c r="U574" s="17">
        <v>44149</v>
      </c>
      <c r="V574" s="15" t="str">
        <f t="shared" si="24"/>
        <v>Complete</v>
      </c>
    </row>
    <row r="575" spans="1:22" ht="14.5" customHeight="1" x14ac:dyDescent="0.35">
      <c r="A575" s="18" t="s">
        <v>7505</v>
      </c>
      <c r="B575" s="18" t="s">
        <v>6817</v>
      </c>
      <c r="C575" s="18" t="s">
        <v>3881</v>
      </c>
      <c r="D575" s="18" t="s">
        <v>3882</v>
      </c>
      <c r="E575" s="18" t="s">
        <v>13</v>
      </c>
      <c r="F575" s="15" t="str">
        <f t="shared" si="25"/>
        <v>Male</v>
      </c>
      <c r="G575" s="18" t="s">
        <v>3883</v>
      </c>
      <c r="H575" s="18" t="s">
        <v>3884</v>
      </c>
      <c r="I575" s="18">
        <v>574</v>
      </c>
      <c r="J575" s="18">
        <v>574</v>
      </c>
      <c r="K575" s="18" t="s">
        <v>32</v>
      </c>
      <c r="L575" s="18" t="s">
        <v>3885</v>
      </c>
      <c r="M575" s="18" t="s">
        <v>3886</v>
      </c>
      <c r="N575" s="18" t="s">
        <v>99</v>
      </c>
      <c r="O575" s="18" t="s">
        <v>1553</v>
      </c>
      <c r="P575" s="18" t="s">
        <v>3887</v>
      </c>
      <c r="Q575" s="22">
        <f t="shared" si="26"/>
        <v>1660000000</v>
      </c>
      <c r="R575" s="18">
        <v>1254.79</v>
      </c>
      <c r="S575" s="19">
        <v>19.48</v>
      </c>
      <c r="T575" s="18">
        <v>182982761</v>
      </c>
      <c r="U575" s="20">
        <v>44672</v>
      </c>
      <c r="V575" s="18" t="str">
        <f t="shared" si="24"/>
        <v>Complete</v>
      </c>
    </row>
    <row r="576" spans="1:22" ht="14.5" customHeight="1" x14ac:dyDescent="0.35">
      <c r="A576" s="15" t="s">
        <v>7506</v>
      </c>
      <c r="B576" s="15" t="s">
        <v>7507</v>
      </c>
      <c r="C576" s="15" t="s">
        <v>3888</v>
      </c>
      <c r="D576" s="15" t="s">
        <v>1627</v>
      </c>
      <c r="E576" s="15" t="s">
        <v>13</v>
      </c>
      <c r="F576" s="15" t="str">
        <f t="shared" si="25"/>
        <v>Male</v>
      </c>
      <c r="G576" s="15" t="s">
        <v>3889</v>
      </c>
      <c r="H576" s="15" t="s">
        <v>3890</v>
      </c>
      <c r="I576" s="15">
        <v>575</v>
      </c>
      <c r="J576" s="15">
        <v>575</v>
      </c>
      <c r="K576" s="15" t="s">
        <v>32</v>
      </c>
      <c r="L576" s="15" t="s">
        <v>3891</v>
      </c>
      <c r="M576" s="15" t="s">
        <v>3892</v>
      </c>
      <c r="N576" s="15" t="s">
        <v>99</v>
      </c>
      <c r="O576" s="15" t="s">
        <v>944</v>
      </c>
      <c r="P576" s="15" t="s">
        <v>3893</v>
      </c>
      <c r="Q576" s="22">
        <f t="shared" si="26"/>
        <v>4160000000</v>
      </c>
      <c r="R576" s="15">
        <v>1584.78</v>
      </c>
      <c r="S576" s="16">
        <v>3.27</v>
      </c>
      <c r="T576" s="15">
        <v>558076</v>
      </c>
      <c r="U576" s="17">
        <v>44500</v>
      </c>
      <c r="V576" s="15" t="str">
        <f t="shared" si="24"/>
        <v>Complete</v>
      </c>
    </row>
    <row r="577" spans="1:22" ht="14.5" customHeight="1" x14ac:dyDescent="0.35">
      <c r="A577" s="18" t="s">
        <v>7508</v>
      </c>
      <c r="B577" s="18" t="s">
        <v>6706</v>
      </c>
      <c r="C577" s="18" t="s">
        <v>3894</v>
      </c>
      <c r="D577" s="18" t="s">
        <v>3895</v>
      </c>
      <c r="E577" s="18" t="s">
        <v>2</v>
      </c>
      <c r="F577" s="15" t="str">
        <f t="shared" si="25"/>
        <v>Female</v>
      </c>
      <c r="G577" s="18" t="s">
        <v>3896</v>
      </c>
      <c r="H577" s="18" t="s">
        <v>3897</v>
      </c>
      <c r="I577" s="18">
        <v>576</v>
      </c>
      <c r="J577" s="18">
        <v>576</v>
      </c>
      <c r="K577" s="18" t="s">
        <v>32</v>
      </c>
      <c r="L577" s="18" t="s">
        <v>2777</v>
      </c>
      <c r="M577" s="18" t="s">
        <v>2778</v>
      </c>
      <c r="N577" s="18" t="s">
        <v>25</v>
      </c>
      <c r="O577" s="18" t="s">
        <v>2114</v>
      </c>
      <c r="P577" s="18" t="s">
        <v>2779</v>
      </c>
      <c r="Q577" s="22">
        <f t="shared" si="26"/>
        <v>1980000000</v>
      </c>
      <c r="R577" s="18">
        <v>1685.83</v>
      </c>
      <c r="S577" s="19">
        <v>-4.49</v>
      </c>
      <c r="T577" s="18">
        <v>103078820</v>
      </c>
      <c r="U577" s="20">
        <v>43917</v>
      </c>
      <c r="V577" s="18" t="str">
        <f t="shared" si="24"/>
        <v>Complete</v>
      </c>
    </row>
    <row r="578" spans="1:22" ht="14.5" customHeight="1" x14ac:dyDescent="0.35">
      <c r="A578" s="15" t="s">
        <v>7509</v>
      </c>
      <c r="B578" s="15" t="s">
        <v>6843</v>
      </c>
      <c r="C578" s="15" t="s">
        <v>3898</v>
      </c>
      <c r="D578" s="15" t="s">
        <v>3899</v>
      </c>
      <c r="E578" s="15" t="s">
        <v>13</v>
      </c>
      <c r="F578" s="15" t="str">
        <f t="shared" si="25"/>
        <v>Male</v>
      </c>
      <c r="G578" s="15" t="s">
        <v>3900</v>
      </c>
      <c r="H578" s="15" t="s">
        <v>3901</v>
      </c>
      <c r="I578" s="15">
        <v>577</v>
      </c>
      <c r="J578" s="15">
        <v>577</v>
      </c>
      <c r="K578" s="15" t="s">
        <v>5</v>
      </c>
      <c r="L578" s="15" t="s">
        <v>3902</v>
      </c>
      <c r="M578" s="15" t="s">
        <v>3903</v>
      </c>
      <c r="N578" s="15" t="s">
        <v>48</v>
      </c>
      <c r="O578" s="15" t="s">
        <v>57</v>
      </c>
      <c r="P578" s="15" t="s">
        <v>3904</v>
      </c>
      <c r="Q578" s="22">
        <f t="shared" si="26"/>
        <v>1240000000</v>
      </c>
      <c r="R578" s="15">
        <v>1322.86</v>
      </c>
      <c r="S578" s="16">
        <v>7.84</v>
      </c>
      <c r="T578" s="15">
        <v>48082471</v>
      </c>
      <c r="U578" s="17">
        <v>46151</v>
      </c>
      <c r="V578" s="15" t="str">
        <f t="shared" ref="V578:V641" si="27">IF(OR(N:N="n/a", O:O="n/a", P:P="n/a"), "Missing", "Complete")</f>
        <v>Complete</v>
      </c>
    </row>
    <row r="579" spans="1:22" ht="14.5" customHeight="1" x14ac:dyDescent="0.35">
      <c r="A579" s="18" t="s">
        <v>7510</v>
      </c>
      <c r="B579" s="18" t="s">
        <v>7252</v>
      </c>
      <c r="C579" s="18" t="s">
        <v>3905</v>
      </c>
      <c r="D579" s="18" t="s">
        <v>3906</v>
      </c>
      <c r="E579" s="18" t="s">
        <v>13</v>
      </c>
      <c r="F579" s="15" t="str">
        <f t="shared" ref="F579:F642" si="28">IF(OR(E579="female", E579="male"), PROPER(E579), "Other")</f>
        <v>Male</v>
      </c>
      <c r="G579" s="18" t="s">
        <v>3907</v>
      </c>
      <c r="H579" s="18" t="s">
        <v>3908</v>
      </c>
      <c r="I579" s="18">
        <v>578</v>
      </c>
      <c r="J579" s="18">
        <v>578</v>
      </c>
      <c r="K579" s="18" t="s">
        <v>32</v>
      </c>
      <c r="L579" s="18" t="s">
        <v>3909</v>
      </c>
      <c r="M579" s="18" t="s">
        <v>3910</v>
      </c>
      <c r="N579" s="18" t="s">
        <v>8033</v>
      </c>
      <c r="O579" s="18" t="s">
        <v>8033</v>
      </c>
      <c r="P579" s="18" t="s">
        <v>3911</v>
      </c>
      <c r="Q579" s="22">
        <f t="shared" ref="Q579:Q642" si="29">IF(P579="n/a", 0, IF(RIGHT(P579, 1)="B", VALUE(MID(P579, 2, LEN(P579)-2)*1000000000), VALUE(MID(P579, 2, LEN(P579)-2)*1000000)))</f>
        <v>112340000</v>
      </c>
      <c r="R579" s="18">
        <v>1910.6</v>
      </c>
      <c r="S579" s="19">
        <v>-4.0999999999999996</v>
      </c>
      <c r="T579" s="18">
        <v>134562388</v>
      </c>
      <c r="U579" s="20">
        <v>44496</v>
      </c>
      <c r="V579" s="18" t="str">
        <f t="shared" si="27"/>
        <v>Missing</v>
      </c>
    </row>
    <row r="580" spans="1:22" ht="14.5" customHeight="1" x14ac:dyDescent="0.35">
      <c r="A580" s="15" t="s">
        <v>7511</v>
      </c>
      <c r="B580" s="15" t="s">
        <v>7512</v>
      </c>
      <c r="C580" s="15" t="s">
        <v>3912</v>
      </c>
      <c r="D580" s="15" t="s">
        <v>3913</v>
      </c>
      <c r="E580" s="15" t="s">
        <v>13</v>
      </c>
      <c r="F580" s="15" t="str">
        <f t="shared" si="28"/>
        <v>Male</v>
      </c>
      <c r="G580" s="15" t="s">
        <v>3914</v>
      </c>
      <c r="H580" s="15" t="s">
        <v>3915</v>
      </c>
      <c r="I580" s="15">
        <v>579</v>
      </c>
      <c r="J580" s="15">
        <v>579</v>
      </c>
      <c r="K580" s="15" t="s">
        <v>32</v>
      </c>
      <c r="L580" s="15" t="s">
        <v>3916</v>
      </c>
      <c r="M580" s="15" t="s">
        <v>3917</v>
      </c>
      <c r="N580" s="15" t="s">
        <v>8033</v>
      </c>
      <c r="O580" s="15" t="s">
        <v>8033</v>
      </c>
      <c r="P580" s="15" t="s">
        <v>8033</v>
      </c>
      <c r="Q580" s="22">
        <f t="shared" si="29"/>
        <v>0</v>
      </c>
      <c r="R580" s="15">
        <v>998.42</v>
      </c>
      <c r="S580" s="16">
        <v>17.91</v>
      </c>
      <c r="T580" s="15">
        <v>131667895</v>
      </c>
      <c r="U580" s="17">
        <v>45802</v>
      </c>
      <c r="V580" s="15" t="str">
        <f t="shared" si="27"/>
        <v>Missing</v>
      </c>
    </row>
    <row r="581" spans="1:22" ht="14.5" customHeight="1" x14ac:dyDescent="0.35">
      <c r="A581" s="18" t="s">
        <v>7513</v>
      </c>
      <c r="B581" s="18" t="s">
        <v>6674</v>
      </c>
      <c r="C581" s="18" t="s">
        <v>3918</v>
      </c>
      <c r="D581" s="18" t="s">
        <v>3919</v>
      </c>
      <c r="E581" s="18" t="s">
        <v>2</v>
      </c>
      <c r="F581" s="15" t="str">
        <f t="shared" si="28"/>
        <v>Female</v>
      </c>
      <c r="G581" s="18" t="s">
        <v>3920</v>
      </c>
      <c r="H581" s="18" t="s">
        <v>3921</v>
      </c>
      <c r="I581" s="18">
        <v>580</v>
      </c>
      <c r="J581" s="18">
        <v>580</v>
      </c>
      <c r="K581" s="18" t="s">
        <v>5</v>
      </c>
      <c r="L581" s="18" t="s">
        <v>3922</v>
      </c>
      <c r="M581" s="18" t="s">
        <v>3923</v>
      </c>
      <c r="N581" s="18" t="s">
        <v>8033</v>
      </c>
      <c r="O581" s="18" t="s">
        <v>8033</v>
      </c>
      <c r="P581" s="18" t="s">
        <v>3924</v>
      </c>
      <c r="Q581" s="22">
        <f t="shared" si="29"/>
        <v>3090000</v>
      </c>
      <c r="R581" s="18">
        <v>1246.21</v>
      </c>
      <c r="S581" s="19">
        <v>15.8</v>
      </c>
      <c r="T581" s="18">
        <v>16246588</v>
      </c>
      <c r="U581" s="20">
        <v>44250</v>
      </c>
      <c r="V581" s="18" t="str">
        <f t="shared" si="27"/>
        <v>Missing</v>
      </c>
    </row>
    <row r="582" spans="1:22" ht="14.5" customHeight="1" x14ac:dyDescent="0.35">
      <c r="A582" s="15" t="s">
        <v>7514</v>
      </c>
      <c r="B582" s="15" t="s">
        <v>7335</v>
      </c>
      <c r="C582" s="15" t="s">
        <v>3925</v>
      </c>
      <c r="D582" s="15" t="s">
        <v>3926</v>
      </c>
      <c r="E582" s="15" t="s">
        <v>13</v>
      </c>
      <c r="F582" s="15" t="str">
        <f t="shared" si="28"/>
        <v>Male</v>
      </c>
      <c r="G582" s="15" t="s">
        <v>3927</v>
      </c>
      <c r="H582" s="15" t="s">
        <v>3928</v>
      </c>
      <c r="I582" s="15">
        <v>581</v>
      </c>
      <c r="J582" s="15">
        <v>581</v>
      </c>
      <c r="K582" s="15" t="s">
        <v>32</v>
      </c>
      <c r="L582" s="15" t="s">
        <v>3929</v>
      </c>
      <c r="M582" s="15" t="s">
        <v>2028</v>
      </c>
      <c r="N582" s="15" t="s">
        <v>99</v>
      </c>
      <c r="O582" s="15" t="s">
        <v>100</v>
      </c>
      <c r="P582" s="15" t="s">
        <v>8033</v>
      </c>
      <c r="Q582" s="22">
        <f t="shared" si="29"/>
        <v>0</v>
      </c>
      <c r="R582" s="15">
        <v>1611.2</v>
      </c>
      <c r="S582" s="16">
        <v>-14.96</v>
      </c>
      <c r="T582" s="15">
        <v>98523570</v>
      </c>
      <c r="U582" s="17">
        <v>46233</v>
      </c>
      <c r="V582" s="15" t="str">
        <f t="shared" si="27"/>
        <v>Missing</v>
      </c>
    </row>
    <row r="583" spans="1:22" ht="14.5" customHeight="1" x14ac:dyDescent="0.35">
      <c r="A583" s="18" t="s">
        <v>7515</v>
      </c>
      <c r="B583" s="18" t="s">
        <v>7516</v>
      </c>
      <c r="C583" s="18" t="s">
        <v>3930</v>
      </c>
      <c r="D583" s="18" t="s">
        <v>3931</v>
      </c>
      <c r="E583" s="18" t="s">
        <v>13</v>
      </c>
      <c r="F583" s="15" t="str">
        <f t="shared" si="28"/>
        <v>Male</v>
      </c>
      <c r="G583" s="18" t="s">
        <v>3932</v>
      </c>
      <c r="H583" s="18" t="s">
        <v>3933</v>
      </c>
      <c r="I583" s="18">
        <v>582</v>
      </c>
      <c r="J583" s="18">
        <v>582</v>
      </c>
      <c r="K583" s="18" t="s">
        <v>5</v>
      </c>
      <c r="L583" s="18" t="s">
        <v>3934</v>
      </c>
      <c r="M583" s="18" t="s">
        <v>3935</v>
      </c>
      <c r="N583" s="18" t="s">
        <v>99</v>
      </c>
      <c r="O583" s="18" t="s">
        <v>1498</v>
      </c>
      <c r="P583" s="18" t="s">
        <v>3936</v>
      </c>
      <c r="Q583" s="22">
        <f t="shared" si="29"/>
        <v>450720000</v>
      </c>
      <c r="R583" s="18">
        <v>410.15</v>
      </c>
      <c r="S583" s="19">
        <v>16.850000000000001</v>
      </c>
      <c r="T583" s="18">
        <v>6905288</v>
      </c>
      <c r="U583" s="20">
        <v>44327</v>
      </c>
      <c r="V583" s="18" t="str">
        <f t="shared" si="27"/>
        <v>Complete</v>
      </c>
    </row>
    <row r="584" spans="1:22" ht="14.5" customHeight="1" x14ac:dyDescent="0.35">
      <c r="A584" s="15" t="s">
        <v>7517</v>
      </c>
      <c r="B584" s="15" t="s">
        <v>7518</v>
      </c>
      <c r="C584" s="15" t="s">
        <v>2204</v>
      </c>
      <c r="D584" s="15" t="s">
        <v>3937</v>
      </c>
      <c r="E584" s="15" t="s">
        <v>13</v>
      </c>
      <c r="F584" s="15" t="str">
        <f t="shared" si="28"/>
        <v>Male</v>
      </c>
      <c r="G584" s="15" t="s">
        <v>3938</v>
      </c>
      <c r="H584" s="15" t="s">
        <v>3939</v>
      </c>
      <c r="I584" s="15">
        <v>583</v>
      </c>
      <c r="J584" s="15">
        <v>583</v>
      </c>
      <c r="K584" s="15" t="s">
        <v>32</v>
      </c>
      <c r="L584" s="15" t="s">
        <v>3940</v>
      </c>
      <c r="M584" s="15" t="s">
        <v>3941</v>
      </c>
      <c r="N584" s="15" t="s">
        <v>8033</v>
      </c>
      <c r="O584" s="15" t="s">
        <v>8033</v>
      </c>
      <c r="P584" s="15" t="s">
        <v>8033</v>
      </c>
      <c r="Q584" s="22">
        <f t="shared" si="29"/>
        <v>0</v>
      </c>
      <c r="R584" s="15">
        <v>1990.85</v>
      </c>
      <c r="S584" s="16">
        <v>-16.88</v>
      </c>
      <c r="T584" s="15">
        <v>99591625</v>
      </c>
      <c r="U584" s="17">
        <v>46336</v>
      </c>
      <c r="V584" s="15" t="str">
        <f t="shared" si="27"/>
        <v>Missing</v>
      </c>
    </row>
    <row r="585" spans="1:22" ht="14.5" customHeight="1" x14ac:dyDescent="0.35">
      <c r="A585" s="18" t="s">
        <v>7519</v>
      </c>
      <c r="B585" s="18" t="s">
        <v>7520</v>
      </c>
      <c r="C585" s="18" t="s">
        <v>3942</v>
      </c>
      <c r="D585" s="18" t="s">
        <v>3943</v>
      </c>
      <c r="E585" s="18" t="s">
        <v>208</v>
      </c>
      <c r="F585" s="15" t="str">
        <f t="shared" si="28"/>
        <v>Other</v>
      </c>
      <c r="G585" s="18" t="s">
        <v>3944</v>
      </c>
      <c r="H585" s="18" t="s">
        <v>3945</v>
      </c>
      <c r="I585" s="18">
        <v>584</v>
      </c>
      <c r="J585" s="18">
        <v>584</v>
      </c>
      <c r="K585" s="18" t="s">
        <v>32</v>
      </c>
      <c r="L585" s="18" t="s">
        <v>3946</v>
      </c>
      <c r="M585" s="18" t="s">
        <v>3947</v>
      </c>
      <c r="N585" s="18" t="s">
        <v>66</v>
      </c>
      <c r="O585" s="18" t="s">
        <v>241</v>
      </c>
      <c r="P585" s="18" t="s">
        <v>3948</v>
      </c>
      <c r="Q585" s="22">
        <f t="shared" si="29"/>
        <v>108410000</v>
      </c>
      <c r="R585" s="18">
        <v>746.34</v>
      </c>
      <c r="S585" s="19">
        <v>6.04</v>
      </c>
      <c r="T585" s="18">
        <v>32030403</v>
      </c>
      <c r="U585" s="20">
        <v>44712</v>
      </c>
      <c r="V585" s="18" t="str">
        <f t="shared" si="27"/>
        <v>Complete</v>
      </c>
    </row>
    <row r="586" spans="1:22" ht="14.5" customHeight="1" x14ac:dyDescent="0.35">
      <c r="A586" s="15" t="s">
        <v>7521</v>
      </c>
      <c r="B586" s="15" t="s">
        <v>6721</v>
      </c>
      <c r="C586" s="15" t="s">
        <v>3949</v>
      </c>
      <c r="D586" s="15" t="s">
        <v>3950</v>
      </c>
      <c r="E586" s="15" t="s">
        <v>2</v>
      </c>
      <c r="F586" s="15" t="str">
        <f t="shared" si="28"/>
        <v>Female</v>
      </c>
      <c r="G586" s="15" t="s">
        <v>3951</v>
      </c>
      <c r="H586" s="15" t="s">
        <v>3952</v>
      </c>
      <c r="I586" s="15">
        <v>585</v>
      </c>
      <c r="J586" s="15">
        <v>585</v>
      </c>
      <c r="K586" s="15" t="s">
        <v>32</v>
      </c>
      <c r="L586" s="15" t="s">
        <v>3953</v>
      </c>
      <c r="M586" s="15" t="s">
        <v>3954</v>
      </c>
      <c r="N586" s="15" t="s">
        <v>66</v>
      </c>
      <c r="O586" s="15" t="s">
        <v>1082</v>
      </c>
      <c r="P586" s="15" t="s">
        <v>3955</v>
      </c>
      <c r="Q586" s="22">
        <f t="shared" si="29"/>
        <v>12180000000</v>
      </c>
      <c r="R586" s="15">
        <v>278.04000000000002</v>
      </c>
      <c r="S586" s="16">
        <v>10.47</v>
      </c>
      <c r="T586" s="15">
        <v>168759131</v>
      </c>
      <c r="U586" s="17">
        <v>44985</v>
      </c>
      <c r="V586" s="15" t="str">
        <f t="shared" si="27"/>
        <v>Complete</v>
      </c>
    </row>
    <row r="587" spans="1:22" ht="14.5" customHeight="1" x14ac:dyDescent="0.35">
      <c r="A587" s="18" t="s">
        <v>7522</v>
      </c>
      <c r="B587" s="18" t="s">
        <v>6723</v>
      </c>
      <c r="C587" s="18" t="s">
        <v>3956</v>
      </c>
      <c r="D587" s="18" t="s">
        <v>3957</v>
      </c>
      <c r="E587" s="18" t="s">
        <v>2</v>
      </c>
      <c r="F587" s="15" t="str">
        <f t="shared" si="28"/>
        <v>Female</v>
      </c>
      <c r="G587" s="18" t="s">
        <v>3958</v>
      </c>
      <c r="H587" s="18" t="s">
        <v>3959</v>
      </c>
      <c r="I587" s="18">
        <v>586</v>
      </c>
      <c r="J587" s="18">
        <v>586</v>
      </c>
      <c r="K587" s="18" t="s">
        <v>32</v>
      </c>
      <c r="L587" s="18" t="s">
        <v>3960</v>
      </c>
      <c r="M587" s="18" t="s">
        <v>3961</v>
      </c>
      <c r="N587" s="18" t="s">
        <v>189</v>
      </c>
      <c r="O587" s="18" t="s">
        <v>613</v>
      </c>
      <c r="P587" s="18" t="s">
        <v>3962</v>
      </c>
      <c r="Q587" s="22">
        <f t="shared" si="29"/>
        <v>702120000</v>
      </c>
      <c r="R587" s="18">
        <v>710</v>
      </c>
      <c r="S587" s="19">
        <v>13.91</v>
      </c>
      <c r="T587" s="18">
        <v>72275514</v>
      </c>
      <c r="U587" s="20">
        <v>44510</v>
      </c>
      <c r="V587" s="18" t="str">
        <f t="shared" si="27"/>
        <v>Complete</v>
      </c>
    </row>
    <row r="588" spans="1:22" ht="14.5" customHeight="1" x14ac:dyDescent="0.35">
      <c r="A588" s="15" t="s">
        <v>7523</v>
      </c>
      <c r="B588" s="15" t="s">
        <v>7477</v>
      </c>
      <c r="C588" s="15" t="s">
        <v>3963</v>
      </c>
      <c r="D588" s="15" t="s">
        <v>3964</v>
      </c>
      <c r="E588" s="15" t="s">
        <v>2</v>
      </c>
      <c r="F588" s="15" t="str">
        <f t="shared" si="28"/>
        <v>Female</v>
      </c>
      <c r="G588" s="15" t="s">
        <v>3965</v>
      </c>
      <c r="H588" s="15" t="s">
        <v>3966</v>
      </c>
      <c r="I588" s="15">
        <v>587</v>
      </c>
      <c r="J588" s="15">
        <v>587</v>
      </c>
      <c r="K588" s="15" t="s">
        <v>5</v>
      </c>
      <c r="L588" s="15" t="s">
        <v>3967</v>
      </c>
      <c r="M588" s="15" t="s">
        <v>3968</v>
      </c>
      <c r="N588" s="15" t="s">
        <v>48</v>
      </c>
      <c r="O588" s="15" t="s">
        <v>118</v>
      </c>
      <c r="P588" s="15" t="s">
        <v>3969</v>
      </c>
      <c r="Q588" s="22">
        <f t="shared" si="29"/>
        <v>674130000</v>
      </c>
      <c r="R588" s="15">
        <v>612.66</v>
      </c>
      <c r="S588" s="16">
        <v>-18.57</v>
      </c>
      <c r="T588" s="15">
        <v>131530249</v>
      </c>
      <c r="U588" s="17">
        <v>44502</v>
      </c>
      <c r="V588" s="15" t="str">
        <f t="shared" si="27"/>
        <v>Complete</v>
      </c>
    </row>
    <row r="589" spans="1:22" ht="14.5" customHeight="1" x14ac:dyDescent="0.35">
      <c r="A589" s="18" t="s">
        <v>7524</v>
      </c>
      <c r="B589" s="18" t="s">
        <v>7525</v>
      </c>
      <c r="C589" s="18" t="s">
        <v>3970</v>
      </c>
      <c r="D589" s="18" t="s">
        <v>3971</v>
      </c>
      <c r="E589" s="18" t="s">
        <v>1407</v>
      </c>
      <c r="F589" s="15" t="str">
        <f t="shared" si="28"/>
        <v>Other</v>
      </c>
      <c r="G589" s="18" t="s">
        <v>3972</v>
      </c>
      <c r="H589" s="18" t="s">
        <v>3973</v>
      </c>
      <c r="I589" s="18">
        <v>588</v>
      </c>
      <c r="J589" s="18">
        <v>588</v>
      </c>
      <c r="K589" s="18" t="s">
        <v>5</v>
      </c>
      <c r="L589" s="18" t="s">
        <v>1830</v>
      </c>
      <c r="M589" s="18" t="s">
        <v>1831</v>
      </c>
      <c r="N589" s="18" t="s">
        <v>48</v>
      </c>
      <c r="O589" s="18" t="s">
        <v>57</v>
      </c>
      <c r="P589" s="18" t="s">
        <v>1832</v>
      </c>
      <c r="Q589" s="22">
        <f t="shared" si="29"/>
        <v>428180000</v>
      </c>
      <c r="R589" s="18">
        <v>286.58</v>
      </c>
      <c r="S589" s="19">
        <v>-3.18</v>
      </c>
      <c r="T589" s="18">
        <v>83645491</v>
      </c>
      <c r="U589" s="20">
        <v>43866</v>
      </c>
      <c r="V589" s="18" t="str">
        <f t="shared" si="27"/>
        <v>Complete</v>
      </c>
    </row>
    <row r="590" spans="1:22" ht="14.5" customHeight="1" x14ac:dyDescent="0.35">
      <c r="A590" s="15" t="s">
        <v>7526</v>
      </c>
      <c r="B590" s="15" t="s">
        <v>7197</v>
      </c>
      <c r="C590" s="15" t="s">
        <v>3974</v>
      </c>
      <c r="D590" s="15" t="s">
        <v>3975</v>
      </c>
      <c r="E590" s="15" t="s">
        <v>208</v>
      </c>
      <c r="F590" s="15" t="str">
        <f t="shared" si="28"/>
        <v>Other</v>
      </c>
      <c r="G590" s="15" t="s">
        <v>3976</v>
      </c>
      <c r="H590" s="15" t="s">
        <v>3977</v>
      </c>
      <c r="I590" s="15">
        <v>589</v>
      </c>
      <c r="J590" s="15">
        <v>589</v>
      </c>
      <c r="K590" s="15" t="s">
        <v>5</v>
      </c>
      <c r="L590" s="15" t="s">
        <v>3978</v>
      </c>
      <c r="M590" s="15" t="s">
        <v>804</v>
      </c>
      <c r="N590" s="15" t="s">
        <v>323</v>
      </c>
      <c r="O590" s="15" t="s">
        <v>805</v>
      </c>
      <c r="P590" s="15" t="s">
        <v>8033</v>
      </c>
      <c r="Q590" s="22">
        <f t="shared" si="29"/>
        <v>0</v>
      </c>
      <c r="R590" s="15">
        <v>102.7</v>
      </c>
      <c r="S590" s="16">
        <v>17.2</v>
      </c>
      <c r="T590" s="15">
        <v>95031781</v>
      </c>
      <c r="U590" s="17">
        <v>44787</v>
      </c>
      <c r="V590" s="15" t="str">
        <f t="shared" si="27"/>
        <v>Missing</v>
      </c>
    </row>
    <row r="591" spans="1:22" ht="14.5" customHeight="1" x14ac:dyDescent="0.35">
      <c r="A591" s="18" t="s">
        <v>7527</v>
      </c>
      <c r="B591" s="18" t="s">
        <v>6717</v>
      </c>
      <c r="C591" s="18" t="s">
        <v>3979</v>
      </c>
      <c r="D591" s="18" t="s">
        <v>3980</v>
      </c>
      <c r="E591" s="18" t="s">
        <v>2</v>
      </c>
      <c r="F591" s="15" t="str">
        <f t="shared" si="28"/>
        <v>Female</v>
      </c>
      <c r="G591" s="18" t="s">
        <v>3981</v>
      </c>
      <c r="H591" s="18" t="s">
        <v>3982</v>
      </c>
      <c r="I591" s="18">
        <v>590</v>
      </c>
      <c r="J591" s="18">
        <v>590</v>
      </c>
      <c r="K591" s="18" t="s">
        <v>5</v>
      </c>
      <c r="L591" s="18" t="s">
        <v>3983</v>
      </c>
      <c r="M591" s="18" t="s">
        <v>3984</v>
      </c>
      <c r="N591" s="18" t="s">
        <v>99</v>
      </c>
      <c r="O591" s="18" t="s">
        <v>1498</v>
      </c>
      <c r="P591" s="18" t="s">
        <v>3985</v>
      </c>
      <c r="Q591" s="22">
        <f t="shared" si="29"/>
        <v>2840000000</v>
      </c>
      <c r="R591" s="18">
        <v>895.36</v>
      </c>
      <c r="S591" s="19">
        <v>-3.06</v>
      </c>
      <c r="T591" s="18">
        <v>94522891</v>
      </c>
      <c r="U591" s="20">
        <v>44255</v>
      </c>
      <c r="V591" s="18" t="str">
        <f t="shared" si="27"/>
        <v>Complete</v>
      </c>
    </row>
    <row r="592" spans="1:22" ht="14.5" customHeight="1" x14ac:dyDescent="0.35">
      <c r="A592" s="15" t="s">
        <v>7528</v>
      </c>
      <c r="B592" s="15" t="s">
        <v>7529</v>
      </c>
      <c r="C592" s="15" t="s">
        <v>3986</v>
      </c>
      <c r="D592" s="15" t="s">
        <v>3987</v>
      </c>
      <c r="E592" s="15" t="s">
        <v>2</v>
      </c>
      <c r="F592" s="15" t="str">
        <f t="shared" si="28"/>
        <v>Female</v>
      </c>
      <c r="G592" s="15" t="s">
        <v>3988</v>
      </c>
      <c r="H592" s="15" t="s">
        <v>3989</v>
      </c>
      <c r="I592" s="15">
        <v>591</v>
      </c>
      <c r="J592" s="15">
        <v>591</v>
      </c>
      <c r="K592" s="15" t="s">
        <v>32</v>
      </c>
      <c r="L592" s="15" t="s">
        <v>3990</v>
      </c>
      <c r="M592" s="15" t="s">
        <v>3991</v>
      </c>
      <c r="N592" s="15" t="s">
        <v>8033</v>
      </c>
      <c r="O592" s="15" t="s">
        <v>8033</v>
      </c>
      <c r="P592" s="15" t="s">
        <v>3992</v>
      </c>
      <c r="Q592" s="22">
        <f t="shared" si="29"/>
        <v>160520000</v>
      </c>
      <c r="R592" s="15">
        <v>267.91000000000003</v>
      </c>
      <c r="S592" s="16">
        <v>-19.55</v>
      </c>
      <c r="T592" s="15">
        <v>153778216</v>
      </c>
      <c r="U592" s="17">
        <v>44004</v>
      </c>
      <c r="V592" s="15" t="str">
        <f t="shared" si="27"/>
        <v>Missing</v>
      </c>
    </row>
    <row r="593" spans="1:22" ht="14.5" customHeight="1" x14ac:dyDescent="0.35">
      <c r="A593" s="18" t="s">
        <v>7530</v>
      </c>
      <c r="B593" s="18" t="s">
        <v>6684</v>
      </c>
      <c r="C593" s="18" t="s">
        <v>3993</v>
      </c>
      <c r="D593" s="18" t="s">
        <v>3994</v>
      </c>
      <c r="E593" s="18" t="s">
        <v>2</v>
      </c>
      <c r="F593" s="15" t="str">
        <f t="shared" si="28"/>
        <v>Female</v>
      </c>
      <c r="G593" s="18" t="s">
        <v>3995</v>
      </c>
      <c r="H593" s="18" t="s">
        <v>3996</v>
      </c>
      <c r="I593" s="18">
        <v>592</v>
      </c>
      <c r="J593" s="18">
        <v>592</v>
      </c>
      <c r="K593" s="18" t="s">
        <v>32</v>
      </c>
      <c r="L593" s="18" t="s">
        <v>3997</v>
      </c>
      <c r="M593" s="18" t="s">
        <v>3998</v>
      </c>
      <c r="N593" s="18" t="s">
        <v>189</v>
      </c>
      <c r="O593" s="18" t="s">
        <v>2114</v>
      </c>
      <c r="P593" s="18" t="s">
        <v>1715</v>
      </c>
      <c r="Q593" s="22">
        <f t="shared" si="29"/>
        <v>1700000000</v>
      </c>
      <c r="R593" s="18">
        <v>1055.1500000000001</v>
      </c>
      <c r="S593" s="19">
        <v>-15.26</v>
      </c>
      <c r="T593" s="18">
        <v>161715719</v>
      </c>
      <c r="U593" s="20">
        <v>44469</v>
      </c>
      <c r="V593" s="18" t="str">
        <f t="shared" si="27"/>
        <v>Complete</v>
      </c>
    </row>
    <row r="594" spans="1:22" ht="14.5" customHeight="1" x14ac:dyDescent="0.35">
      <c r="A594" s="15" t="s">
        <v>7531</v>
      </c>
      <c r="B594" s="15" t="s">
        <v>6880</v>
      </c>
      <c r="C594" s="15" t="s">
        <v>3999</v>
      </c>
      <c r="D594" s="15" t="s">
        <v>4000</v>
      </c>
      <c r="E594" s="15" t="s">
        <v>2</v>
      </c>
      <c r="F594" s="15" t="str">
        <f t="shared" si="28"/>
        <v>Female</v>
      </c>
      <c r="G594" s="15" t="s">
        <v>4001</v>
      </c>
      <c r="H594" s="15" t="s">
        <v>4002</v>
      </c>
      <c r="I594" s="15">
        <v>593</v>
      </c>
      <c r="J594" s="15">
        <v>593</v>
      </c>
      <c r="K594" s="15" t="s">
        <v>32</v>
      </c>
      <c r="L594" s="15" t="s">
        <v>4003</v>
      </c>
      <c r="M594" s="15" t="s">
        <v>4004</v>
      </c>
      <c r="N594" s="15" t="s">
        <v>48</v>
      </c>
      <c r="O594" s="15" t="s">
        <v>364</v>
      </c>
      <c r="P594" s="15" t="s">
        <v>4005</v>
      </c>
      <c r="Q594" s="22">
        <f t="shared" si="29"/>
        <v>441950000</v>
      </c>
      <c r="R594" s="15">
        <v>155.66</v>
      </c>
      <c r="S594" s="16">
        <v>6.68</v>
      </c>
      <c r="T594" s="15">
        <v>168083367</v>
      </c>
      <c r="U594" s="17">
        <v>46384</v>
      </c>
      <c r="V594" s="15" t="str">
        <f t="shared" si="27"/>
        <v>Complete</v>
      </c>
    </row>
    <row r="595" spans="1:22" ht="14.5" customHeight="1" x14ac:dyDescent="0.35">
      <c r="A595" s="18" t="s">
        <v>7532</v>
      </c>
      <c r="B595" s="18" t="s">
        <v>6847</v>
      </c>
      <c r="C595" s="18" t="s">
        <v>4006</v>
      </c>
      <c r="D595" s="18" t="s">
        <v>4007</v>
      </c>
      <c r="E595" s="18" t="s">
        <v>13</v>
      </c>
      <c r="F595" s="15" t="str">
        <f t="shared" si="28"/>
        <v>Male</v>
      </c>
      <c r="G595" s="18" t="s">
        <v>4008</v>
      </c>
      <c r="H595" s="18" t="s">
        <v>4009</v>
      </c>
      <c r="I595" s="18">
        <v>594</v>
      </c>
      <c r="J595" s="18">
        <v>594</v>
      </c>
      <c r="K595" s="18" t="s">
        <v>5</v>
      </c>
      <c r="L595" s="18" t="s">
        <v>4010</v>
      </c>
      <c r="M595" s="18" t="s">
        <v>4011</v>
      </c>
      <c r="N595" s="18" t="s">
        <v>25</v>
      </c>
      <c r="O595" s="18" t="s">
        <v>613</v>
      </c>
      <c r="P595" s="18" t="s">
        <v>2255</v>
      </c>
      <c r="Q595" s="22">
        <f t="shared" si="29"/>
        <v>1170000000</v>
      </c>
      <c r="R595" s="18">
        <v>164.52</v>
      </c>
      <c r="S595" s="19">
        <v>-6.02</v>
      </c>
      <c r="T595" s="18">
        <v>94392242</v>
      </c>
      <c r="U595" s="20">
        <v>44589</v>
      </c>
      <c r="V595" s="18" t="str">
        <f t="shared" si="27"/>
        <v>Complete</v>
      </c>
    </row>
    <row r="596" spans="1:22" ht="14.5" customHeight="1" x14ac:dyDescent="0.35">
      <c r="A596" s="15" t="s">
        <v>7533</v>
      </c>
      <c r="B596" s="15" t="s">
        <v>7534</v>
      </c>
      <c r="C596" s="15" t="s">
        <v>4012</v>
      </c>
      <c r="D596" s="15" t="s">
        <v>4013</v>
      </c>
      <c r="E596" s="15" t="s">
        <v>2</v>
      </c>
      <c r="F596" s="15" t="str">
        <f t="shared" si="28"/>
        <v>Female</v>
      </c>
      <c r="G596" s="15" t="s">
        <v>4014</v>
      </c>
      <c r="H596" s="15" t="s">
        <v>4015</v>
      </c>
      <c r="I596" s="15">
        <v>595</v>
      </c>
      <c r="J596" s="15">
        <v>595</v>
      </c>
      <c r="K596" s="15" t="s">
        <v>32</v>
      </c>
      <c r="L596" s="15" t="s">
        <v>4016</v>
      </c>
      <c r="M596" s="15" t="s">
        <v>4017</v>
      </c>
      <c r="N596" s="15" t="s">
        <v>142</v>
      </c>
      <c r="O596" s="15" t="s">
        <v>143</v>
      </c>
      <c r="P596" s="15" t="s">
        <v>4018</v>
      </c>
      <c r="Q596" s="22">
        <f t="shared" si="29"/>
        <v>1610000000</v>
      </c>
      <c r="R596" s="15">
        <v>1235.3800000000001</v>
      </c>
      <c r="S596" s="16">
        <v>17.63</v>
      </c>
      <c r="T596" s="15">
        <v>48282641</v>
      </c>
      <c r="U596" s="17">
        <v>45313</v>
      </c>
      <c r="V596" s="15" t="str">
        <f t="shared" si="27"/>
        <v>Complete</v>
      </c>
    </row>
    <row r="597" spans="1:22" ht="14.5" customHeight="1" x14ac:dyDescent="0.35">
      <c r="A597" s="18" t="s">
        <v>7535</v>
      </c>
      <c r="B597" s="18" t="s">
        <v>7010</v>
      </c>
      <c r="C597" s="18" t="s">
        <v>4019</v>
      </c>
      <c r="D597" s="18" t="s">
        <v>4020</v>
      </c>
      <c r="E597" s="18" t="s">
        <v>13</v>
      </c>
      <c r="F597" s="15" t="str">
        <f t="shared" si="28"/>
        <v>Male</v>
      </c>
      <c r="G597" s="18" t="s">
        <v>4021</v>
      </c>
      <c r="H597" s="18" t="s">
        <v>4022</v>
      </c>
      <c r="I597" s="18">
        <v>596</v>
      </c>
      <c r="J597" s="18">
        <v>596</v>
      </c>
      <c r="K597" s="18" t="s">
        <v>5</v>
      </c>
      <c r="L597" s="18" t="s">
        <v>4023</v>
      </c>
      <c r="M597" s="18" t="s">
        <v>620</v>
      </c>
      <c r="N597" s="18" t="s">
        <v>48</v>
      </c>
      <c r="O597" s="18" t="s">
        <v>118</v>
      </c>
      <c r="P597" s="18" t="s">
        <v>4024</v>
      </c>
      <c r="Q597" s="22">
        <f t="shared" si="29"/>
        <v>315630000</v>
      </c>
      <c r="R597" s="18">
        <v>781.74</v>
      </c>
      <c r="S597" s="19">
        <v>3.75</v>
      </c>
      <c r="T597" s="18">
        <v>58637209</v>
      </c>
      <c r="U597" s="20">
        <v>43994</v>
      </c>
      <c r="V597" s="18" t="str">
        <f t="shared" si="27"/>
        <v>Complete</v>
      </c>
    </row>
    <row r="598" spans="1:22" ht="14.5" customHeight="1" x14ac:dyDescent="0.35">
      <c r="A598" s="15" t="s">
        <v>7536</v>
      </c>
      <c r="B598" s="15" t="s">
        <v>7537</v>
      </c>
      <c r="C598" s="15" t="s">
        <v>4025</v>
      </c>
      <c r="D598" s="15" t="s">
        <v>4026</v>
      </c>
      <c r="E598" s="15" t="s">
        <v>13</v>
      </c>
      <c r="F598" s="15" t="str">
        <f t="shared" si="28"/>
        <v>Male</v>
      </c>
      <c r="G598" s="15" t="s">
        <v>4027</v>
      </c>
      <c r="H598" s="15" t="s">
        <v>4028</v>
      </c>
      <c r="I598" s="15">
        <v>597</v>
      </c>
      <c r="J598" s="15">
        <v>597</v>
      </c>
      <c r="K598" s="15" t="s">
        <v>32</v>
      </c>
      <c r="L598" s="15" t="s">
        <v>4029</v>
      </c>
      <c r="M598" s="15" t="s">
        <v>4030</v>
      </c>
      <c r="N598" s="15" t="s">
        <v>8033</v>
      </c>
      <c r="O598" s="15" t="s">
        <v>8033</v>
      </c>
      <c r="P598" s="15" t="s">
        <v>4031</v>
      </c>
      <c r="Q598" s="22">
        <f t="shared" si="29"/>
        <v>225710000</v>
      </c>
      <c r="R598" s="15">
        <v>334.28</v>
      </c>
      <c r="S598" s="16">
        <v>-16.64</v>
      </c>
      <c r="T598" s="15">
        <v>53799256</v>
      </c>
      <c r="U598" s="17">
        <v>46294</v>
      </c>
      <c r="V598" s="15" t="str">
        <f t="shared" si="27"/>
        <v>Missing</v>
      </c>
    </row>
    <row r="599" spans="1:22" ht="14.5" customHeight="1" x14ac:dyDescent="0.35">
      <c r="A599" s="18" t="s">
        <v>7538</v>
      </c>
      <c r="B599" s="18" t="s">
        <v>6788</v>
      </c>
      <c r="C599" s="18" t="s">
        <v>4032</v>
      </c>
      <c r="D599" s="18" t="s">
        <v>4033</v>
      </c>
      <c r="E599" s="18" t="s">
        <v>161</v>
      </c>
      <c r="F599" s="15" t="str">
        <f t="shared" si="28"/>
        <v>Other</v>
      </c>
      <c r="G599" s="18" t="s">
        <v>4034</v>
      </c>
      <c r="H599" s="18" t="s">
        <v>4035</v>
      </c>
      <c r="I599" s="18">
        <v>598</v>
      </c>
      <c r="J599" s="18">
        <v>598</v>
      </c>
      <c r="K599" s="18" t="s">
        <v>5</v>
      </c>
      <c r="L599" s="18" t="s">
        <v>4036</v>
      </c>
      <c r="M599" s="18" t="s">
        <v>4037</v>
      </c>
      <c r="N599" s="18" t="s">
        <v>8033</v>
      </c>
      <c r="O599" s="18" t="s">
        <v>8033</v>
      </c>
      <c r="P599" s="18" t="s">
        <v>4038</v>
      </c>
      <c r="Q599" s="22">
        <f t="shared" si="29"/>
        <v>28080000</v>
      </c>
      <c r="R599" s="18">
        <v>655.37</v>
      </c>
      <c r="S599" s="19">
        <v>-19.8</v>
      </c>
      <c r="T599" s="18">
        <v>70448989</v>
      </c>
      <c r="U599" s="20">
        <v>45569</v>
      </c>
      <c r="V599" s="18" t="str">
        <f t="shared" si="27"/>
        <v>Missing</v>
      </c>
    </row>
    <row r="600" spans="1:22" ht="14.5" customHeight="1" x14ac:dyDescent="0.35">
      <c r="A600" s="15" t="s">
        <v>7539</v>
      </c>
      <c r="B600" s="15" t="s">
        <v>7540</v>
      </c>
      <c r="C600" s="15" t="s">
        <v>4039</v>
      </c>
      <c r="D600" s="15" t="s">
        <v>4040</v>
      </c>
      <c r="E600" s="15" t="s">
        <v>61</v>
      </c>
      <c r="F600" s="15" t="str">
        <f t="shared" si="28"/>
        <v>Other</v>
      </c>
      <c r="G600" s="15" t="s">
        <v>4041</v>
      </c>
      <c r="H600" s="15" t="s">
        <v>4042</v>
      </c>
      <c r="I600" s="15">
        <v>599</v>
      </c>
      <c r="J600" s="15">
        <v>599</v>
      </c>
      <c r="K600" s="15" t="s">
        <v>32</v>
      </c>
      <c r="L600" s="15" t="s">
        <v>4043</v>
      </c>
      <c r="M600" s="15" t="s">
        <v>4044</v>
      </c>
      <c r="N600" s="15" t="s">
        <v>8033</v>
      </c>
      <c r="O600" s="15" t="s">
        <v>8033</v>
      </c>
      <c r="P600" s="15" t="s">
        <v>4045</v>
      </c>
      <c r="Q600" s="22">
        <f t="shared" si="29"/>
        <v>286360000</v>
      </c>
      <c r="R600" s="15">
        <v>995.97</v>
      </c>
      <c r="S600" s="16">
        <v>-15.22</v>
      </c>
      <c r="T600" s="15">
        <v>185072896</v>
      </c>
      <c r="U600" s="17">
        <v>45939</v>
      </c>
      <c r="V600" s="15" t="str">
        <f t="shared" si="27"/>
        <v>Missing</v>
      </c>
    </row>
    <row r="601" spans="1:22" ht="14.5" customHeight="1" x14ac:dyDescent="0.35">
      <c r="A601" s="18" t="s">
        <v>7541</v>
      </c>
      <c r="B601" s="18" t="s">
        <v>7542</v>
      </c>
      <c r="C601" s="18" t="s">
        <v>4046</v>
      </c>
      <c r="D601" s="18" t="s">
        <v>4047</v>
      </c>
      <c r="E601" s="18" t="s">
        <v>208</v>
      </c>
      <c r="F601" s="15" t="str">
        <f t="shared" si="28"/>
        <v>Other</v>
      </c>
      <c r="G601" s="18" t="s">
        <v>4048</v>
      </c>
      <c r="H601" s="18" t="s">
        <v>4049</v>
      </c>
      <c r="I601" s="18">
        <v>600</v>
      </c>
      <c r="J601" s="18">
        <v>600</v>
      </c>
      <c r="K601" s="18" t="s">
        <v>5</v>
      </c>
      <c r="L601" s="18" t="s">
        <v>4050</v>
      </c>
      <c r="M601" s="18" t="s">
        <v>4051</v>
      </c>
      <c r="N601" s="18" t="s">
        <v>66</v>
      </c>
      <c r="O601" s="18" t="s">
        <v>2267</v>
      </c>
      <c r="P601" s="18" t="s">
        <v>4052</v>
      </c>
      <c r="Q601" s="22">
        <f t="shared" si="29"/>
        <v>496430000</v>
      </c>
      <c r="R601" s="18">
        <v>1149.83</v>
      </c>
      <c r="S601" s="19">
        <v>15.35</v>
      </c>
      <c r="T601" s="18">
        <v>125316724</v>
      </c>
      <c r="U601" s="20">
        <v>44639</v>
      </c>
      <c r="V601" s="18" t="str">
        <f t="shared" si="27"/>
        <v>Complete</v>
      </c>
    </row>
    <row r="602" spans="1:22" ht="14.5" customHeight="1" x14ac:dyDescent="0.35">
      <c r="A602" s="15" t="s">
        <v>7543</v>
      </c>
      <c r="B602" s="15" t="s">
        <v>7376</v>
      </c>
      <c r="C602" s="15" t="s">
        <v>4053</v>
      </c>
      <c r="D602" s="15" t="s">
        <v>4054</v>
      </c>
      <c r="E602" s="15" t="s">
        <v>13</v>
      </c>
      <c r="F602" s="15" t="str">
        <f t="shared" si="28"/>
        <v>Male</v>
      </c>
      <c r="G602" s="15" t="s">
        <v>4055</v>
      </c>
      <c r="H602" s="15" t="s">
        <v>4056</v>
      </c>
      <c r="I602" s="15">
        <v>601</v>
      </c>
      <c r="J602" s="15">
        <v>601</v>
      </c>
      <c r="K602" s="15" t="s">
        <v>32</v>
      </c>
      <c r="L602" s="15" t="s">
        <v>4057</v>
      </c>
      <c r="M602" s="15" t="s">
        <v>4058</v>
      </c>
      <c r="N602" s="15" t="s">
        <v>8033</v>
      </c>
      <c r="O602" s="15" t="s">
        <v>8033</v>
      </c>
      <c r="P602" s="15" t="s">
        <v>4059</v>
      </c>
      <c r="Q602" s="22">
        <f t="shared" si="29"/>
        <v>334830000</v>
      </c>
      <c r="R602" s="15">
        <v>1002.62</v>
      </c>
      <c r="S602" s="16">
        <v>-5.14</v>
      </c>
      <c r="T602" s="15">
        <v>92462943</v>
      </c>
      <c r="U602" s="17">
        <v>43971</v>
      </c>
      <c r="V602" s="15" t="str">
        <f t="shared" si="27"/>
        <v>Missing</v>
      </c>
    </row>
    <row r="603" spans="1:22" ht="14.5" customHeight="1" x14ac:dyDescent="0.35">
      <c r="A603" s="18" t="s">
        <v>7544</v>
      </c>
      <c r="B603" s="18" t="s">
        <v>6643</v>
      </c>
      <c r="C603" s="18" t="s">
        <v>4060</v>
      </c>
      <c r="D603" s="18" t="s">
        <v>4061</v>
      </c>
      <c r="E603" s="18" t="s">
        <v>104</v>
      </c>
      <c r="F603" s="15" t="str">
        <f t="shared" si="28"/>
        <v>Other</v>
      </c>
      <c r="G603" s="18" t="s">
        <v>4062</v>
      </c>
      <c r="H603" s="18" t="s">
        <v>4063</v>
      </c>
      <c r="I603" s="18">
        <v>602</v>
      </c>
      <c r="J603" s="18">
        <v>602</v>
      </c>
      <c r="K603" s="18" t="s">
        <v>5</v>
      </c>
      <c r="L603" s="18" t="s">
        <v>4064</v>
      </c>
      <c r="M603" s="18" t="s">
        <v>4065</v>
      </c>
      <c r="N603" s="18" t="s">
        <v>8033</v>
      </c>
      <c r="O603" s="18" t="s">
        <v>8033</v>
      </c>
      <c r="P603" s="18" t="s">
        <v>4066</v>
      </c>
      <c r="Q603" s="22">
        <f t="shared" si="29"/>
        <v>458320000</v>
      </c>
      <c r="R603" s="18">
        <v>891.62</v>
      </c>
      <c r="S603" s="19">
        <v>0.04</v>
      </c>
      <c r="T603" s="18">
        <v>173031615</v>
      </c>
      <c r="U603" s="20">
        <v>45359</v>
      </c>
      <c r="V603" s="18" t="str">
        <f t="shared" si="27"/>
        <v>Missing</v>
      </c>
    </row>
    <row r="604" spans="1:22" ht="14.5" customHeight="1" x14ac:dyDescent="0.35">
      <c r="A604" s="15" t="s">
        <v>7545</v>
      </c>
      <c r="B604" s="15" t="s">
        <v>7029</v>
      </c>
      <c r="C604" s="15" t="s">
        <v>4067</v>
      </c>
      <c r="D604" s="15" t="s">
        <v>4068</v>
      </c>
      <c r="E604" s="15" t="s">
        <v>2</v>
      </c>
      <c r="F604" s="15" t="str">
        <f t="shared" si="28"/>
        <v>Female</v>
      </c>
      <c r="G604" s="15" t="s">
        <v>4069</v>
      </c>
      <c r="H604" s="15" t="s">
        <v>4070</v>
      </c>
      <c r="I604" s="15">
        <v>603</v>
      </c>
      <c r="J604" s="15">
        <v>603</v>
      </c>
      <c r="K604" s="15" t="s">
        <v>32</v>
      </c>
      <c r="L604" s="15" t="s">
        <v>4071</v>
      </c>
      <c r="M604" s="15" t="s">
        <v>4072</v>
      </c>
      <c r="N604" s="15" t="s">
        <v>90</v>
      </c>
      <c r="O604" s="15" t="s">
        <v>1261</v>
      </c>
      <c r="P604" s="15" t="s">
        <v>4073</v>
      </c>
      <c r="Q604" s="22">
        <f t="shared" si="29"/>
        <v>974730000</v>
      </c>
      <c r="R604" s="15">
        <v>1862.12</v>
      </c>
      <c r="S604" s="16">
        <v>-7.81</v>
      </c>
      <c r="T604" s="15">
        <v>173088034</v>
      </c>
      <c r="U604" s="17">
        <v>44765</v>
      </c>
      <c r="V604" s="15" t="str">
        <f t="shared" si="27"/>
        <v>Complete</v>
      </c>
    </row>
    <row r="605" spans="1:22" ht="14.5" customHeight="1" x14ac:dyDescent="0.35">
      <c r="A605" s="18" t="s">
        <v>7546</v>
      </c>
      <c r="B605" s="18" t="s">
        <v>7547</v>
      </c>
      <c r="C605" s="18" t="s">
        <v>3498</v>
      </c>
      <c r="D605" s="18" t="s">
        <v>4074</v>
      </c>
      <c r="E605" s="18" t="s">
        <v>2</v>
      </c>
      <c r="F605" s="15" t="str">
        <f t="shared" si="28"/>
        <v>Female</v>
      </c>
      <c r="G605" s="18" t="s">
        <v>4075</v>
      </c>
      <c r="H605" s="18" t="s">
        <v>4076</v>
      </c>
      <c r="I605" s="18">
        <v>604</v>
      </c>
      <c r="J605" s="18">
        <v>604</v>
      </c>
      <c r="K605" s="18" t="s">
        <v>32</v>
      </c>
      <c r="L605" s="18" t="s">
        <v>4077</v>
      </c>
      <c r="M605" s="18" t="s">
        <v>4078</v>
      </c>
      <c r="N605" s="18" t="s">
        <v>323</v>
      </c>
      <c r="O605" s="18" t="s">
        <v>944</v>
      </c>
      <c r="P605" s="18" t="s">
        <v>4079</v>
      </c>
      <c r="Q605" s="22">
        <f t="shared" si="29"/>
        <v>1020000000</v>
      </c>
      <c r="R605" s="18">
        <v>700.48</v>
      </c>
      <c r="S605" s="19">
        <v>-3.62</v>
      </c>
      <c r="T605" s="18">
        <v>90693718</v>
      </c>
      <c r="U605" s="20">
        <v>46000</v>
      </c>
      <c r="V605" s="18" t="str">
        <f t="shared" si="27"/>
        <v>Complete</v>
      </c>
    </row>
    <row r="606" spans="1:22" ht="14.5" customHeight="1" x14ac:dyDescent="0.35">
      <c r="A606" s="15" t="s">
        <v>7548</v>
      </c>
      <c r="B606" s="15" t="s">
        <v>7549</v>
      </c>
      <c r="C606" s="15" t="s">
        <v>4080</v>
      </c>
      <c r="D606" s="15" t="s">
        <v>4081</v>
      </c>
      <c r="E606" s="15" t="s">
        <v>13</v>
      </c>
      <c r="F606" s="15" t="str">
        <f t="shared" si="28"/>
        <v>Male</v>
      </c>
      <c r="G606" s="15" t="s">
        <v>4082</v>
      </c>
      <c r="H606" s="15" t="s">
        <v>4083</v>
      </c>
      <c r="I606" s="15">
        <v>605</v>
      </c>
      <c r="J606" s="15">
        <v>605</v>
      </c>
      <c r="K606" s="15" t="s">
        <v>5</v>
      </c>
      <c r="L606" s="15" t="s">
        <v>4084</v>
      </c>
      <c r="M606" s="15" t="s">
        <v>4085</v>
      </c>
      <c r="N606" s="15" t="s">
        <v>48</v>
      </c>
      <c r="O606" s="15" t="s">
        <v>57</v>
      </c>
      <c r="P606" s="15" t="s">
        <v>4086</v>
      </c>
      <c r="Q606" s="22">
        <f t="shared" si="29"/>
        <v>1250000000</v>
      </c>
      <c r="R606" s="15">
        <v>382.14</v>
      </c>
      <c r="S606" s="16">
        <v>-0.59</v>
      </c>
      <c r="T606" s="15">
        <v>135733768</v>
      </c>
      <c r="U606" s="17">
        <v>45612</v>
      </c>
      <c r="V606" s="15" t="str">
        <f t="shared" si="27"/>
        <v>Complete</v>
      </c>
    </row>
    <row r="607" spans="1:22" ht="14.5" customHeight="1" x14ac:dyDescent="0.35">
      <c r="A607" s="18" t="s">
        <v>7550</v>
      </c>
      <c r="B607" s="18" t="s">
        <v>6682</v>
      </c>
      <c r="C607" s="18" t="s">
        <v>4087</v>
      </c>
      <c r="D607" s="18" t="s">
        <v>4088</v>
      </c>
      <c r="E607" s="18" t="s">
        <v>2</v>
      </c>
      <c r="F607" s="15" t="str">
        <f t="shared" si="28"/>
        <v>Female</v>
      </c>
      <c r="G607" s="18" t="s">
        <v>4089</v>
      </c>
      <c r="H607" s="18" t="s">
        <v>4090</v>
      </c>
      <c r="I607" s="18">
        <v>606</v>
      </c>
      <c r="J607" s="18">
        <v>606</v>
      </c>
      <c r="K607" s="18" t="s">
        <v>5</v>
      </c>
      <c r="L607" s="18" t="s">
        <v>4091</v>
      </c>
      <c r="M607" s="18" t="s">
        <v>4092</v>
      </c>
      <c r="N607" s="18" t="s">
        <v>189</v>
      </c>
      <c r="O607" s="18" t="s">
        <v>2141</v>
      </c>
      <c r="P607" s="18" t="s">
        <v>8033</v>
      </c>
      <c r="Q607" s="22">
        <f t="shared" si="29"/>
        <v>0</v>
      </c>
      <c r="R607" s="18">
        <v>1030.8699999999999</v>
      </c>
      <c r="S607" s="19">
        <v>-10.7</v>
      </c>
      <c r="T607" s="18">
        <v>21513420</v>
      </c>
      <c r="U607" s="20">
        <v>45552</v>
      </c>
      <c r="V607" s="18" t="str">
        <f t="shared" si="27"/>
        <v>Missing</v>
      </c>
    </row>
    <row r="608" spans="1:22" ht="14.5" customHeight="1" x14ac:dyDescent="0.35">
      <c r="A608" s="15" t="s">
        <v>7551</v>
      </c>
      <c r="B608" s="15" t="s">
        <v>7552</v>
      </c>
      <c r="C608" s="15" t="s">
        <v>4093</v>
      </c>
      <c r="D608" s="15" t="s">
        <v>4094</v>
      </c>
      <c r="E608" s="15" t="s">
        <v>2</v>
      </c>
      <c r="F608" s="15" t="str">
        <f t="shared" si="28"/>
        <v>Female</v>
      </c>
      <c r="G608" s="15" t="s">
        <v>4095</v>
      </c>
      <c r="H608" s="15" t="s">
        <v>4096</v>
      </c>
      <c r="I608" s="15">
        <v>607</v>
      </c>
      <c r="J608" s="15">
        <v>607</v>
      </c>
      <c r="K608" s="15" t="s">
        <v>5</v>
      </c>
      <c r="L608" s="15" t="s">
        <v>4097</v>
      </c>
      <c r="M608" s="15" t="s">
        <v>4098</v>
      </c>
      <c r="N608" s="15" t="s">
        <v>48</v>
      </c>
      <c r="O608" s="15" t="s">
        <v>484</v>
      </c>
      <c r="P608" s="15" t="s">
        <v>4099</v>
      </c>
      <c r="Q608" s="22">
        <f t="shared" si="29"/>
        <v>161770000</v>
      </c>
      <c r="R608" s="15">
        <v>790.52</v>
      </c>
      <c r="S608" s="16">
        <v>4.3600000000000003</v>
      </c>
      <c r="T608" s="15">
        <v>98277015</v>
      </c>
      <c r="U608" s="17">
        <v>44431</v>
      </c>
      <c r="V608" s="15" t="str">
        <f t="shared" si="27"/>
        <v>Complete</v>
      </c>
    </row>
    <row r="609" spans="1:22" ht="14.5" customHeight="1" x14ac:dyDescent="0.35">
      <c r="A609" s="18" t="s">
        <v>7553</v>
      </c>
      <c r="B609" s="18" t="s">
        <v>7293</v>
      </c>
      <c r="C609" s="18" t="s">
        <v>4100</v>
      </c>
      <c r="D609" s="18" t="s">
        <v>4101</v>
      </c>
      <c r="E609" s="18" t="s">
        <v>2</v>
      </c>
      <c r="F609" s="15" t="str">
        <f t="shared" si="28"/>
        <v>Female</v>
      </c>
      <c r="G609" s="18" t="s">
        <v>4102</v>
      </c>
      <c r="H609" s="18" t="s">
        <v>4103</v>
      </c>
      <c r="I609" s="18">
        <v>608</v>
      </c>
      <c r="J609" s="18">
        <v>608</v>
      </c>
      <c r="K609" s="18" t="s">
        <v>5</v>
      </c>
      <c r="L609" s="18" t="s">
        <v>4104</v>
      </c>
      <c r="M609" s="18" t="s">
        <v>4105</v>
      </c>
      <c r="N609" s="18" t="s">
        <v>48</v>
      </c>
      <c r="O609" s="18" t="s">
        <v>484</v>
      </c>
      <c r="P609" s="18" t="s">
        <v>4106</v>
      </c>
      <c r="Q609" s="22">
        <f t="shared" si="29"/>
        <v>332530000</v>
      </c>
      <c r="R609" s="18">
        <v>555.52</v>
      </c>
      <c r="S609" s="19">
        <v>1.58</v>
      </c>
      <c r="T609" s="18">
        <v>199751386</v>
      </c>
      <c r="U609" s="20">
        <v>46110</v>
      </c>
      <c r="V609" s="18" t="str">
        <f t="shared" si="27"/>
        <v>Complete</v>
      </c>
    </row>
    <row r="610" spans="1:22" ht="14.5" customHeight="1" x14ac:dyDescent="0.35">
      <c r="A610" s="15" t="s">
        <v>7554</v>
      </c>
      <c r="B610" s="15" t="s">
        <v>6851</v>
      </c>
      <c r="C610" s="15" t="s">
        <v>4107</v>
      </c>
      <c r="D610" s="15" t="s">
        <v>4108</v>
      </c>
      <c r="E610" s="15" t="s">
        <v>13</v>
      </c>
      <c r="F610" s="15" t="str">
        <f t="shared" si="28"/>
        <v>Male</v>
      </c>
      <c r="G610" s="15" t="s">
        <v>4109</v>
      </c>
      <c r="H610" s="15" t="s">
        <v>4110</v>
      </c>
      <c r="I610" s="15">
        <v>609</v>
      </c>
      <c r="J610" s="15">
        <v>609</v>
      </c>
      <c r="K610" s="15" t="s">
        <v>32</v>
      </c>
      <c r="L610" s="15" t="s">
        <v>2485</v>
      </c>
      <c r="M610" s="15" t="s">
        <v>2486</v>
      </c>
      <c r="N610" s="15" t="s">
        <v>142</v>
      </c>
      <c r="O610" s="15" t="s">
        <v>143</v>
      </c>
      <c r="P610" s="15" t="s">
        <v>2487</v>
      </c>
      <c r="Q610" s="22">
        <f t="shared" si="29"/>
        <v>426470000</v>
      </c>
      <c r="R610" s="15">
        <v>378.35</v>
      </c>
      <c r="S610" s="16">
        <v>13</v>
      </c>
      <c r="T610" s="15">
        <v>39176221</v>
      </c>
      <c r="U610" s="17">
        <v>44919</v>
      </c>
      <c r="V610" s="15" t="str">
        <f t="shared" si="27"/>
        <v>Complete</v>
      </c>
    </row>
    <row r="611" spans="1:22" ht="14.5" customHeight="1" x14ac:dyDescent="0.35">
      <c r="A611" s="18" t="s">
        <v>7555</v>
      </c>
      <c r="B611" s="18" t="s">
        <v>6750</v>
      </c>
      <c r="C611" s="18" t="s">
        <v>4111</v>
      </c>
      <c r="D611" s="18" t="s">
        <v>4112</v>
      </c>
      <c r="E611" s="18" t="s">
        <v>13</v>
      </c>
      <c r="F611" s="15" t="str">
        <f t="shared" si="28"/>
        <v>Male</v>
      </c>
      <c r="G611" s="18" t="s">
        <v>4113</v>
      </c>
      <c r="H611" s="18" t="s">
        <v>4114</v>
      </c>
      <c r="I611" s="18">
        <v>610</v>
      </c>
      <c r="J611" s="18">
        <v>610</v>
      </c>
      <c r="K611" s="18" t="s">
        <v>5</v>
      </c>
      <c r="L611" s="18" t="s">
        <v>4115</v>
      </c>
      <c r="M611" s="18" t="s">
        <v>4116</v>
      </c>
      <c r="N611" s="18" t="s">
        <v>99</v>
      </c>
      <c r="O611" s="18" t="s">
        <v>3397</v>
      </c>
      <c r="P611" s="18" t="s">
        <v>4117</v>
      </c>
      <c r="Q611" s="22">
        <f t="shared" si="29"/>
        <v>13880000000</v>
      </c>
      <c r="R611" s="18">
        <v>981.7</v>
      </c>
      <c r="S611" s="19">
        <v>-15.26</v>
      </c>
      <c r="T611" s="18">
        <v>58070519</v>
      </c>
      <c r="U611" s="20">
        <v>45298</v>
      </c>
      <c r="V611" s="18" t="str">
        <f t="shared" si="27"/>
        <v>Complete</v>
      </c>
    </row>
    <row r="612" spans="1:22" ht="14.5" customHeight="1" x14ac:dyDescent="0.35">
      <c r="A612" s="15" t="s">
        <v>7556</v>
      </c>
      <c r="B612" s="15" t="s">
        <v>7557</v>
      </c>
      <c r="C612" s="15" t="s">
        <v>4118</v>
      </c>
      <c r="D612" s="15" t="s">
        <v>4119</v>
      </c>
      <c r="E612" s="15" t="s">
        <v>2</v>
      </c>
      <c r="F612" s="15" t="str">
        <f t="shared" si="28"/>
        <v>Female</v>
      </c>
      <c r="G612" s="15" t="s">
        <v>4120</v>
      </c>
      <c r="H612" s="15" t="s">
        <v>4121</v>
      </c>
      <c r="I612" s="15">
        <v>611</v>
      </c>
      <c r="J612" s="15">
        <v>611</v>
      </c>
      <c r="K612" s="15" t="s">
        <v>5</v>
      </c>
      <c r="L612" s="15" t="s">
        <v>4122</v>
      </c>
      <c r="M612" s="15" t="s">
        <v>4123</v>
      </c>
      <c r="N612" s="15" t="s">
        <v>25</v>
      </c>
      <c r="O612" s="15" t="s">
        <v>344</v>
      </c>
      <c r="P612" s="15" t="s">
        <v>4124</v>
      </c>
      <c r="Q612" s="22">
        <f t="shared" si="29"/>
        <v>12630000</v>
      </c>
      <c r="R612" s="15">
        <v>1942.49</v>
      </c>
      <c r="S612" s="16">
        <v>-15.86</v>
      </c>
      <c r="T612" s="15">
        <v>192114183</v>
      </c>
      <c r="U612" s="17">
        <v>45723</v>
      </c>
      <c r="V612" s="15" t="str">
        <f t="shared" si="27"/>
        <v>Complete</v>
      </c>
    </row>
    <row r="613" spans="1:22" ht="14.5" customHeight="1" x14ac:dyDescent="0.35">
      <c r="A613" s="18" t="s">
        <v>7558</v>
      </c>
      <c r="B613" s="18" t="s">
        <v>7158</v>
      </c>
      <c r="C613" s="18" t="s">
        <v>4125</v>
      </c>
      <c r="D613" s="18" t="s">
        <v>4126</v>
      </c>
      <c r="E613" s="18" t="s">
        <v>161</v>
      </c>
      <c r="F613" s="15" t="str">
        <f t="shared" si="28"/>
        <v>Other</v>
      </c>
      <c r="G613" s="18" t="s">
        <v>4127</v>
      </c>
      <c r="H613" s="18" t="s">
        <v>4128</v>
      </c>
      <c r="I613" s="18">
        <v>612</v>
      </c>
      <c r="J613" s="18">
        <v>612</v>
      </c>
      <c r="K613" s="18" t="s">
        <v>5</v>
      </c>
      <c r="L613" s="18" t="s">
        <v>4129</v>
      </c>
      <c r="M613" s="18" t="s">
        <v>4130</v>
      </c>
      <c r="N613" s="18" t="s">
        <v>8</v>
      </c>
      <c r="O613" s="18" t="s">
        <v>18</v>
      </c>
      <c r="P613" s="18" t="s">
        <v>4131</v>
      </c>
      <c r="Q613" s="22">
        <f t="shared" si="29"/>
        <v>862980000</v>
      </c>
      <c r="R613" s="18">
        <v>1659.14</v>
      </c>
      <c r="S613" s="19">
        <v>-6.25</v>
      </c>
      <c r="T613" s="18">
        <v>185402244</v>
      </c>
      <c r="U613" s="20">
        <v>44401</v>
      </c>
      <c r="V613" s="18" t="str">
        <f t="shared" si="27"/>
        <v>Complete</v>
      </c>
    </row>
    <row r="614" spans="1:22" ht="14.5" customHeight="1" x14ac:dyDescent="0.35">
      <c r="A614" s="15" t="s">
        <v>7559</v>
      </c>
      <c r="B614" s="15" t="s">
        <v>6847</v>
      </c>
      <c r="C614" s="15" t="s">
        <v>4132</v>
      </c>
      <c r="D614" s="15" t="s">
        <v>4133</v>
      </c>
      <c r="E614" s="15" t="s">
        <v>13</v>
      </c>
      <c r="F614" s="15" t="str">
        <f t="shared" si="28"/>
        <v>Male</v>
      </c>
      <c r="G614" s="15" t="s">
        <v>4134</v>
      </c>
      <c r="H614" s="15" t="s">
        <v>4135</v>
      </c>
      <c r="I614" s="15">
        <v>613</v>
      </c>
      <c r="J614" s="15">
        <v>613</v>
      </c>
      <c r="K614" s="15" t="s">
        <v>32</v>
      </c>
      <c r="L614" s="15" t="s">
        <v>4136</v>
      </c>
      <c r="M614" s="15" t="s">
        <v>4137</v>
      </c>
      <c r="N614" s="15" t="s">
        <v>134</v>
      </c>
      <c r="O614" s="15" t="s">
        <v>2176</v>
      </c>
      <c r="P614" s="15" t="s">
        <v>1098</v>
      </c>
      <c r="Q614" s="22">
        <f t="shared" si="29"/>
        <v>3490000000</v>
      </c>
      <c r="R614" s="15">
        <v>1061.3</v>
      </c>
      <c r="S614" s="16">
        <v>-8.14</v>
      </c>
      <c r="T614" s="15">
        <v>63843562</v>
      </c>
      <c r="U614" s="17">
        <v>44217</v>
      </c>
      <c r="V614" s="15" t="str">
        <f t="shared" si="27"/>
        <v>Complete</v>
      </c>
    </row>
    <row r="615" spans="1:22" ht="14.5" customHeight="1" x14ac:dyDescent="0.35">
      <c r="A615" s="18" t="s">
        <v>7560</v>
      </c>
      <c r="B615" s="18" t="s">
        <v>6599</v>
      </c>
      <c r="C615" s="18" t="s">
        <v>4138</v>
      </c>
      <c r="D615" s="18" t="s">
        <v>4139</v>
      </c>
      <c r="E615" s="18" t="s">
        <v>13</v>
      </c>
      <c r="F615" s="15" t="str">
        <f t="shared" si="28"/>
        <v>Male</v>
      </c>
      <c r="G615" s="18" t="s">
        <v>4140</v>
      </c>
      <c r="H615" s="18" t="s">
        <v>4141</v>
      </c>
      <c r="I615" s="18">
        <v>614</v>
      </c>
      <c r="J615" s="18">
        <v>614</v>
      </c>
      <c r="K615" s="18" t="s">
        <v>32</v>
      </c>
      <c r="L615" s="18" t="s">
        <v>4142</v>
      </c>
      <c r="M615" s="18" t="s">
        <v>4143</v>
      </c>
      <c r="N615" s="18" t="s">
        <v>25</v>
      </c>
      <c r="O615" s="18" t="s">
        <v>613</v>
      </c>
      <c r="P615" s="18" t="s">
        <v>4144</v>
      </c>
      <c r="Q615" s="22">
        <f t="shared" si="29"/>
        <v>10790000000</v>
      </c>
      <c r="R615" s="18">
        <v>386.32</v>
      </c>
      <c r="S615" s="19">
        <v>5.97</v>
      </c>
      <c r="T615" s="18">
        <v>175257884</v>
      </c>
      <c r="U615" s="20">
        <v>45976</v>
      </c>
      <c r="V615" s="18" t="str">
        <f t="shared" si="27"/>
        <v>Complete</v>
      </c>
    </row>
    <row r="616" spans="1:22" ht="14.5" customHeight="1" x14ac:dyDescent="0.35">
      <c r="A616" s="15" t="s">
        <v>7561</v>
      </c>
      <c r="B616" s="15" t="s">
        <v>7562</v>
      </c>
      <c r="C616" s="15" t="s">
        <v>4145</v>
      </c>
      <c r="D616" s="15" t="s">
        <v>4146</v>
      </c>
      <c r="E616" s="15" t="s">
        <v>2</v>
      </c>
      <c r="F616" s="15" t="str">
        <f t="shared" si="28"/>
        <v>Female</v>
      </c>
      <c r="G616" s="15" t="s">
        <v>4147</v>
      </c>
      <c r="H616" s="15" t="s">
        <v>4148</v>
      </c>
      <c r="I616" s="15">
        <v>615</v>
      </c>
      <c r="J616" s="15">
        <v>615</v>
      </c>
      <c r="K616" s="15" t="s">
        <v>5</v>
      </c>
      <c r="L616" s="15" t="s">
        <v>4149</v>
      </c>
      <c r="M616" s="15" t="s">
        <v>4150</v>
      </c>
      <c r="N616" s="15" t="s">
        <v>99</v>
      </c>
      <c r="O616" s="15" t="s">
        <v>1702</v>
      </c>
      <c r="P616" s="15" t="s">
        <v>4151</v>
      </c>
      <c r="Q616" s="22">
        <f t="shared" si="29"/>
        <v>408670000</v>
      </c>
      <c r="R616" s="15">
        <v>1400.25</v>
      </c>
      <c r="S616" s="16">
        <v>10.7</v>
      </c>
      <c r="T616" s="15">
        <v>171123761</v>
      </c>
      <c r="U616" s="17">
        <v>45954</v>
      </c>
      <c r="V616" s="15" t="str">
        <f t="shared" si="27"/>
        <v>Complete</v>
      </c>
    </row>
    <row r="617" spans="1:22" ht="14.5" customHeight="1" x14ac:dyDescent="0.35">
      <c r="A617" s="18" t="s">
        <v>7563</v>
      </c>
      <c r="B617" s="18" t="s">
        <v>6916</v>
      </c>
      <c r="C617" s="18" t="s">
        <v>4152</v>
      </c>
      <c r="D617" s="18" t="s">
        <v>4153</v>
      </c>
      <c r="E617" s="18" t="s">
        <v>13</v>
      </c>
      <c r="F617" s="15" t="str">
        <f t="shared" si="28"/>
        <v>Male</v>
      </c>
      <c r="G617" s="18" t="s">
        <v>4154</v>
      </c>
      <c r="H617" s="18" t="s">
        <v>4155</v>
      </c>
      <c r="I617" s="18">
        <v>616</v>
      </c>
      <c r="J617" s="18">
        <v>616</v>
      </c>
      <c r="K617" s="18" t="s">
        <v>32</v>
      </c>
      <c r="L617" s="18" t="s">
        <v>4156</v>
      </c>
      <c r="M617" s="18" t="s">
        <v>4157</v>
      </c>
      <c r="N617" s="18" t="s">
        <v>142</v>
      </c>
      <c r="O617" s="18" t="s">
        <v>2054</v>
      </c>
      <c r="P617" s="18" t="s">
        <v>4158</v>
      </c>
      <c r="Q617" s="22">
        <f t="shared" si="29"/>
        <v>39110000000</v>
      </c>
      <c r="R617" s="18">
        <v>1000.93</v>
      </c>
      <c r="S617" s="19">
        <v>11.03</v>
      </c>
      <c r="T617" s="18">
        <v>17800825</v>
      </c>
      <c r="U617" s="20">
        <v>44737</v>
      </c>
      <c r="V617" s="18" t="str">
        <f t="shared" si="27"/>
        <v>Complete</v>
      </c>
    </row>
    <row r="618" spans="1:22" ht="14.5" customHeight="1" x14ac:dyDescent="0.35">
      <c r="A618" s="15" t="s">
        <v>7564</v>
      </c>
      <c r="B618" s="15" t="s">
        <v>7565</v>
      </c>
      <c r="C618" s="15" t="s">
        <v>4159</v>
      </c>
      <c r="D618" s="15" t="s">
        <v>4160</v>
      </c>
      <c r="E618" s="15" t="s">
        <v>2</v>
      </c>
      <c r="F618" s="15" t="str">
        <f t="shared" si="28"/>
        <v>Female</v>
      </c>
      <c r="G618" s="15" t="s">
        <v>4161</v>
      </c>
      <c r="H618" s="15" t="s">
        <v>4162</v>
      </c>
      <c r="I618" s="15">
        <v>617</v>
      </c>
      <c r="J618" s="15">
        <v>617</v>
      </c>
      <c r="K618" s="15" t="s">
        <v>32</v>
      </c>
      <c r="L618" s="15" t="s">
        <v>4163</v>
      </c>
      <c r="M618" s="15" t="s">
        <v>4164</v>
      </c>
      <c r="N618" s="15" t="s">
        <v>48</v>
      </c>
      <c r="O618" s="15" t="s">
        <v>4165</v>
      </c>
      <c r="P618" s="15" t="s">
        <v>1346</v>
      </c>
      <c r="Q618" s="22">
        <f t="shared" si="29"/>
        <v>1500000000</v>
      </c>
      <c r="R618" s="15">
        <v>108.2</v>
      </c>
      <c r="S618" s="16">
        <v>5.39</v>
      </c>
      <c r="T618" s="15">
        <v>66202568</v>
      </c>
      <c r="U618" s="17">
        <v>44515</v>
      </c>
      <c r="V618" s="15" t="str">
        <f t="shared" si="27"/>
        <v>Complete</v>
      </c>
    </row>
    <row r="619" spans="1:22" ht="14.5" customHeight="1" x14ac:dyDescent="0.35">
      <c r="A619" s="18" t="s">
        <v>7566</v>
      </c>
      <c r="B619" s="18" t="s">
        <v>7567</v>
      </c>
      <c r="C619" s="18" t="s">
        <v>4166</v>
      </c>
      <c r="D619" s="18" t="s">
        <v>4167</v>
      </c>
      <c r="E619" s="18" t="s">
        <v>208</v>
      </c>
      <c r="F619" s="15" t="str">
        <f t="shared" si="28"/>
        <v>Other</v>
      </c>
      <c r="G619" s="18" t="s">
        <v>4168</v>
      </c>
      <c r="H619" s="18" t="s">
        <v>4169</v>
      </c>
      <c r="I619" s="18">
        <v>618</v>
      </c>
      <c r="J619" s="18">
        <v>618</v>
      </c>
      <c r="K619" s="18" t="s">
        <v>5</v>
      </c>
      <c r="L619" s="18" t="s">
        <v>4170</v>
      </c>
      <c r="M619" s="18" t="s">
        <v>4171</v>
      </c>
      <c r="N619" s="18" t="s">
        <v>8</v>
      </c>
      <c r="O619" s="18" t="s">
        <v>9</v>
      </c>
      <c r="P619" s="18" t="s">
        <v>4172</v>
      </c>
      <c r="Q619" s="22">
        <f t="shared" si="29"/>
        <v>1310000000</v>
      </c>
      <c r="R619" s="18">
        <v>1175.31</v>
      </c>
      <c r="S619" s="19">
        <v>-16.87</v>
      </c>
      <c r="T619" s="18">
        <v>152316759</v>
      </c>
      <c r="U619" s="20">
        <v>46371</v>
      </c>
      <c r="V619" s="18" t="str">
        <f t="shared" si="27"/>
        <v>Complete</v>
      </c>
    </row>
    <row r="620" spans="1:22" ht="14.5" customHeight="1" x14ac:dyDescent="0.35">
      <c r="A620" s="15" t="s">
        <v>7568</v>
      </c>
      <c r="B620" s="15" t="s">
        <v>7569</v>
      </c>
      <c r="C620" s="15" t="s">
        <v>4173</v>
      </c>
      <c r="D620" s="15" t="s">
        <v>4174</v>
      </c>
      <c r="E620" s="15" t="s">
        <v>2</v>
      </c>
      <c r="F620" s="15" t="str">
        <f t="shared" si="28"/>
        <v>Female</v>
      </c>
      <c r="G620" s="15" t="s">
        <v>4175</v>
      </c>
      <c r="H620" s="15" t="s">
        <v>4176</v>
      </c>
      <c r="I620" s="15">
        <v>619</v>
      </c>
      <c r="J620" s="15">
        <v>619</v>
      </c>
      <c r="K620" s="15" t="s">
        <v>32</v>
      </c>
      <c r="L620" s="15" t="s">
        <v>4177</v>
      </c>
      <c r="M620" s="15" t="s">
        <v>4178</v>
      </c>
      <c r="N620" s="15" t="s">
        <v>8033</v>
      </c>
      <c r="O620" s="15" t="s">
        <v>8033</v>
      </c>
      <c r="P620" s="15" t="s">
        <v>4179</v>
      </c>
      <c r="Q620" s="22">
        <f t="shared" si="29"/>
        <v>415870000</v>
      </c>
      <c r="R620" s="15">
        <v>467.48</v>
      </c>
      <c r="S620" s="16">
        <v>8.9600000000000009</v>
      </c>
      <c r="T620" s="15">
        <v>168245510</v>
      </c>
      <c r="U620" s="17">
        <v>44271</v>
      </c>
      <c r="V620" s="15" t="str">
        <f t="shared" si="27"/>
        <v>Missing</v>
      </c>
    </row>
    <row r="621" spans="1:22" ht="14.5" customHeight="1" x14ac:dyDescent="0.35">
      <c r="A621" s="18" t="s">
        <v>7570</v>
      </c>
      <c r="B621" s="18" t="s">
        <v>7571</v>
      </c>
      <c r="C621" s="18" t="s">
        <v>4180</v>
      </c>
      <c r="D621" s="18" t="s">
        <v>4181</v>
      </c>
      <c r="E621" s="18" t="s">
        <v>208</v>
      </c>
      <c r="F621" s="15" t="str">
        <f t="shared" si="28"/>
        <v>Other</v>
      </c>
      <c r="G621" s="18" t="s">
        <v>4182</v>
      </c>
      <c r="H621" s="18" t="s">
        <v>4183</v>
      </c>
      <c r="I621" s="18">
        <v>620</v>
      </c>
      <c r="J621" s="18">
        <v>620</v>
      </c>
      <c r="K621" s="18" t="s">
        <v>5</v>
      </c>
      <c r="L621" s="18" t="s">
        <v>4184</v>
      </c>
      <c r="M621" s="18" t="s">
        <v>761</v>
      </c>
      <c r="N621" s="18" t="s">
        <v>66</v>
      </c>
      <c r="O621" s="18" t="s">
        <v>762</v>
      </c>
      <c r="P621" s="18" t="s">
        <v>8033</v>
      </c>
      <c r="Q621" s="22">
        <f t="shared" si="29"/>
        <v>0</v>
      </c>
      <c r="R621" s="18">
        <v>863.47</v>
      </c>
      <c r="S621" s="19">
        <v>-3.59</v>
      </c>
      <c r="T621" s="18">
        <v>187156222</v>
      </c>
      <c r="U621" s="20">
        <v>44907</v>
      </c>
      <c r="V621" s="18" t="str">
        <f t="shared" si="27"/>
        <v>Missing</v>
      </c>
    </row>
    <row r="622" spans="1:22" ht="14.5" customHeight="1" x14ac:dyDescent="0.35">
      <c r="A622" s="15" t="s">
        <v>7572</v>
      </c>
      <c r="B622" s="15" t="s">
        <v>7422</v>
      </c>
      <c r="C622" s="15" t="s">
        <v>4185</v>
      </c>
      <c r="D622" s="15" t="s">
        <v>4186</v>
      </c>
      <c r="E622" s="15" t="s">
        <v>13</v>
      </c>
      <c r="F622" s="15" t="str">
        <f t="shared" si="28"/>
        <v>Male</v>
      </c>
      <c r="G622" s="15" t="s">
        <v>4187</v>
      </c>
      <c r="H622" s="15" t="s">
        <v>4188</v>
      </c>
      <c r="I622" s="15">
        <v>621</v>
      </c>
      <c r="J622" s="15">
        <v>621</v>
      </c>
      <c r="K622" s="15" t="s">
        <v>5</v>
      </c>
      <c r="L622" s="15" t="s">
        <v>4189</v>
      </c>
      <c r="M622" s="15" t="s">
        <v>4190</v>
      </c>
      <c r="N622" s="15" t="s">
        <v>8033</v>
      </c>
      <c r="O622" s="15" t="s">
        <v>8033</v>
      </c>
      <c r="P622" s="15" t="s">
        <v>8033</v>
      </c>
      <c r="Q622" s="22">
        <f t="shared" si="29"/>
        <v>0</v>
      </c>
      <c r="R622" s="15">
        <v>1600.84</v>
      </c>
      <c r="S622" s="16">
        <v>9.89</v>
      </c>
      <c r="T622" s="15">
        <v>179059269</v>
      </c>
      <c r="U622" s="17">
        <v>46096</v>
      </c>
      <c r="V622" s="15" t="str">
        <f t="shared" si="27"/>
        <v>Missing</v>
      </c>
    </row>
    <row r="623" spans="1:22" ht="14.5" customHeight="1" x14ac:dyDescent="0.35">
      <c r="A623" s="18" t="s">
        <v>7573</v>
      </c>
      <c r="B623" s="18" t="s">
        <v>7574</v>
      </c>
      <c r="C623" s="18" t="s">
        <v>4191</v>
      </c>
      <c r="D623" s="18" t="s">
        <v>4192</v>
      </c>
      <c r="E623" s="18" t="s">
        <v>2</v>
      </c>
      <c r="F623" s="15" t="str">
        <f t="shared" si="28"/>
        <v>Female</v>
      </c>
      <c r="G623" s="18" t="s">
        <v>4193</v>
      </c>
      <c r="H623" s="18" t="s">
        <v>4194</v>
      </c>
      <c r="I623" s="18">
        <v>622</v>
      </c>
      <c r="J623" s="18">
        <v>622</v>
      </c>
      <c r="K623" s="18" t="s">
        <v>32</v>
      </c>
      <c r="L623" s="18" t="s">
        <v>4195</v>
      </c>
      <c r="M623" s="18" t="s">
        <v>4196</v>
      </c>
      <c r="N623" s="18" t="s">
        <v>25</v>
      </c>
      <c r="O623" s="18" t="s">
        <v>2114</v>
      </c>
      <c r="P623" s="18" t="s">
        <v>4197</v>
      </c>
      <c r="Q623" s="22">
        <f t="shared" si="29"/>
        <v>7580000000</v>
      </c>
      <c r="R623" s="18">
        <v>1066.8900000000001</v>
      </c>
      <c r="S623" s="19">
        <v>6.8</v>
      </c>
      <c r="T623" s="18">
        <v>92915569</v>
      </c>
      <c r="U623" s="20">
        <v>45474</v>
      </c>
      <c r="V623" s="18" t="str">
        <f t="shared" si="27"/>
        <v>Complete</v>
      </c>
    </row>
    <row r="624" spans="1:22" ht="14.5" customHeight="1" x14ac:dyDescent="0.35">
      <c r="A624" s="15" t="s">
        <v>7575</v>
      </c>
      <c r="B624" s="15" t="s">
        <v>6851</v>
      </c>
      <c r="C624" s="15" t="s">
        <v>3536</v>
      </c>
      <c r="D624" s="15" t="s">
        <v>4198</v>
      </c>
      <c r="E624" s="15" t="s">
        <v>13</v>
      </c>
      <c r="F624" s="15" t="str">
        <f t="shared" si="28"/>
        <v>Male</v>
      </c>
      <c r="G624" s="15" t="s">
        <v>4199</v>
      </c>
      <c r="H624" s="15" t="s">
        <v>4200</v>
      </c>
      <c r="I624" s="15">
        <v>623</v>
      </c>
      <c r="J624" s="15">
        <v>623</v>
      </c>
      <c r="K624" s="15" t="s">
        <v>32</v>
      </c>
      <c r="L624" s="15" t="s">
        <v>4201</v>
      </c>
      <c r="M624" s="15" t="s">
        <v>4202</v>
      </c>
      <c r="N624" s="15" t="s">
        <v>8033</v>
      </c>
      <c r="O624" s="15" t="s">
        <v>8033</v>
      </c>
      <c r="P624" s="15" t="s">
        <v>4203</v>
      </c>
      <c r="Q624" s="22">
        <f t="shared" si="29"/>
        <v>741610000</v>
      </c>
      <c r="R624" s="15">
        <v>1210.33</v>
      </c>
      <c r="S624" s="16">
        <v>8.3699999999999992</v>
      </c>
      <c r="T624" s="15">
        <v>12719776</v>
      </c>
      <c r="U624" s="17">
        <v>44044</v>
      </c>
      <c r="V624" s="15" t="str">
        <f t="shared" si="27"/>
        <v>Missing</v>
      </c>
    </row>
    <row r="625" spans="1:22" ht="14.5" customHeight="1" x14ac:dyDescent="0.35">
      <c r="A625" s="18" t="s">
        <v>7576</v>
      </c>
      <c r="B625" s="18" t="s">
        <v>7577</v>
      </c>
      <c r="C625" s="18" t="s">
        <v>4204</v>
      </c>
      <c r="D625" s="18" t="s">
        <v>4205</v>
      </c>
      <c r="E625" s="18" t="s">
        <v>208</v>
      </c>
      <c r="F625" s="15" t="str">
        <f t="shared" si="28"/>
        <v>Other</v>
      </c>
      <c r="G625" s="18" t="s">
        <v>4206</v>
      </c>
      <c r="H625" s="18" t="s">
        <v>4207</v>
      </c>
      <c r="I625" s="18">
        <v>624</v>
      </c>
      <c r="J625" s="18">
        <v>624</v>
      </c>
      <c r="K625" s="18" t="s">
        <v>32</v>
      </c>
      <c r="L625" s="18" t="s">
        <v>4208</v>
      </c>
      <c r="M625" s="18" t="s">
        <v>4209</v>
      </c>
      <c r="N625" s="18" t="s">
        <v>117</v>
      </c>
      <c r="O625" s="18" t="s">
        <v>118</v>
      </c>
      <c r="P625" s="18" t="s">
        <v>4210</v>
      </c>
      <c r="Q625" s="22">
        <f t="shared" si="29"/>
        <v>1670000000</v>
      </c>
      <c r="R625" s="18">
        <v>332.73</v>
      </c>
      <c r="S625" s="19">
        <v>-2.37</v>
      </c>
      <c r="T625" s="18">
        <v>189315680</v>
      </c>
      <c r="U625" s="20">
        <v>44457</v>
      </c>
      <c r="V625" s="18" t="str">
        <f t="shared" si="27"/>
        <v>Complete</v>
      </c>
    </row>
    <row r="626" spans="1:22" ht="14.5" customHeight="1" x14ac:dyDescent="0.35">
      <c r="A626" s="15" t="s">
        <v>7578</v>
      </c>
      <c r="B626" s="15" t="s">
        <v>6653</v>
      </c>
      <c r="C626" s="15" t="s">
        <v>2210</v>
      </c>
      <c r="D626" s="15" t="s">
        <v>4211</v>
      </c>
      <c r="E626" s="15" t="s">
        <v>13</v>
      </c>
      <c r="F626" s="15" t="str">
        <f t="shared" si="28"/>
        <v>Male</v>
      </c>
      <c r="G626" s="15" t="s">
        <v>4212</v>
      </c>
      <c r="H626" s="15" t="s">
        <v>4213</v>
      </c>
      <c r="I626" s="15">
        <v>625</v>
      </c>
      <c r="J626" s="15">
        <v>625</v>
      </c>
      <c r="K626" s="15" t="s">
        <v>5</v>
      </c>
      <c r="L626" s="15" t="s">
        <v>4214</v>
      </c>
      <c r="M626" s="15" t="s">
        <v>4215</v>
      </c>
      <c r="N626" s="15" t="s">
        <v>90</v>
      </c>
      <c r="O626" s="15" t="s">
        <v>4216</v>
      </c>
      <c r="P626" s="15" t="s">
        <v>4217</v>
      </c>
      <c r="Q626" s="22">
        <f t="shared" si="29"/>
        <v>2880000000</v>
      </c>
      <c r="R626" s="15">
        <v>852.66</v>
      </c>
      <c r="S626" s="16">
        <v>17.600000000000001</v>
      </c>
      <c r="T626" s="15">
        <v>107564543</v>
      </c>
      <c r="U626" s="17">
        <v>45005</v>
      </c>
      <c r="V626" s="15" t="str">
        <f t="shared" si="27"/>
        <v>Complete</v>
      </c>
    </row>
    <row r="627" spans="1:22" ht="14.5" customHeight="1" x14ac:dyDescent="0.35">
      <c r="A627" s="18" t="s">
        <v>7579</v>
      </c>
      <c r="B627" s="18" t="s">
        <v>7229</v>
      </c>
      <c r="C627" s="18" t="s">
        <v>4218</v>
      </c>
      <c r="D627" s="18" t="s">
        <v>4219</v>
      </c>
      <c r="E627" s="18" t="s">
        <v>2</v>
      </c>
      <c r="F627" s="15" t="str">
        <f t="shared" si="28"/>
        <v>Female</v>
      </c>
      <c r="G627" s="18" t="s">
        <v>4220</v>
      </c>
      <c r="H627" s="18" t="s">
        <v>4221</v>
      </c>
      <c r="I627" s="18">
        <v>626</v>
      </c>
      <c r="J627" s="18">
        <v>626</v>
      </c>
      <c r="K627" s="18" t="s">
        <v>5</v>
      </c>
      <c r="L627" s="18" t="s">
        <v>4222</v>
      </c>
      <c r="M627" s="18" t="s">
        <v>4223</v>
      </c>
      <c r="N627" s="18" t="s">
        <v>8</v>
      </c>
      <c r="O627" s="18" t="s">
        <v>1430</v>
      </c>
      <c r="P627" s="18" t="s">
        <v>4224</v>
      </c>
      <c r="Q627" s="22">
        <f t="shared" si="29"/>
        <v>785510000</v>
      </c>
      <c r="R627" s="18">
        <v>1370.91</v>
      </c>
      <c r="S627" s="19">
        <v>0.42</v>
      </c>
      <c r="T627" s="18">
        <v>177166301</v>
      </c>
      <c r="U627" s="20">
        <v>45472</v>
      </c>
      <c r="V627" s="18" t="str">
        <f t="shared" si="27"/>
        <v>Complete</v>
      </c>
    </row>
    <row r="628" spans="1:22" ht="14.5" customHeight="1" x14ac:dyDescent="0.35">
      <c r="A628" s="15" t="s">
        <v>7580</v>
      </c>
      <c r="B628" s="15" t="s">
        <v>6823</v>
      </c>
      <c r="C628" s="15" t="s">
        <v>4225</v>
      </c>
      <c r="D628" s="15" t="s">
        <v>4226</v>
      </c>
      <c r="E628" s="15" t="s">
        <v>2</v>
      </c>
      <c r="F628" s="15" t="str">
        <f t="shared" si="28"/>
        <v>Female</v>
      </c>
      <c r="G628" s="15" t="s">
        <v>4227</v>
      </c>
      <c r="H628" s="15" t="s">
        <v>4228</v>
      </c>
      <c r="I628" s="15">
        <v>627</v>
      </c>
      <c r="J628" s="15">
        <v>627</v>
      </c>
      <c r="K628" s="15" t="s">
        <v>5</v>
      </c>
      <c r="L628" s="15" t="s">
        <v>4229</v>
      </c>
      <c r="M628" s="15" t="s">
        <v>4230</v>
      </c>
      <c r="N628" s="15" t="s">
        <v>134</v>
      </c>
      <c r="O628" s="15" t="s">
        <v>2454</v>
      </c>
      <c r="P628" s="15" t="s">
        <v>4231</v>
      </c>
      <c r="Q628" s="22">
        <f t="shared" si="29"/>
        <v>930510000</v>
      </c>
      <c r="R628" s="15">
        <v>1022.14</v>
      </c>
      <c r="S628" s="16">
        <v>14.38</v>
      </c>
      <c r="T628" s="15">
        <v>75377254</v>
      </c>
      <c r="U628" s="17">
        <v>45158</v>
      </c>
      <c r="V628" s="15" t="str">
        <f t="shared" si="27"/>
        <v>Complete</v>
      </c>
    </row>
    <row r="629" spans="1:22" ht="14.5" customHeight="1" x14ac:dyDescent="0.35">
      <c r="A629" s="18" t="s">
        <v>7581</v>
      </c>
      <c r="B629" s="18" t="s">
        <v>7152</v>
      </c>
      <c r="C629" s="18" t="s">
        <v>4232</v>
      </c>
      <c r="D629" s="18" t="s">
        <v>4233</v>
      </c>
      <c r="E629" s="18" t="s">
        <v>13</v>
      </c>
      <c r="F629" s="15" t="str">
        <f t="shared" si="28"/>
        <v>Male</v>
      </c>
      <c r="G629" s="18" t="s">
        <v>4234</v>
      </c>
      <c r="H629" s="18" t="s">
        <v>4235</v>
      </c>
      <c r="I629" s="18">
        <v>628</v>
      </c>
      <c r="J629" s="18">
        <v>628</v>
      </c>
      <c r="K629" s="18" t="s">
        <v>5</v>
      </c>
      <c r="L629" s="18" t="s">
        <v>4236</v>
      </c>
      <c r="M629" s="18" t="s">
        <v>4237</v>
      </c>
      <c r="N629" s="18" t="s">
        <v>48</v>
      </c>
      <c r="O629" s="18" t="s">
        <v>4165</v>
      </c>
      <c r="P629" s="18" t="s">
        <v>4238</v>
      </c>
      <c r="Q629" s="22">
        <f t="shared" si="29"/>
        <v>175650000</v>
      </c>
      <c r="R629" s="18">
        <v>1083.3</v>
      </c>
      <c r="S629" s="19">
        <v>-4.16</v>
      </c>
      <c r="T629" s="18">
        <v>16552327</v>
      </c>
      <c r="U629" s="20">
        <v>43947</v>
      </c>
      <c r="V629" s="18" t="str">
        <f t="shared" si="27"/>
        <v>Complete</v>
      </c>
    </row>
    <row r="630" spans="1:22" ht="14.5" customHeight="1" x14ac:dyDescent="0.35">
      <c r="A630" s="15" t="s">
        <v>7582</v>
      </c>
      <c r="B630" s="15" t="s">
        <v>7219</v>
      </c>
      <c r="C630" s="15" t="s">
        <v>4239</v>
      </c>
      <c r="D630" s="15" t="s">
        <v>4240</v>
      </c>
      <c r="E630" s="15" t="s">
        <v>2</v>
      </c>
      <c r="F630" s="15" t="str">
        <f t="shared" si="28"/>
        <v>Female</v>
      </c>
      <c r="G630" s="15" t="s">
        <v>4241</v>
      </c>
      <c r="H630" s="15" t="s">
        <v>4242</v>
      </c>
      <c r="I630" s="15">
        <v>629</v>
      </c>
      <c r="J630" s="15">
        <v>629</v>
      </c>
      <c r="K630" s="15" t="s">
        <v>32</v>
      </c>
      <c r="L630" s="15" t="s">
        <v>4243</v>
      </c>
      <c r="M630" s="15" t="s">
        <v>4244</v>
      </c>
      <c r="N630" s="15" t="s">
        <v>90</v>
      </c>
      <c r="O630" s="15" t="s">
        <v>3472</v>
      </c>
      <c r="P630" s="15" t="s">
        <v>4245</v>
      </c>
      <c r="Q630" s="22">
        <f t="shared" si="29"/>
        <v>1210000000</v>
      </c>
      <c r="R630" s="15">
        <v>1756.26</v>
      </c>
      <c r="S630" s="16">
        <v>6.52</v>
      </c>
      <c r="T630" s="15">
        <v>91360688</v>
      </c>
      <c r="U630" s="17">
        <v>44356</v>
      </c>
      <c r="V630" s="15" t="str">
        <f t="shared" si="27"/>
        <v>Complete</v>
      </c>
    </row>
    <row r="631" spans="1:22" ht="14.5" customHeight="1" x14ac:dyDescent="0.35">
      <c r="A631" s="18" t="s">
        <v>7583</v>
      </c>
      <c r="B631" s="18" t="s">
        <v>7584</v>
      </c>
      <c r="C631" s="18" t="s">
        <v>4246</v>
      </c>
      <c r="D631" s="18" t="s">
        <v>4247</v>
      </c>
      <c r="E631" s="18" t="s">
        <v>2</v>
      </c>
      <c r="F631" s="15" t="str">
        <f t="shared" si="28"/>
        <v>Female</v>
      </c>
      <c r="G631" s="18" t="s">
        <v>4248</v>
      </c>
      <c r="H631" s="18" t="s">
        <v>4249</v>
      </c>
      <c r="I631" s="18">
        <v>630</v>
      </c>
      <c r="J631" s="18">
        <v>630</v>
      </c>
      <c r="K631" s="18" t="s">
        <v>32</v>
      </c>
      <c r="L631" s="18" t="s">
        <v>4250</v>
      </c>
      <c r="M631" s="18" t="s">
        <v>4251</v>
      </c>
      <c r="N631" s="18" t="s">
        <v>142</v>
      </c>
      <c r="O631" s="18" t="s">
        <v>143</v>
      </c>
      <c r="P631" s="18" t="s">
        <v>4252</v>
      </c>
      <c r="Q631" s="22">
        <f t="shared" si="29"/>
        <v>284990000</v>
      </c>
      <c r="R631" s="18">
        <v>492.23</v>
      </c>
      <c r="S631" s="19">
        <v>9.98</v>
      </c>
      <c r="T631" s="18">
        <v>173574904</v>
      </c>
      <c r="U631" s="20">
        <v>44704</v>
      </c>
      <c r="V631" s="18" t="str">
        <f t="shared" si="27"/>
        <v>Complete</v>
      </c>
    </row>
    <row r="632" spans="1:22" ht="14.5" customHeight="1" x14ac:dyDescent="0.35">
      <c r="A632" s="15" t="s">
        <v>7585</v>
      </c>
      <c r="B632" s="15" t="s">
        <v>7179</v>
      </c>
      <c r="C632" s="15" t="s">
        <v>4253</v>
      </c>
      <c r="D632" s="15" t="s">
        <v>4254</v>
      </c>
      <c r="E632" s="15" t="s">
        <v>13</v>
      </c>
      <c r="F632" s="15" t="str">
        <f t="shared" si="28"/>
        <v>Male</v>
      </c>
      <c r="G632" s="15" t="s">
        <v>4255</v>
      </c>
      <c r="H632" s="15" t="s">
        <v>4256</v>
      </c>
      <c r="I632" s="15">
        <v>631</v>
      </c>
      <c r="J632" s="15">
        <v>631</v>
      </c>
      <c r="K632" s="15" t="s">
        <v>5</v>
      </c>
      <c r="L632" s="15" t="s">
        <v>4257</v>
      </c>
      <c r="M632" s="15" t="s">
        <v>4258</v>
      </c>
      <c r="N632" s="15" t="s">
        <v>8</v>
      </c>
      <c r="O632" s="15" t="s">
        <v>9</v>
      </c>
      <c r="P632" s="15" t="s">
        <v>4259</v>
      </c>
      <c r="Q632" s="22">
        <f t="shared" si="29"/>
        <v>618420000</v>
      </c>
      <c r="R632" s="15">
        <v>1281.8800000000001</v>
      </c>
      <c r="S632" s="16">
        <v>-2.5</v>
      </c>
      <c r="T632" s="15">
        <v>189720544</v>
      </c>
      <c r="U632" s="17">
        <v>44734</v>
      </c>
      <c r="V632" s="15" t="str">
        <f t="shared" si="27"/>
        <v>Complete</v>
      </c>
    </row>
    <row r="633" spans="1:22" ht="14.5" customHeight="1" x14ac:dyDescent="0.35">
      <c r="A633" s="18" t="s">
        <v>7586</v>
      </c>
      <c r="B633" s="18" t="s">
        <v>7587</v>
      </c>
      <c r="C633" s="18" t="s">
        <v>1908</v>
      </c>
      <c r="D633" s="18" t="s">
        <v>4260</v>
      </c>
      <c r="E633" s="18" t="s">
        <v>13</v>
      </c>
      <c r="F633" s="15" t="str">
        <f t="shared" si="28"/>
        <v>Male</v>
      </c>
      <c r="G633" s="18" t="s">
        <v>4261</v>
      </c>
      <c r="H633" s="18" t="s">
        <v>4262</v>
      </c>
      <c r="I633" s="18">
        <v>632</v>
      </c>
      <c r="J633" s="18">
        <v>632</v>
      </c>
      <c r="K633" s="18" t="s">
        <v>32</v>
      </c>
      <c r="L633" s="18" t="s">
        <v>4263</v>
      </c>
      <c r="M633" s="18" t="s">
        <v>4264</v>
      </c>
      <c r="N633" s="18" t="s">
        <v>8033</v>
      </c>
      <c r="O633" s="18" t="s">
        <v>8033</v>
      </c>
      <c r="P633" s="18" t="s">
        <v>8033</v>
      </c>
      <c r="Q633" s="22">
        <f t="shared" si="29"/>
        <v>0</v>
      </c>
      <c r="R633" s="18">
        <v>1366.03</v>
      </c>
      <c r="S633" s="19">
        <v>14.07</v>
      </c>
      <c r="T633" s="18">
        <v>66462878</v>
      </c>
      <c r="U633" s="20">
        <v>44368</v>
      </c>
      <c r="V633" s="18" t="str">
        <f t="shared" si="27"/>
        <v>Missing</v>
      </c>
    </row>
    <row r="634" spans="1:22" ht="14.5" customHeight="1" x14ac:dyDescent="0.35">
      <c r="A634" s="15" t="s">
        <v>7588</v>
      </c>
      <c r="B634" s="15" t="s">
        <v>7020</v>
      </c>
      <c r="C634" s="15" t="s">
        <v>4265</v>
      </c>
      <c r="D634" s="15" t="s">
        <v>4266</v>
      </c>
      <c r="E634" s="15" t="s">
        <v>13</v>
      </c>
      <c r="F634" s="15" t="str">
        <f t="shared" si="28"/>
        <v>Male</v>
      </c>
      <c r="G634" s="15" t="s">
        <v>4267</v>
      </c>
      <c r="H634" s="15" t="s">
        <v>4268</v>
      </c>
      <c r="I634" s="15">
        <v>633</v>
      </c>
      <c r="J634" s="15">
        <v>633</v>
      </c>
      <c r="K634" s="15" t="s">
        <v>32</v>
      </c>
      <c r="L634" s="15" t="s">
        <v>4269</v>
      </c>
      <c r="M634" s="15" t="s">
        <v>4270</v>
      </c>
      <c r="N634" s="15" t="s">
        <v>99</v>
      </c>
      <c r="O634" s="15" t="s">
        <v>100</v>
      </c>
      <c r="P634" s="15" t="s">
        <v>4271</v>
      </c>
      <c r="Q634" s="22">
        <f t="shared" si="29"/>
        <v>1680000000</v>
      </c>
      <c r="R634" s="15">
        <v>1852.52</v>
      </c>
      <c r="S634" s="16">
        <v>5.94</v>
      </c>
      <c r="T634" s="15">
        <v>26695013</v>
      </c>
      <c r="U634" s="17">
        <v>46009</v>
      </c>
      <c r="V634" s="15" t="str">
        <f t="shared" si="27"/>
        <v>Complete</v>
      </c>
    </row>
    <row r="635" spans="1:22" ht="14.5" customHeight="1" x14ac:dyDescent="0.35">
      <c r="A635" s="18" t="s">
        <v>7589</v>
      </c>
      <c r="B635" s="18" t="s">
        <v>6662</v>
      </c>
      <c r="C635" s="18" t="s">
        <v>4272</v>
      </c>
      <c r="D635" s="18" t="s">
        <v>4273</v>
      </c>
      <c r="E635" s="18" t="s">
        <v>2</v>
      </c>
      <c r="F635" s="15" t="str">
        <f t="shared" si="28"/>
        <v>Female</v>
      </c>
      <c r="G635" s="18" t="s">
        <v>4274</v>
      </c>
      <c r="H635" s="18" t="s">
        <v>4275</v>
      </c>
      <c r="I635" s="18">
        <v>634</v>
      </c>
      <c r="J635" s="18">
        <v>634</v>
      </c>
      <c r="K635" s="18" t="s">
        <v>32</v>
      </c>
      <c r="L635" s="18" t="s">
        <v>4276</v>
      </c>
      <c r="M635" s="18" t="s">
        <v>4277</v>
      </c>
      <c r="N635" s="18" t="s">
        <v>48</v>
      </c>
      <c r="O635" s="18" t="s">
        <v>364</v>
      </c>
      <c r="P635" s="18" t="s">
        <v>4278</v>
      </c>
      <c r="Q635" s="22">
        <f t="shared" si="29"/>
        <v>17140000000</v>
      </c>
      <c r="R635" s="18">
        <v>1788.83</v>
      </c>
      <c r="S635" s="19">
        <v>-9.83</v>
      </c>
      <c r="T635" s="18">
        <v>131453114</v>
      </c>
      <c r="U635" s="20">
        <v>43927</v>
      </c>
      <c r="V635" s="18" t="str">
        <f t="shared" si="27"/>
        <v>Complete</v>
      </c>
    </row>
    <row r="636" spans="1:22" ht="14.5" customHeight="1" x14ac:dyDescent="0.35">
      <c r="A636" s="15" t="s">
        <v>7590</v>
      </c>
      <c r="B636" s="15" t="s">
        <v>7587</v>
      </c>
      <c r="C636" s="15" t="s">
        <v>4279</v>
      </c>
      <c r="D636" s="15" t="s">
        <v>4280</v>
      </c>
      <c r="E636" s="15" t="s">
        <v>52</v>
      </c>
      <c r="F636" s="15" t="str">
        <f t="shared" si="28"/>
        <v>Other</v>
      </c>
      <c r="G636" s="15" t="s">
        <v>4281</v>
      </c>
      <c r="H636" s="15" t="s">
        <v>4282</v>
      </c>
      <c r="I636" s="15">
        <v>635</v>
      </c>
      <c r="J636" s="15">
        <v>635</v>
      </c>
      <c r="K636" s="15" t="s">
        <v>5</v>
      </c>
      <c r="L636" s="15" t="s">
        <v>2265</v>
      </c>
      <c r="M636" s="15" t="s">
        <v>2266</v>
      </c>
      <c r="N636" s="15" t="s">
        <v>66</v>
      </c>
      <c r="O636" s="15" t="s">
        <v>2267</v>
      </c>
      <c r="P636" s="15" t="s">
        <v>706</v>
      </c>
      <c r="Q636" s="22">
        <f t="shared" si="29"/>
        <v>2830000000</v>
      </c>
      <c r="R636" s="15">
        <v>297.70999999999998</v>
      </c>
      <c r="S636" s="16">
        <v>-17.850000000000001</v>
      </c>
      <c r="T636" s="15">
        <v>129705561</v>
      </c>
      <c r="U636" s="17">
        <v>45435</v>
      </c>
      <c r="V636" s="15" t="str">
        <f t="shared" si="27"/>
        <v>Complete</v>
      </c>
    </row>
    <row r="637" spans="1:22" ht="14.5" customHeight="1" x14ac:dyDescent="0.35">
      <c r="A637" s="18" t="s">
        <v>7591</v>
      </c>
      <c r="B637" s="18" t="s">
        <v>7542</v>
      </c>
      <c r="C637" s="18" t="s">
        <v>4283</v>
      </c>
      <c r="D637" s="18" t="s">
        <v>4284</v>
      </c>
      <c r="E637" s="18" t="s">
        <v>13</v>
      </c>
      <c r="F637" s="15" t="str">
        <f t="shared" si="28"/>
        <v>Male</v>
      </c>
      <c r="G637" s="18" t="s">
        <v>4285</v>
      </c>
      <c r="H637" s="18" t="s">
        <v>4286</v>
      </c>
      <c r="I637" s="18">
        <v>636</v>
      </c>
      <c r="J637" s="18">
        <v>636</v>
      </c>
      <c r="K637" s="18" t="s">
        <v>5</v>
      </c>
      <c r="L637" s="18" t="s">
        <v>4287</v>
      </c>
      <c r="M637" s="18" t="s">
        <v>4288</v>
      </c>
      <c r="N637" s="18" t="s">
        <v>48</v>
      </c>
      <c r="O637" s="18" t="s">
        <v>4289</v>
      </c>
      <c r="P637" s="18" t="s">
        <v>4290</v>
      </c>
      <c r="Q637" s="22">
        <f t="shared" si="29"/>
        <v>554470000</v>
      </c>
      <c r="R637" s="18">
        <v>304.22000000000003</v>
      </c>
      <c r="S637" s="19">
        <v>-11.23</v>
      </c>
      <c r="T637" s="18">
        <v>77942380</v>
      </c>
      <c r="U637" s="20">
        <v>45332</v>
      </c>
      <c r="V637" s="18" t="str">
        <f t="shared" si="27"/>
        <v>Complete</v>
      </c>
    </row>
    <row r="638" spans="1:22" ht="14.5" customHeight="1" x14ac:dyDescent="0.35">
      <c r="A638" s="15" t="s">
        <v>7592</v>
      </c>
      <c r="B638" s="15" t="s">
        <v>7593</v>
      </c>
      <c r="C638" s="15" t="s">
        <v>4291</v>
      </c>
      <c r="D638" s="15" t="s">
        <v>4292</v>
      </c>
      <c r="E638" s="15" t="s">
        <v>2</v>
      </c>
      <c r="F638" s="15" t="str">
        <f t="shared" si="28"/>
        <v>Female</v>
      </c>
      <c r="G638" s="15" t="s">
        <v>4293</v>
      </c>
      <c r="H638" s="15" t="s">
        <v>4294</v>
      </c>
      <c r="I638" s="15">
        <v>637</v>
      </c>
      <c r="J638" s="15">
        <v>637</v>
      </c>
      <c r="K638" s="15" t="s">
        <v>32</v>
      </c>
      <c r="L638" s="15" t="s">
        <v>1544</v>
      </c>
      <c r="M638" s="15" t="s">
        <v>1545</v>
      </c>
      <c r="N638" s="15" t="s">
        <v>189</v>
      </c>
      <c r="O638" s="15" t="s">
        <v>190</v>
      </c>
      <c r="P638" s="15" t="s">
        <v>1546</v>
      </c>
      <c r="Q638" s="22">
        <f t="shared" si="29"/>
        <v>7970000000</v>
      </c>
      <c r="R638" s="15">
        <v>528.46</v>
      </c>
      <c r="S638" s="16">
        <v>8.49</v>
      </c>
      <c r="T638" s="15">
        <v>103549101</v>
      </c>
      <c r="U638" s="17">
        <v>45923</v>
      </c>
      <c r="V638" s="15" t="str">
        <f t="shared" si="27"/>
        <v>Complete</v>
      </c>
    </row>
    <row r="639" spans="1:22" ht="14.5" customHeight="1" x14ac:dyDescent="0.35">
      <c r="A639" s="18" t="s">
        <v>7594</v>
      </c>
      <c r="B639" s="18" t="s">
        <v>6933</v>
      </c>
      <c r="C639" s="18" t="s">
        <v>4295</v>
      </c>
      <c r="D639" s="18" t="s">
        <v>4296</v>
      </c>
      <c r="E639" s="18" t="s">
        <v>2</v>
      </c>
      <c r="F639" s="15" t="str">
        <f t="shared" si="28"/>
        <v>Female</v>
      </c>
      <c r="G639" s="18" t="s">
        <v>4297</v>
      </c>
      <c r="H639" s="18" t="s">
        <v>4298</v>
      </c>
      <c r="I639" s="18">
        <v>638</v>
      </c>
      <c r="J639" s="18">
        <v>638</v>
      </c>
      <c r="K639" s="18" t="s">
        <v>32</v>
      </c>
      <c r="L639" s="18" t="s">
        <v>4299</v>
      </c>
      <c r="M639" s="18" t="s">
        <v>4300</v>
      </c>
      <c r="N639" s="18" t="s">
        <v>8033</v>
      </c>
      <c r="O639" s="18" t="s">
        <v>8033</v>
      </c>
      <c r="P639" s="18" t="s">
        <v>8033</v>
      </c>
      <c r="Q639" s="22">
        <f t="shared" si="29"/>
        <v>0</v>
      </c>
      <c r="R639" s="18">
        <v>1652.79</v>
      </c>
      <c r="S639" s="19">
        <v>4.4400000000000004</v>
      </c>
      <c r="T639" s="18">
        <v>56886295</v>
      </c>
      <c r="U639" s="20">
        <v>44924</v>
      </c>
      <c r="V639" s="18" t="str">
        <f t="shared" si="27"/>
        <v>Missing</v>
      </c>
    </row>
    <row r="640" spans="1:22" ht="14.5" customHeight="1" x14ac:dyDescent="0.35">
      <c r="A640" s="15" t="s">
        <v>7595</v>
      </c>
      <c r="B640" s="15" t="s">
        <v>7412</v>
      </c>
      <c r="C640" s="15" t="s">
        <v>4301</v>
      </c>
      <c r="D640" s="15" t="s">
        <v>4302</v>
      </c>
      <c r="E640" s="15" t="s">
        <v>2</v>
      </c>
      <c r="F640" s="15" t="str">
        <f t="shared" si="28"/>
        <v>Female</v>
      </c>
      <c r="G640" s="15" t="s">
        <v>4303</v>
      </c>
      <c r="H640" s="15" t="s">
        <v>4304</v>
      </c>
      <c r="I640" s="15">
        <v>639</v>
      </c>
      <c r="J640" s="15">
        <v>639</v>
      </c>
      <c r="K640" s="15" t="s">
        <v>5</v>
      </c>
      <c r="L640" s="15" t="s">
        <v>4305</v>
      </c>
      <c r="M640" s="15" t="s">
        <v>4306</v>
      </c>
      <c r="N640" s="15" t="s">
        <v>66</v>
      </c>
      <c r="O640" s="15" t="s">
        <v>344</v>
      </c>
      <c r="P640" s="15" t="s">
        <v>4307</v>
      </c>
      <c r="Q640" s="22">
        <f t="shared" si="29"/>
        <v>87570000</v>
      </c>
      <c r="R640" s="15">
        <v>1132.78</v>
      </c>
      <c r="S640" s="16">
        <v>2.92</v>
      </c>
      <c r="T640" s="15">
        <v>114383978</v>
      </c>
      <c r="U640" s="17">
        <v>44309</v>
      </c>
      <c r="V640" s="15" t="str">
        <f t="shared" si="27"/>
        <v>Complete</v>
      </c>
    </row>
    <row r="641" spans="1:22" ht="14.5" customHeight="1" x14ac:dyDescent="0.35">
      <c r="A641" s="18" t="s">
        <v>7596</v>
      </c>
      <c r="B641" s="18" t="s">
        <v>7597</v>
      </c>
      <c r="C641" s="18" t="s">
        <v>4308</v>
      </c>
      <c r="D641" s="18" t="s">
        <v>4309</v>
      </c>
      <c r="E641" s="18" t="s">
        <v>2</v>
      </c>
      <c r="F641" s="15" t="str">
        <f t="shared" si="28"/>
        <v>Female</v>
      </c>
      <c r="G641" s="18" t="s">
        <v>4310</v>
      </c>
      <c r="H641" s="18" t="s">
        <v>4311</v>
      </c>
      <c r="I641" s="18">
        <v>640</v>
      </c>
      <c r="J641" s="18">
        <v>640</v>
      </c>
      <c r="K641" s="18" t="s">
        <v>32</v>
      </c>
      <c r="L641" s="18" t="s">
        <v>4312</v>
      </c>
      <c r="M641" s="18" t="s">
        <v>4313</v>
      </c>
      <c r="N641" s="18" t="s">
        <v>1291</v>
      </c>
      <c r="O641" s="18" t="s">
        <v>1921</v>
      </c>
      <c r="P641" s="18" t="s">
        <v>4314</v>
      </c>
      <c r="Q641" s="22">
        <f t="shared" si="29"/>
        <v>6790000000</v>
      </c>
      <c r="R641" s="18">
        <v>1965.43</v>
      </c>
      <c r="S641" s="19">
        <v>0.11</v>
      </c>
      <c r="T641" s="18">
        <v>181736196</v>
      </c>
      <c r="U641" s="20">
        <v>44660</v>
      </c>
      <c r="V641" s="18" t="str">
        <f t="shared" si="27"/>
        <v>Complete</v>
      </c>
    </row>
    <row r="642" spans="1:22" ht="14.5" customHeight="1" x14ac:dyDescent="0.35">
      <c r="A642" s="15" t="s">
        <v>7598</v>
      </c>
      <c r="B642" s="15" t="s">
        <v>7599</v>
      </c>
      <c r="C642" s="15" t="s">
        <v>4315</v>
      </c>
      <c r="D642" s="15" t="s">
        <v>4316</v>
      </c>
      <c r="E642" s="15" t="s">
        <v>2</v>
      </c>
      <c r="F642" s="15" t="str">
        <f t="shared" si="28"/>
        <v>Female</v>
      </c>
      <c r="G642" s="15" t="s">
        <v>4317</v>
      </c>
      <c r="H642" s="15" t="s">
        <v>4318</v>
      </c>
      <c r="I642" s="15">
        <v>641</v>
      </c>
      <c r="J642" s="15">
        <v>641</v>
      </c>
      <c r="K642" s="15" t="s">
        <v>32</v>
      </c>
      <c r="L642" s="15" t="s">
        <v>4319</v>
      </c>
      <c r="M642" s="15" t="s">
        <v>4320</v>
      </c>
      <c r="N642" s="15" t="s">
        <v>48</v>
      </c>
      <c r="O642" s="15" t="s">
        <v>364</v>
      </c>
      <c r="P642" s="15" t="s">
        <v>8033</v>
      </c>
      <c r="Q642" s="22">
        <f t="shared" si="29"/>
        <v>0</v>
      </c>
      <c r="R642" s="15">
        <v>478.44</v>
      </c>
      <c r="S642" s="16">
        <v>7.76</v>
      </c>
      <c r="T642" s="15">
        <v>97651342</v>
      </c>
      <c r="U642" s="17">
        <v>45987</v>
      </c>
      <c r="V642" s="15" t="str">
        <f t="shared" ref="V642:V705" si="30">IF(OR(N:N="n/a", O:O="n/a", P:P="n/a"), "Missing", "Complete")</f>
        <v>Missing</v>
      </c>
    </row>
    <row r="643" spans="1:22" ht="14.5" customHeight="1" x14ac:dyDescent="0.35">
      <c r="A643" s="18" t="s">
        <v>7600</v>
      </c>
      <c r="B643" s="18" t="s">
        <v>7601</v>
      </c>
      <c r="C643" s="18" t="s">
        <v>4321</v>
      </c>
      <c r="D643" s="18" t="s">
        <v>4322</v>
      </c>
      <c r="E643" s="18" t="s">
        <v>2</v>
      </c>
      <c r="F643" s="15" t="str">
        <f t="shared" ref="F643:F706" si="31">IF(OR(E643="female", E643="male"), PROPER(E643), "Other")</f>
        <v>Female</v>
      </c>
      <c r="G643" s="18" t="s">
        <v>4323</v>
      </c>
      <c r="H643" s="18" t="s">
        <v>4324</v>
      </c>
      <c r="I643" s="18">
        <v>642</v>
      </c>
      <c r="J643" s="18">
        <v>642</v>
      </c>
      <c r="K643" s="18" t="s">
        <v>32</v>
      </c>
      <c r="L643" s="18" t="s">
        <v>4325</v>
      </c>
      <c r="M643" s="18" t="s">
        <v>4326</v>
      </c>
      <c r="N643" s="18" t="s">
        <v>8033</v>
      </c>
      <c r="O643" s="18" t="s">
        <v>8033</v>
      </c>
      <c r="P643" s="18" t="s">
        <v>4327</v>
      </c>
      <c r="Q643" s="22">
        <f t="shared" ref="Q643:Q706" si="32">IF(P643="n/a", 0, IF(RIGHT(P643, 1)="B", VALUE(MID(P643, 2, LEN(P643)-2)*1000000000), VALUE(MID(P643, 2, LEN(P643)-2)*1000000)))</f>
        <v>116910000</v>
      </c>
      <c r="R643" s="18">
        <v>1080.8</v>
      </c>
      <c r="S643" s="19">
        <v>15.41</v>
      </c>
      <c r="T643" s="18">
        <v>45347858</v>
      </c>
      <c r="U643" s="20">
        <v>44239</v>
      </c>
      <c r="V643" s="18" t="str">
        <f t="shared" si="30"/>
        <v>Missing</v>
      </c>
    </row>
    <row r="644" spans="1:22" ht="14.5" customHeight="1" x14ac:dyDescent="0.35">
      <c r="A644" s="15" t="s">
        <v>7602</v>
      </c>
      <c r="B644" s="15" t="s">
        <v>7603</v>
      </c>
      <c r="C644" s="15" t="s">
        <v>4328</v>
      </c>
      <c r="D644" s="15" t="s">
        <v>4329</v>
      </c>
      <c r="E644" s="15" t="s">
        <v>2</v>
      </c>
      <c r="F644" s="15" t="str">
        <f t="shared" si="31"/>
        <v>Female</v>
      </c>
      <c r="G644" s="15" t="s">
        <v>4330</v>
      </c>
      <c r="H644" s="15" t="s">
        <v>4331</v>
      </c>
      <c r="I644" s="15">
        <v>643</v>
      </c>
      <c r="J644" s="15">
        <v>643</v>
      </c>
      <c r="K644" s="15" t="s">
        <v>5</v>
      </c>
      <c r="L644" s="15" t="s">
        <v>4332</v>
      </c>
      <c r="M644" s="15" t="s">
        <v>4333</v>
      </c>
      <c r="N644" s="15" t="s">
        <v>99</v>
      </c>
      <c r="O644" s="15" t="s">
        <v>1702</v>
      </c>
      <c r="P644" s="15" t="s">
        <v>1995</v>
      </c>
      <c r="Q644" s="22">
        <f t="shared" si="32"/>
        <v>2500000000</v>
      </c>
      <c r="R644" s="15">
        <v>1271.45</v>
      </c>
      <c r="S644" s="16">
        <v>-10.15</v>
      </c>
      <c r="T644" s="15">
        <v>35958762</v>
      </c>
      <c r="U644" s="17">
        <v>43846</v>
      </c>
      <c r="V644" s="15" t="str">
        <f t="shared" si="30"/>
        <v>Complete</v>
      </c>
    </row>
    <row r="645" spans="1:22" ht="14.5" customHeight="1" x14ac:dyDescent="0.35">
      <c r="A645" s="18" t="s">
        <v>7604</v>
      </c>
      <c r="B645" s="18" t="s">
        <v>7605</v>
      </c>
      <c r="C645" s="18" t="s">
        <v>4334</v>
      </c>
      <c r="D645" s="18" t="s">
        <v>4335</v>
      </c>
      <c r="E645" s="18" t="s">
        <v>13</v>
      </c>
      <c r="F645" s="15" t="str">
        <f t="shared" si="31"/>
        <v>Male</v>
      </c>
      <c r="G645" s="18" t="s">
        <v>4336</v>
      </c>
      <c r="H645" s="18" t="s">
        <v>4337</v>
      </c>
      <c r="I645" s="18">
        <v>644</v>
      </c>
      <c r="J645" s="18">
        <v>644</v>
      </c>
      <c r="K645" s="18" t="s">
        <v>32</v>
      </c>
      <c r="L645" s="18" t="s">
        <v>4338</v>
      </c>
      <c r="M645" s="18" t="s">
        <v>4339</v>
      </c>
      <c r="N645" s="18" t="s">
        <v>8033</v>
      </c>
      <c r="O645" s="18" t="s">
        <v>8033</v>
      </c>
      <c r="P645" s="18" t="s">
        <v>8033</v>
      </c>
      <c r="Q645" s="22">
        <f t="shared" si="32"/>
        <v>0</v>
      </c>
      <c r="R645" s="18">
        <v>663</v>
      </c>
      <c r="S645" s="19">
        <v>-8.08</v>
      </c>
      <c r="T645" s="18">
        <v>137287443</v>
      </c>
      <c r="U645" s="20">
        <v>44546</v>
      </c>
      <c r="V645" s="18" t="str">
        <f t="shared" si="30"/>
        <v>Missing</v>
      </c>
    </row>
    <row r="646" spans="1:22" ht="14.5" customHeight="1" x14ac:dyDescent="0.35">
      <c r="A646" s="15" t="s">
        <v>7606</v>
      </c>
      <c r="B646" s="15" t="s">
        <v>6678</v>
      </c>
      <c r="C646" s="15" t="s">
        <v>295</v>
      </c>
      <c r="D646" s="15" t="s">
        <v>4340</v>
      </c>
      <c r="E646" s="15" t="s">
        <v>13</v>
      </c>
      <c r="F646" s="15" t="str">
        <f t="shared" si="31"/>
        <v>Male</v>
      </c>
      <c r="G646" s="15" t="s">
        <v>4341</v>
      </c>
      <c r="H646" s="15" t="s">
        <v>4342</v>
      </c>
      <c r="I646" s="15">
        <v>645</v>
      </c>
      <c r="J646" s="15">
        <v>645</v>
      </c>
      <c r="K646" s="15" t="s">
        <v>5</v>
      </c>
      <c r="L646" s="15" t="s">
        <v>4343</v>
      </c>
      <c r="M646" s="15" t="s">
        <v>4344</v>
      </c>
      <c r="N646" s="15" t="s">
        <v>8</v>
      </c>
      <c r="O646" s="15" t="s">
        <v>9</v>
      </c>
      <c r="P646" s="15" t="s">
        <v>4345</v>
      </c>
      <c r="Q646" s="22">
        <f t="shared" si="32"/>
        <v>1430000000</v>
      </c>
      <c r="R646" s="15">
        <v>1307.98</v>
      </c>
      <c r="S646" s="16">
        <v>17.55</v>
      </c>
      <c r="T646" s="15">
        <v>119989709</v>
      </c>
      <c r="U646" s="17">
        <v>45461</v>
      </c>
      <c r="V646" s="15" t="str">
        <f t="shared" si="30"/>
        <v>Complete</v>
      </c>
    </row>
    <row r="647" spans="1:22" ht="14.5" customHeight="1" x14ac:dyDescent="0.35">
      <c r="A647" s="18" t="s">
        <v>7607</v>
      </c>
      <c r="B647" s="18" t="s">
        <v>7317</v>
      </c>
      <c r="C647" s="18" t="s">
        <v>4346</v>
      </c>
      <c r="D647" s="18" t="s">
        <v>4347</v>
      </c>
      <c r="E647" s="18" t="s">
        <v>13</v>
      </c>
      <c r="F647" s="15" t="str">
        <f t="shared" si="31"/>
        <v>Male</v>
      </c>
      <c r="G647" s="18" t="s">
        <v>4348</v>
      </c>
      <c r="H647" s="18" t="s">
        <v>4349</v>
      </c>
      <c r="I647" s="18">
        <v>646</v>
      </c>
      <c r="J647" s="18">
        <v>646</v>
      </c>
      <c r="K647" s="18" t="s">
        <v>5</v>
      </c>
      <c r="L647" s="18" t="s">
        <v>4350</v>
      </c>
      <c r="M647" s="18" t="s">
        <v>4351</v>
      </c>
      <c r="N647" s="18" t="s">
        <v>90</v>
      </c>
      <c r="O647" s="18" t="s">
        <v>1261</v>
      </c>
      <c r="P647" s="18" t="s">
        <v>4352</v>
      </c>
      <c r="Q647" s="22">
        <f t="shared" si="32"/>
        <v>7240000000</v>
      </c>
      <c r="R647" s="18">
        <v>1240.3900000000001</v>
      </c>
      <c r="S647" s="19">
        <v>-1.29</v>
      </c>
      <c r="T647" s="18">
        <v>147790161</v>
      </c>
      <c r="U647" s="20">
        <v>44607</v>
      </c>
      <c r="V647" s="18" t="str">
        <f t="shared" si="30"/>
        <v>Complete</v>
      </c>
    </row>
    <row r="648" spans="1:22" ht="14.5" customHeight="1" x14ac:dyDescent="0.35">
      <c r="A648" s="15" t="s">
        <v>7608</v>
      </c>
      <c r="B648" s="15" t="s">
        <v>7609</v>
      </c>
      <c r="C648" s="15" t="s">
        <v>4353</v>
      </c>
      <c r="D648" s="15" t="s">
        <v>4354</v>
      </c>
      <c r="E648" s="15" t="s">
        <v>52</v>
      </c>
      <c r="F648" s="15" t="str">
        <f t="shared" si="31"/>
        <v>Other</v>
      </c>
      <c r="G648" s="15" t="s">
        <v>4355</v>
      </c>
      <c r="H648" s="15" t="s">
        <v>4356</v>
      </c>
      <c r="I648" s="15">
        <v>647</v>
      </c>
      <c r="J648" s="15">
        <v>647</v>
      </c>
      <c r="K648" s="15" t="s">
        <v>32</v>
      </c>
      <c r="L648" s="15" t="s">
        <v>4357</v>
      </c>
      <c r="M648" s="15" t="s">
        <v>4358</v>
      </c>
      <c r="N648" s="15" t="s">
        <v>8033</v>
      </c>
      <c r="O648" s="15" t="s">
        <v>8033</v>
      </c>
      <c r="P648" s="15" t="s">
        <v>8033</v>
      </c>
      <c r="Q648" s="22">
        <f t="shared" si="32"/>
        <v>0</v>
      </c>
      <c r="R648" s="15">
        <v>1043.5999999999999</v>
      </c>
      <c r="S648" s="16">
        <v>-9.15</v>
      </c>
      <c r="T648" s="15">
        <v>28088671</v>
      </c>
      <c r="U648" s="17">
        <v>45874</v>
      </c>
      <c r="V648" s="15" t="str">
        <f t="shared" si="30"/>
        <v>Missing</v>
      </c>
    </row>
    <row r="649" spans="1:22" ht="14.5" customHeight="1" x14ac:dyDescent="0.35">
      <c r="A649" s="18" t="s">
        <v>7610</v>
      </c>
      <c r="B649" s="18" t="s">
        <v>6827</v>
      </c>
      <c r="C649" s="18" t="s">
        <v>4359</v>
      </c>
      <c r="D649" s="18" t="s">
        <v>4360</v>
      </c>
      <c r="E649" s="18" t="s">
        <v>2</v>
      </c>
      <c r="F649" s="15" t="str">
        <f t="shared" si="31"/>
        <v>Female</v>
      </c>
      <c r="G649" s="18" t="s">
        <v>4361</v>
      </c>
      <c r="H649" s="18" t="s">
        <v>4362</v>
      </c>
      <c r="I649" s="18">
        <v>648</v>
      </c>
      <c r="J649" s="18">
        <v>648</v>
      </c>
      <c r="K649" s="18" t="s">
        <v>32</v>
      </c>
      <c r="L649" s="18" t="s">
        <v>4363</v>
      </c>
      <c r="M649" s="18" t="s">
        <v>4364</v>
      </c>
      <c r="N649" s="18" t="s">
        <v>48</v>
      </c>
      <c r="O649" s="18" t="s">
        <v>57</v>
      </c>
      <c r="P649" s="18" t="s">
        <v>8033</v>
      </c>
      <c r="Q649" s="22">
        <f t="shared" si="32"/>
        <v>0</v>
      </c>
      <c r="R649" s="18">
        <v>663.29</v>
      </c>
      <c r="S649" s="19">
        <v>-8.6199999999999992</v>
      </c>
      <c r="T649" s="18">
        <v>89996811</v>
      </c>
      <c r="U649" s="20">
        <v>44397</v>
      </c>
      <c r="V649" s="18" t="str">
        <f t="shared" si="30"/>
        <v>Missing</v>
      </c>
    </row>
    <row r="650" spans="1:22" ht="14.5" customHeight="1" x14ac:dyDescent="0.35">
      <c r="A650" s="15" t="s">
        <v>7611</v>
      </c>
      <c r="B650" s="15" t="s">
        <v>7263</v>
      </c>
      <c r="C650" s="15" t="s">
        <v>4365</v>
      </c>
      <c r="D650" s="15" t="s">
        <v>4366</v>
      </c>
      <c r="E650" s="15" t="s">
        <v>13</v>
      </c>
      <c r="F650" s="15" t="str">
        <f t="shared" si="31"/>
        <v>Male</v>
      </c>
      <c r="G650" s="15" t="s">
        <v>4367</v>
      </c>
      <c r="H650" s="15" t="s">
        <v>4368</v>
      </c>
      <c r="I650" s="15">
        <v>649</v>
      </c>
      <c r="J650" s="15">
        <v>649</v>
      </c>
      <c r="K650" s="15" t="s">
        <v>5</v>
      </c>
      <c r="L650" s="15" t="s">
        <v>4369</v>
      </c>
      <c r="M650" s="15" t="s">
        <v>4370</v>
      </c>
      <c r="N650" s="15" t="s">
        <v>48</v>
      </c>
      <c r="O650" s="15" t="s">
        <v>204</v>
      </c>
      <c r="P650" s="15" t="s">
        <v>4371</v>
      </c>
      <c r="Q650" s="22">
        <f t="shared" si="32"/>
        <v>7720000000</v>
      </c>
      <c r="R650" s="15">
        <v>1051.49</v>
      </c>
      <c r="S650" s="16">
        <v>4.2</v>
      </c>
      <c r="T650" s="15">
        <v>163261129</v>
      </c>
      <c r="U650" s="17">
        <v>45940</v>
      </c>
      <c r="V650" s="15" t="str">
        <f t="shared" si="30"/>
        <v>Complete</v>
      </c>
    </row>
    <row r="651" spans="1:22" ht="14.5" customHeight="1" x14ac:dyDescent="0.35">
      <c r="A651" s="18" t="s">
        <v>7612</v>
      </c>
      <c r="B651" s="18" t="s">
        <v>7613</v>
      </c>
      <c r="C651" s="18" t="s">
        <v>4372</v>
      </c>
      <c r="D651" s="18" t="s">
        <v>4373</v>
      </c>
      <c r="E651" s="18" t="s">
        <v>2</v>
      </c>
      <c r="F651" s="15" t="str">
        <f t="shared" si="31"/>
        <v>Female</v>
      </c>
      <c r="G651" s="18" t="s">
        <v>4374</v>
      </c>
      <c r="H651" s="18" t="s">
        <v>4375</v>
      </c>
      <c r="I651" s="18">
        <v>650</v>
      </c>
      <c r="J651" s="18">
        <v>650</v>
      </c>
      <c r="K651" s="18" t="s">
        <v>32</v>
      </c>
      <c r="L651" s="18" t="s">
        <v>4376</v>
      </c>
      <c r="M651" s="18" t="s">
        <v>4377</v>
      </c>
      <c r="N651" s="18" t="s">
        <v>66</v>
      </c>
      <c r="O651" s="18" t="s">
        <v>1068</v>
      </c>
      <c r="P651" s="18" t="s">
        <v>4378</v>
      </c>
      <c r="Q651" s="22">
        <f t="shared" si="32"/>
        <v>96670000000</v>
      </c>
      <c r="R651" s="18">
        <v>1516.97</v>
      </c>
      <c r="S651" s="19">
        <v>19</v>
      </c>
      <c r="T651" s="18">
        <v>139362323</v>
      </c>
      <c r="U651" s="20">
        <v>45400</v>
      </c>
      <c r="V651" s="18" t="str">
        <f t="shared" si="30"/>
        <v>Complete</v>
      </c>
    </row>
    <row r="652" spans="1:22" ht="14.5" customHeight="1" x14ac:dyDescent="0.35">
      <c r="A652" s="15" t="s">
        <v>7614</v>
      </c>
      <c r="B652" s="15" t="s">
        <v>7083</v>
      </c>
      <c r="C652" s="15" t="s">
        <v>4379</v>
      </c>
      <c r="D652" s="15" t="s">
        <v>4380</v>
      </c>
      <c r="E652" s="15" t="s">
        <v>13</v>
      </c>
      <c r="F652" s="15" t="str">
        <f t="shared" si="31"/>
        <v>Male</v>
      </c>
      <c r="G652" s="15" t="s">
        <v>4381</v>
      </c>
      <c r="H652" s="15" t="s">
        <v>4382</v>
      </c>
      <c r="I652" s="15">
        <v>651</v>
      </c>
      <c r="J652" s="15">
        <v>651</v>
      </c>
      <c r="K652" s="15" t="s">
        <v>5</v>
      </c>
      <c r="L652" s="15" t="s">
        <v>2721</v>
      </c>
      <c r="M652" s="15" t="s">
        <v>2722</v>
      </c>
      <c r="N652" s="15" t="s">
        <v>48</v>
      </c>
      <c r="O652" s="15" t="s">
        <v>57</v>
      </c>
      <c r="P652" s="15" t="s">
        <v>2723</v>
      </c>
      <c r="Q652" s="22">
        <f t="shared" si="32"/>
        <v>2400000000</v>
      </c>
      <c r="R652" s="15">
        <v>656.54</v>
      </c>
      <c r="S652" s="16">
        <v>10.66</v>
      </c>
      <c r="T652" s="15">
        <v>112774943</v>
      </c>
      <c r="U652" s="17">
        <v>44698</v>
      </c>
      <c r="V652" s="15" t="str">
        <f t="shared" si="30"/>
        <v>Complete</v>
      </c>
    </row>
    <row r="653" spans="1:22" ht="14.5" customHeight="1" x14ac:dyDescent="0.35">
      <c r="A653" s="18" t="s">
        <v>7615</v>
      </c>
      <c r="B653" s="18" t="s">
        <v>7616</v>
      </c>
      <c r="C653" s="18" t="s">
        <v>4383</v>
      </c>
      <c r="D653" s="18" t="s">
        <v>4384</v>
      </c>
      <c r="E653" s="18" t="s">
        <v>2</v>
      </c>
      <c r="F653" s="15" t="str">
        <f t="shared" si="31"/>
        <v>Female</v>
      </c>
      <c r="G653" s="18" t="s">
        <v>4385</v>
      </c>
      <c r="H653" s="18" t="s">
        <v>4386</v>
      </c>
      <c r="I653" s="18">
        <v>652</v>
      </c>
      <c r="J653" s="18">
        <v>652</v>
      </c>
      <c r="K653" s="18" t="s">
        <v>5</v>
      </c>
      <c r="L653" s="18" t="s">
        <v>4387</v>
      </c>
      <c r="M653" s="18" t="s">
        <v>4388</v>
      </c>
      <c r="N653" s="18" t="s">
        <v>8033</v>
      </c>
      <c r="O653" s="18" t="s">
        <v>8033</v>
      </c>
      <c r="P653" s="18" t="s">
        <v>4389</v>
      </c>
      <c r="Q653" s="22">
        <f t="shared" si="32"/>
        <v>4380000000</v>
      </c>
      <c r="R653" s="18">
        <v>1285.26</v>
      </c>
      <c r="S653" s="19">
        <v>-3.2</v>
      </c>
      <c r="T653" s="18">
        <v>163053189</v>
      </c>
      <c r="U653" s="20">
        <v>46317</v>
      </c>
      <c r="V653" s="18" t="str">
        <f t="shared" si="30"/>
        <v>Missing</v>
      </c>
    </row>
    <row r="654" spans="1:22" ht="14.5" customHeight="1" x14ac:dyDescent="0.35">
      <c r="A654" s="15" t="s">
        <v>7617</v>
      </c>
      <c r="B654" s="15" t="s">
        <v>7618</v>
      </c>
      <c r="C654" s="15" t="s">
        <v>4390</v>
      </c>
      <c r="D654" s="15" t="s">
        <v>4391</v>
      </c>
      <c r="E654" s="15" t="s">
        <v>13</v>
      </c>
      <c r="F654" s="15" t="str">
        <f t="shared" si="31"/>
        <v>Male</v>
      </c>
      <c r="G654" s="15" t="s">
        <v>4392</v>
      </c>
      <c r="H654" s="15" t="s">
        <v>4393</v>
      </c>
      <c r="I654" s="15">
        <v>653</v>
      </c>
      <c r="J654" s="15">
        <v>653</v>
      </c>
      <c r="K654" s="15" t="s">
        <v>32</v>
      </c>
      <c r="L654" s="15" t="s">
        <v>4394</v>
      </c>
      <c r="M654" s="15" t="s">
        <v>4395</v>
      </c>
      <c r="N654" s="15" t="s">
        <v>134</v>
      </c>
      <c r="O654" s="15" t="s">
        <v>2141</v>
      </c>
      <c r="P654" s="15" t="s">
        <v>4396</v>
      </c>
      <c r="Q654" s="22">
        <f t="shared" si="32"/>
        <v>2100000000</v>
      </c>
      <c r="R654" s="15">
        <v>665.54</v>
      </c>
      <c r="S654" s="16">
        <v>-13.29</v>
      </c>
      <c r="T654" s="15">
        <v>66576901</v>
      </c>
      <c r="U654" s="17">
        <v>46117</v>
      </c>
      <c r="V654" s="15" t="str">
        <f t="shared" si="30"/>
        <v>Complete</v>
      </c>
    </row>
    <row r="655" spans="1:22" ht="14.5" customHeight="1" x14ac:dyDescent="0.35">
      <c r="A655" s="18" t="s">
        <v>7619</v>
      </c>
      <c r="B655" s="18" t="s">
        <v>7620</v>
      </c>
      <c r="C655" s="18" t="s">
        <v>4397</v>
      </c>
      <c r="D655" s="18" t="s">
        <v>4398</v>
      </c>
      <c r="E655" s="18" t="s">
        <v>2</v>
      </c>
      <c r="F655" s="15" t="str">
        <f t="shared" si="31"/>
        <v>Female</v>
      </c>
      <c r="G655" s="18" t="s">
        <v>4399</v>
      </c>
      <c r="H655" s="18" t="s">
        <v>4400</v>
      </c>
      <c r="I655" s="18">
        <v>654</v>
      </c>
      <c r="J655" s="18">
        <v>654</v>
      </c>
      <c r="K655" s="18" t="s">
        <v>32</v>
      </c>
      <c r="L655" s="18" t="s">
        <v>4401</v>
      </c>
      <c r="M655" s="18" t="s">
        <v>4402</v>
      </c>
      <c r="N655" s="18" t="s">
        <v>8033</v>
      </c>
      <c r="O655" s="18" t="s">
        <v>8033</v>
      </c>
      <c r="P655" s="18" t="s">
        <v>4403</v>
      </c>
      <c r="Q655" s="22">
        <f t="shared" si="32"/>
        <v>167960000</v>
      </c>
      <c r="R655" s="18">
        <v>1660.19</v>
      </c>
      <c r="S655" s="19">
        <v>-2.6</v>
      </c>
      <c r="T655" s="18">
        <v>125946407</v>
      </c>
      <c r="U655" s="20">
        <v>45475</v>
      </c>
      <c r="V655" s="18" t="str">
        <f t="shared" si="30"/>
        <v>Missing</v>
      </c>
    </row>
    <row r="656" spans="1:22" ht="14.5" customHeight="1" x14ac:dyDescent="0.35">
      <c r="A656" s="15" t="s">
        <v>7621</v>
      </c>
      <c r="B656" s="15" t="s">
        <v>7076</v>
      </c>
      <c r="C656" s="15" t="s">
        <v>4404</v>
      </c>
      <c r="D656" s="15" t="s">
        <v>4405</v>
      </c>
      <c r="E656" s="15" t="s">
        <v>208</v>
      </c>
      <c r="F656" s="15" t="str">
        <f t="shared" si="31"/>
        <v>Other</v>
      </c>
      <c r="G656" s="15" t="s">
        <v>4406</v>
      </c>
      <c r="H656" s="15" t="s">
        <v>4407</v>
      </c>
      <c r="I656" s="15">
        <v>655</v>
      </c>
      <c r="J656" s="15">
        <v>655</v>
      </c>
      <c r="K656" s="15" t="s">
        <v>32</v>
      </c>
      <c r="L656" s="15" t="s">
        <v>4408</v>
      </c>
      <c r="M656" s="15" t="s">
        <v>4409</v>
      </c>
      <c r="N656" s="15" t="s">
        <v>99</v>
      </c>
      <c r="O656" s="15" t="s">
        <v>308</v>
      </c>
      <c r="P656" s="15" t="s">
        <v>4410</v>
      </c>
      <c r="Q656" s="22">
        <f t="shared" si="32"/>
        <v>5080000000</v>
      </c>
      <c r="R656" s="15">
        <v>349.82</v>
      </c>
      <c r="S656" s="16">
        <v>-17.79</v>
      </c>
      <c r="T656" s="15">
        <v>124204008</v>
      </c>
      <c r="U656" s="17">
        <v>44911</v>
      </c>
      <c r="V656" s="15" t="str">
        <f t="shared" si="30"/>
        <v>Complete</v>
      </c>
    </row>
    <row r="657" spans="1:22" ht="14.5" customHeight="1" x14ac:dyDescent="0.35">
      <c r="A657" s="18" t="s">
        <v>7622</v>
      </c>
      <c r="B657" s="18" t="s">
        <v>7623</v>
      </c>
      <c r="C657" s="18" t="s">
        <v>4411</v>
      </c>
      <c r="D657" s="18" t="s">
        <v>4412</v>
      </c>
      <c r="E657" s="18" t="s">
        <v>2</v>
      </c>
      <c r="F657" s="15" t="str">
        <f t="shared" si="31"/>
        <v>Female</v>
      </c>
      <c r="G657" s="18" t="s">
        <v>4413</v>
      </c>
      <c r="H657" s="18" t="s">
        <v>4414</v>
      </c>
      <c r="I657" s="18">
        <v>656</v>
      </c>
      <c r="J657" s="18">
        <v>656</v>
      </c>
      <c r="K657" s="18" t="s">
        <v>5</v>
      </c>
      <c r="L657" s="18" t="s">
        <v>4415</v>
      </c>
      <c r="M657" s="18" t="s">
        <v>4416</v>
      </c>
      <c r="N657" s="18" t="s">
        <v>8</v>
      </c>
      <c r="O657" s="18" t="s">
        <v>18</v>
      </c>
      <c r="P657" s="18" t="s">
        <v>4417</v>
      </c>
      <c r="Q657" s="22">
        <f t="shared" si="32"/>
        <v>6360000</v>
      </c>
      <c r="R657" s="18">
        <v>382.47</v>
      </c>
      <c r="S657" s="19">
        <v>18.66</v>
      </c>
      <c r="T657" s="18">
        <v>177958701</v>
      </c>
      <c r="U657" s="20">
        <v>45853</v>
      </c>
      <c r="V657" s="18" t="str">
        <f t="shared" si="30"/>
        <v>Complete</v>
      </c>
    </row>
    <row r="658" spans="1:22" ht="14.5" customHeight="1" x14ac:dyDescent="0.35">
      <c r="A658" s="15" t="s">
        <v>7624</v>
      </c>
      <c r="B658" s="15" t="s">
        <v>7625</v>
      </c>
      <c r="C658" s="15" t="s">
        <v>4418</v>
      </c>
      <c r="D658" s="15" t="s">
        <v>4419</v>
      </c>
      <c r="E658" s="15" t="s">
        <v>2</v>
      </c>
      <c r="F658" s="15" t="str">
        <f t="shared" si="31"/>
        <v>Female</v>
      </c>
      <c r="G658" s="15" t="s">
        <v>4420</v>
      </c>
      <c r="H658" s="15" t="s">
        <v>4421</v>
      </c>
      <c r="I658" s="15">
        <v>657</v>
      </c>
      <c r="J658" s="15">
        <v>657</v>
      </c>
      <c r="K658" s="15" t="s">
        <v>32</v>
      </c>
      <c r="L658" s="15" t="s">
        <v>4422</v>
      </c>
      <c r="M658" s="15" t="s">
        <v>4423</v>
      </c>
      <c r="N658" s="15" t="s">
        <v>8033</v>
      </c>
      <c r="O658" s="15" t="s">
        <v>8033</v>
      </c>
      <c r="P658" s="15" t="s">
        <v>4424</v>
      </c>
      <c r="Q658" s="22">
        <f t="shared" si="32"/>
        <v>474830000</v>
      </c>
      <c r="R658" s="15">
        <v>394.28</v>
      </c>
      <c r="S658" s="16">
        <v>-11.18</v>
      </c>
      <c r="T658" s="15">
        <v>174600201</v>
      </c>
      <c r="U658" s="17">
        <v>44759</v>
      </c>
      <c r="V658" s="15" t="str">
        <f t="shared" si="30"/>
        <v>Missing</v>
      </c>
    </row>
    <row r="659" spans="1:22" ht="14.5" customHeight="1" x14ac:dyDescent="0.35">
      <c r="A659" s="18" t="s">
        <v>7626</v>
      </c>
      <c r="B659" s="18" t="s">
        <v>6951</v>
      </c>
      <c r="C659" s="18" t="s">
        <v>4425</v>
      </c>
      <c r="D659" s="18" t="s">
        <v>4426</v>
      </c>
      <c r="E659" s="18" t="s">
        <v>13</v>
      </c>
      <c r="F659" s="15" t="str">
        <f t="shared" si="31"/>
        <v>Male</v>
      </c>
      <c r="G659" s="18" t="s">
        <v>4427</v>
      </c>
      <c r="H659" s="18" t="s">
        <v>4428</v>
      </c>
      <c r="I659" s="18">
        <v>658</v>
      </c>
      <c r="J659" s="18">
        <v>658</v>
      </c>
      <c r="K659" s="18" t="s">
        <v>5</v>
      </c>
      <c r="L659" s="18" t="s">
        <v>4429</v>
      </c>
      <c r="M659" s="18" t="s">
        <v>4430</v>
      </c>
      <c r="N659" s="18" t="s">
        <v>8</v>
      </c>
      <c r="O659" s="18" t="s">
        <v>9</v>
      </c>
      <c r="P659" s="18" t="s">
        <v>4431</v>
      </c>
      <c r="Q659" s="22">
        <f t="shared" si="32"/>
        <v>1040000</v>
      </c>
      <c r="R659" s="18">
        <v>1134.26</v>
      </c>
      <c r="S659" s="19">
        <v>-10.16</v>
      </c>
      <c r="T659" s="18">
        <v>83688427</v>
      </c>
      <c r="U659" s="20">
        <v>44359</v>
      </c>
      <c r="V659" s="18" t="str">
        <f t="shared" si="30"/>
        <v>Complete</v>
      </c>
    </row>
    <row r="660" spans="1:22" ht="14.5" customHeight="1" x14ac:dyDescent="0.35">
      <c r="A660" s="15" t="s">
        <v>7627</v>
      </c>
      <c r="B660" s="15" t="s">
        <v>7065</v>
      </c>
      <c r="C660" s="15" t="s">
        <v>4432</v>
      </c>
      <c r="D660" s="15" t="s">
        <v>4433</v>
      </c>
      <c r="E660" s="15" t="s">
        <v>2</v>
      </c>
      <c r="F660" s="15" t="str">
        <f t="shared" si="31"/>
        <v>Female</v>
      </c>
      <c r="G660" s="15" t="s">
        <v>4434</v>
      </c>
      <c r="H660" s="15" t="s">
        <v>4435</v>
      </c>
      <c r="I660" s="15">
        <v>659</v>
      </c>
      <c r="J660" s="15">
        <v>659</v>
      </c>
      <c r="K660" s="15" t="s">
        <v>32</v>
      </c>
      <c r="L660" s="15" t="s">
        <v>4436</v>
      </c>
      <c r="M660" s="15" t="s">
        <v>4437</v>
      </c>
      <c r="N660" s="15" t="s">
        <v>8033</v>
      </c>
      <c r="O660" s="15" t="s">
        <v>8033</v>
      </c>
      <c r="P660" s="15" t="s">
        <v>4438</v>
      </c>
      <c r="Q660" s="22">
        <f t="shared" si="32"/>
        <v>185390000</v>
      </c>
      <c r="R660" s="15">
        <v>442.18</v>
      </c>
      <c r="S660" s="16">
        <v>18.2</v>
      </c>
      <c r="T660" s="15">
        <v>53913490</v>
      </c>
      <c r="U660" s="17">
        <v>43910</v>
      </c>
      <c r="V660" s="15" t="str">
        <f t="shared" si="30"/>
        <v>Missing</v>
      </c>
    </row>
    <row r="661" spans="1:22" ht="14.5" customHeight="1" x14ac:dyDescent="0.35">
      <c r="A661" s="18" t="s">
        <v>7628</v>
      </c>
      <c r="B661" s="18" t="s">
        <v>6750</v>
      </c>
      <c r="C661" s="18" t="s">
        <v>4439</v>
      </c>
      <c r="D661" s="18" t="s">
        <v>4440</v>
      </c>
      <c r="E661" s="18" t="s">
        <v>2</v>
      </c>
      <c r="F661" s="15" t="str">
        <f t="shared" si="31"/>
        <v>Female</v>
      </c>
      <c r="G661" s="18" t="s">
        <v>4441</v>
      </c>
      <c r="H661" s="18" t="s">
        <v>4442</v>
      </c>
      <c r="I661" s="18">
        <v>660</v>
      </c>
      <c r="J661" s="18">
        <v>660</v>
      </c>
      <c r="K661" s="18" t="s">
        <v>32</v>
      </c>
      <c r="L661" s="18" t="s">
        <v>4443</v>
      </c>
      <c r="M661" s="18" t="s">
        <v>937</v>
      </c>
      <c r="N661" s="18" t="s">
        <v>48</v>
      </c>
      <c r="O661" s="18" t="s">
        <v>57</v>
      </c>
      <c r="P661" s="18" t="s">
        <v>4444</v>
      </c>
      <c r="Q661" s="22">
        <f t="shared" si="32"/>
        <v>6190000000</v>
      </c>
      <c r="R661" s="18">
        <v>17.89</v>
      </c>
      <c r="S661" s="19">
        <v>-5.24</v>
      </c>
      <c r="T661" s="18">
        <v>99215224</v>
      </c>
      <c r="U661" s="20">
        <v>45838</v>
      </c>
      <c r="V661" s="18" t="str">
        <f t="shared" si="30"/>
        <v>Complete</v>
      </c>
    </row>
    <row r="662" spans="1:22" ht="14.5" customHeight="1" x14ac:dyDescent="0.35">
      <c r="A662" s="15" t="s">
        <v>7629</v>
      </c>
      <c r="B662" s="15" t="s">
        <v>7128</v>
      </c>
      <c r="C662" s="15" t="s">
        <v>4445</v>
      </c>
      <c r="D662" s="15" t="s">
        <v>4446</v>
      </c>
      <c r="E662" s="15" t="s">
        <v>13</v>
      </c>
      <c r="F662" s="15" t="str">
        <f t="shared" si="31"/>
        <v>Male</v>
      </c>
      <c r="G662" s="15" t="s">
        <v>4447</v>
      </c>
      <c r="H662" s="15" t="s">
        <v>4448</v>
      </c>
      <c r="I662" s="15">
        <v>661</v>
      </c>
      <c r="J662" s="15">
        <v>661</v>
      </c>
      <c r="K662" s="15" t="s">
        <v>32</v>
      </c>
      <c r="L662" s="15" t="s">
        <v>4449</v>
      </c>
      <c r="M662" s="15" t="s">
        <v>4450</v>
      </c>
      <c r="N662" s="15" t="s">
        <v>134</v>
      </c>
      <c r="O662" s="15" t="s">
        <v>135</v>
      </c>
      <c r="P662" s="15" t="s">
        <v>4451</v>
      </c>
      <c r="Q662" s="22">
        <f t="shared" si="32"/>
        <v>1800000000</v>
      </c>
      <c r="R662" s="15">
        <v>428.31</v>
      </c>
      <c r="S662" s="16">
        <v>2.46</v>
      </c>
      <c r="T662" s="15">
        <v>149429554</v>
      </c>
      <c r="U662" s="17">
        <v>45694</v>
      </c>
      <c r="V662" s="15" t="str">
        <f t="shared" si="30"/>
        <v>Complete</v>
      </c>
    </row>
    <row r="663" spans="1:22" ht="14.5" customHeight="1" x14ac:dyDescent="0.35">
      <c r="A663" s="18" t="s">
        <v>7630</v>
      </c>
      <c r="B663" s="18" t="s">
        <v>7631</v>
      </c>
      <c r="C663" s="18" t="s">
        <v>4452</v>
      </c>
      <c r="D663" s="18" t="s">
        <v>4453</v>
      </c>
      <c r="E663" s="18" t="s">
        <v>13</v>
      </c>
      <c r="F663" s="15" t="str">
        <f t="shared" si="31"/>
        <v>Male</v>
      </c>
      <c r="G663" s="18" t="s">
        <v>4454</v>
      </c>
      <c r="H663" s="18" t="s">
        <v>4455</v>
      </c>
      <c r="I663" s="18">
        <v>662</v>
      </c>
      <c r="J663" s="18">
        <v>662</v>
      </c>
      <c r="K663" s="18" t="s">
        <v>32</v>
      </c>
      <c r="L663" s="18" t="s">
        <v>4456</v>
      </c>
      <c r="M663" s="18" t="s">
        <v>4457</v>
      </c>
      <c r="N663" s="18" t="s">
        <v>99</v>
      </c>
      <c r="O663" s="18" t="s">
        <v>308</v>
      </c>
      <c r="P663" s="18" t="s">
        <v>4458</v>
      </c>
      <c r="Q663" s="22">
        <f t="shared" si="32"/>
        <v>251610000</v>
      </c>
      <c r="R663" s="18">
        <v>1894.67</v>
      </c>
      <c r="S663" s="19">
        <v>-16.53</v>
      </c>
      <c r="T663" s="18">
        <v>123706943</v>
      </c>
      <c r="U663" s="20">
        <v>45383</v>
      </c>
      <c r="V663" s="18" t="str">
        <f t="shared" si="30"/>
        <v>Complete</v>
      </c>
    </row>
    <row r="664" spans="1:22" ht="14.5" customHeight="1" x14ac:dyDescent="0.35">
      <c r="A664" s="15" t="s">
        <v>7632</v>
      </c>
      <c r="B664" s="15" t="s">
        <v>7074</v>
      </c>
      <c r="C664" s="15" t="s">
        <v>792</v>
      </c>
      <c r="D664" s="15" t="s">
        <v>4459</v>
      </c>
      <c r="E664" s="15" t="s">
        <v>13</v>
      </c>
      <c r="F664" s="15" t="str">
        <f t="shared" si="31"/>
        <v>Male</v>
      </c>
      <c r="G664" s="15" t="s">
        <v>4460</v>
      </c>
      <c r="H664" s="15" t="s">
        <v>4461</v>
      </c>
      <c r="I664" s="15">
        <v>663</v>
      </c>
      <c r="J664" s="15">
        <v>663</v>
      </c>
      <c r="K664" s="15" t="s">
        <v>32</v>
      </c>
      <c r="L664" s="15" t="s">
        <v>4462</v>
      </c>
      <c r="M664" s="15" t="s">
        <v>4463</v>
      </c>
      <c r="N664" s="15" t="s">
        <v>142</v>
      </c>
      <c r="O664" s="15" t="s">
        <v>344</v>
      </c>
      <c r="P664" s="15" t="s">
        <v>4464</v>
      </c>
      <c r="Q664" s="22">
        <f t="shared" si="32"/>
        <v>608570000</v>
      </c>
      <c r="R664" s="15">
        <v>1.38</v>
      </c>
      <c r="S664" s="16">
        <v>-11.45</v>
      </c>
      <c r="T664" s="15">
        <v>96700145</v>
      </c>
      <c r="U664" s="17">
        <v>44268</v>
      </c>
      <c r="V664" s="15" t="str">
        <f t="shared" si="30"/>
        <v>Complete</v>
      </c>
    </row>
    <row r="665" spans="1:22" ht="14.5" customHeight="1" x14ac:dyDescent="0.35">
      <c r="A665" s="18" t="s">
        <v>7633</v>
      </c>
      <c r="B665" s="18" t="s">
        <v>6907</v>
      </c>
      <c r="C665" s="18" t="s">
        <v>4465</v>
      </c>
      <c r="D665" s="18" t="s">
        <v>4466</v>
      </c>
      <c r="E665" s="18" t="s">
        <v>13</v>
      </c>
      <c r="F665" s="15" t="str">
        <f t="shared" si="31"/>
        <v>Male</v>
      </c>
      <c r="G665" s="18" t="s">
        <v>4467</v>
      </c>
      <c r="H665" s="18" t="s">
        <v>4468</v>
      </c>
      <c r="I665" s="18">
        <v>664</v>
      </c>
      <c r="J665" s="18">
        <v>664</v>
      </c>
      <c r="K665" s="18" t="s">
        <v>32</v>
      </c>
      <c r="L665" s="18" t="s">
        <v>4469</v>
      </c>
      <c r="M665" s="18" t="s">
        <v>4470</v>
      </c>
      <c r="N665" s="18" t="s">
        <v>142</v>
      </c>
      <c r="O665" s="18" t="s">
        <v>3158</v>
      </c>
      <c r="P665" s="18" t="s">
        <v>3405</v>
      </c>
      <c r="Q665" s="22">
        <f t="shared" si="32"/>
        <v>1900000000</v>
      </c>
      <c r="R665" s="18">
        <v>1815.39</v>
      </c>
      <c r="S665" s="19">
        <v>-17.98</v>
      </c>
      <c r="T665" s="18">
        <v>127308891</v>
      </c>
      <c r="U665" s="20">
        <v>44544</v>
      </c>
      <c r="V665" s="18" t="str">
        <f t="shared" si="30"/>
        <v>Complete</v>
      </c>
    </row>
    <row r="666" spans="1:22" ht="14.5" customHeight="1" x14ac:dyDescent="0.35">
      <c r="A666" s="15" t="s">
        <v>7634</v>
      </c>
      <c r="B666" s="15" t="s">
        <v>7635</v>
      </c>
      <c r="C666" s="15" t="s">
        <v>4471</v>
      </c>
      <c r="D666" s="15" t="s">
        <v>4472</v>
      </c>
      <c r="E666" s="15" t="s">
        <v>2</v>
      </c>
      <c r="F666" s="15" t="str">
        <f t="shared" si="31"/>
        <v>Female</v>
      </c>
      <c r="G666" s="15" t="s">
        <v>4473</v>
      </c>
      <c r="H666" s="15" t="s">
        <v>4474</v>
      </c>
      <c r="I666" s="15">
        <v>665</v>
      </c>
      <c r="J666" s="15">
        <v>665</v>
      </c>
      <c r="K666" s="15" t="s">
        <v>5</v>
      </c>
      <c r="L666" s="15" t="s">
        <v>4475</v>
      </c>
      <c r="M666" s="15" t="s">
        <v>4476</v>
      </c>
      <c r="N666" s="15" t="s">
        <v>8033</v>
      </c>
      <c r="O666" s="15" t="s">
        <v>8033</v>
      </c>
      <c r="P666" s="15" t="s">
        <v>4477</v>
      </c>
      <c r="Q666" s="22">
        <f t="shared" si="32"/>
        <v>74690000</v>
      </c>
      <c r="R666" s="15">
        <v>1161.26</v>
      </c>
      <c r="S666" s="16">
        <v>5.39</v>
      </c>
      <c r="T666" s="15">
        <v>189367133</v>
      </c>
      <c r="U666" s="17">
        <v>45702</v>
      </c>
      <c r="V666" s="15" t="str">
        <f t="shared" si="30"/>
        <v>Missing</v>
      </c>
    </row>
    <row r="667" spans="1:22" ht="14.5" customHeight="1" x14ac:dyDescent="0.35">
      <c r="A667" s="18" t="s">
        <v>7636</v>
      </c>
      <c r="B667" s="18" t="s">
        <v>6845</v>
      </c>
      <c r="C667" s="18" t="s">
        <v>4478</v>
      </c>
      <c r="D667" s="18" t="s">
        <v>4479</v>
      </c>
      <c r="E667" s="18" t="s">
        <v>13</v>
      </c>
      <c r="F667" s="15" t="str">
        <f t="shared" si="31"/>
        <v>Male</v>
      </c>
      <c r="G667" s="18" t="s">
        <v>4480</v>
      </c>
      <c r="H667" s="18" t="s">
        <v>4481</v>
      </c>
      <c r="I667" s="18">
        <v>666</v>
      </c>
      <c r="J667" s="18">
        <v>666</v>
      </c>
      <c r="K667" s="18" t="s">
        <v>32</v>
      </c>
      <c r="L667" s="18" t="s">
        <v>4482</v>
      </c>
      <c r="M667" s="18" t="s">
        <v>4483</v>
      </c>
      <c r="N667" s="18" t="s">
        <v>8033</v>
      </c>
      <c r="O667" s="18" t="s">
        <v>8033</v>
      </c>
      <c r="P667" s="18" t="s">
        <v>8033</v>
      </c>
      <c r="Q667" s="22">
        <f t="shared" si="32"/>
        <v>0</v>
      </c>
      <c r="R667" s="18">
        <v>892.38</v>
      </c>
      <c r="S667" s="19">
        <v>-17.43</v>
      </c>
      <c r="T667" s="18">
        <v>89206522</v>
      </c>
      <c r="U667" s="20">
        <v>45805</v>
      </c>
      <c r="V667" s="18" t="str">
        <f t="shared" si="30"/>
        <v>Missing</v>
      </c>
    </row>
    <row r="668" spans="1:22" ht="14.5" customHeight="1" x14ac:dyDescent="0.35">
      <c r="A668" s="15" t="s">
        <v>7637</v>
      </c>
      <c r="B668" s="15" t="s">
        <v>7638</v>
      </c>
      <c r="C668" s="15" t="s">
        <v>4484</v>
      </c>
      <c r="D668" s="15" t="s">
        <v>4485</v>
      </c>
      <c r="E668" s="15" t="s">
        <v>2</v>
      </c>
      <c r="F668" s="15" t="str">
        <f t="shared" si="31"/>
        <v>Female</v>
      </c>
      <c r="G668" s="15" t="s">
        <v>4486</v>
      </c>
      <c r="H668" s="15" t="s">
        <v>4487</v>
      </c>
      <c r="I668" s="15">
        <v>667</v>
      </c>
      <c r="J668" s="15">
        <v>667</v>
      </c>
      <c r="K668" s="15" t="s">
        <v>32</v>
      </c>
      <c r="L668" s="15" t="s">
        <v>4488</v>
      </c>
      <c r="M668" s="15" t="s">
        <v>4489</v>
      </c>
      <c r="N668" s="15" t="s">
        <v>66</v>
      </c>
      <c r="O668" s="15" t="s">
        <v>181</v>
      </c>
      <c r="P668" s="15" t="s">
        <v>4490</v>
      </c>
      <c r="Q668" s="22">
        <f t="shared" si="32"/>
        <v>5070000000</v>
      </c>
      <c r="R668" s="15">
        <v>22.63</v>
      </c>
      <c r="S668" s="16">
        <v>-14.38</v>
      </c>
      <c r="T668" s="15">
        <v>49880203</v>
      </c>
      <c r="U668" s="17">
        <v>46300</v>
      </c>
      <c r="V668" s="15" t="str">
        <f t="shared" si="30"/>
        <v>Complete</v>
      </c>
    </row>
    <row r="669" spans="1:22" ht="14.5" customHeight="1" x14ac:dyDescent="0.35">
      <c r="A669" s="18" t="s">
        <v>7639</v>
      </c>
      <c r="B669" s="18" t="s">
        <v>7078</v>
      </c>
      <c r="C669" s="18" t="s">
        <v>4491</v>
      </c>
      <c r="D669" s="18" t="s">
        <v>4492</v>
      </c>
      <c r="E669" s="18" t="s">
        <v>13</v>
      </c>
      <c r="F669" s="15" t="str">
        <f t="shared" si="31"/>
        <v>Male</v>
      </c>
      <c r="G669" s="18" t="s">
        <v>4493</v>
      </c>
      <c r="H669" s="18" t="s">
        <v>4494</v>
      </c>
      <c r="I669" s="18">
        <v>668</v>
      </c>
      <c r="J669" s="18">
        <v>668</v>
      </c>
      <c r="K669" s="18" t="s">
        <v>5</v>
      </c>
      <c r="L669" s="18" t="s">
        <v>4495</v>
      </c>
      <c r="M669" s="18" t="s">
        <v>4496</v>
      </c>
      <c r="N669" s="18" t="s">
        <v>8033</v>
      </c>
      <c r="O669" s="18" t="s">
        <v>8033</v>
      </c>
      <c r="P669" s="18" t="s">
        <v>4497</v>
      </c>
      <c r="Q669" s="22">
        <f t="shared" si="32"/>
        <v>499200000</v>
      </c>
      <c r="R669" s="18">
        <v>1644.64</v>
      </c>
      <c r="S669" s="19">
        <v>-14.04</v>
      </c>
      <c r="T669" s="18">
        <v>48002957</v>
      </c>
      <c r="U669" s="20">
        <v>44338</v>
      </c>
      <c r="V669" s="18" t="str">
        <f t="shared" si="30"/>
        <v>Missing</v>
      </c>
    </row>
    <row r="670" spans="1:22" ht="14.5" customHeight="1" x14ac:dyDescent="0.35">
      <c r="A670" s="15" t="s">
        <v>7640</v>
      </c>
      <c r="B670" s="15" t="s">
        <v>7065</v>
      </c>
      <c r="C670" s="15" t="s">
        <v>4498</v>
      </c>
      <c r="D670" s="15" t="s">
        <v>4499</v>
      </c>
      <c r="E670" s="15" t="s">
        <v>2</v>
      </c>
      <c r="F670" s="15" t="str">
        <f t="shared" si="31"/>
        <v>Female</v>
      </c>
      <c r="G670" s="15" t="s">
        <v>4500</v>
      </c>
      <c r="H670" s="15" t="s">
        <v>4501</v>
      </c>
      <c r="I670" s="15">
        <v>669</v>
      </c>
      <c r="J670" s="15">
        <v>669</v>
      </c>
      <c r="K670" s="15" t="s">
        <v>32</v>
      </c>
      <c r="L670" s="15" t="s">
        <v>4502</v>
      </c>
      <c r="M670" s="15" t="s">
        <v>4503</v>
      </c>
      <c r="N670" s="15" t="s">
        <v>66</v>
      </c>
      <c r="O670" s="15" t="s">
        <v>241</v>
      </c>
      <c r="P670" s="15" t="s">
        <v>4504</v>
      </c>
      <c r="Q670" s="22">
        <f t="shared" si="32"/>
        <v>7220000000</v>
      </c>
      <c r="R670" s="15">
        <v>237.59</v>
      </c>
      <c r="S670" s="16">
        <v>-14.45</v>
      </c>
      <c r="T670" s="15">
        <v>144967503</v>
      </c>
      <c r="U670" s="17">
        <v>44694</v>
      </c>
      <c r="V670" s="15" t="str">
        <f t="shared" si="30"/>
        <v>Complete</v>
      </c>
    </row>
    <row r="671" spans="1:22" ht="14.5" customHeight="1" x14ac:dyDescent="0.35">
      <c r="A671" s="18" t="s">
        <v>7641</v>
      </c>
      <c r="B671" s="18" t="s">
        <v>7642</v>
      </c>
      <c r="C671" s="18" t="s">
        <v>4505</v>
      </c>
      <c r="D671" s="18" t="s">
        <v>4506</v>
      </c>
      <c r="E671" s="18" t="s">
        <v>2</v>
      </c>
      <c r="F671" s="15" t="str">
        <f t="shared" si="31"/>
        <v>Female</v>
      </c>
      <c r="G671" s="18" t="s">
        <v>4507</v>
      </c>
      <c r="H671" s="18" t="s">
        <v>4508</v>
      </c>
      <c r="I671" s="18">
        <v>670</v>
      </c>
      <c r="J671" s="18">
        <v>670</v>
      </c>
      <c r="K671" s="18" t="s">
        <v>5</v>
      </c>
      <c r="L671" s="18" t="s">
        <v>4509</v>
      </c>
      <c r="M671" s="18" t="s">
        <v>4510</v>
      </c>
      <c r="N671" s="18" t="s">
        <v>48</v>
      </c>
      <c r="O671" s="18" t="s">
        <v>49</v>
      </c>
      <c r="P671" s="18" t="s">
        <v>4511</v>
      </c>
      <c r="Q671" s="22">
        <f t="shared" si="32"/>
        <v>736770000</v>
      </c>
      <c r="R671" s="18">
        <v>1793.87</v>
      </c>
      <c r="S671" s="19">
        <v>10.41</v>
      </c>
      <c r="T671" s="18">
        <v>28248361</v>
      </c>
      <c r="U671" s="20">
        <v>44897</v>
      </c>
      <c r="V671" s="18" t="str">
        <f t="shared" si="30"/>
        <v>Complete</v>
      </c>
    </row>
    <row r="672" spans="1:22" ht="14.5" customHeight="1" x14ac:dyDescent="0.35">
      <c r="A672" s="15" t="s">
        <v>7643</v>
      </c>
      <c r="B672" s="15" t="s">
        <v>6601</v>
      </c>
      <c r="C672" s="15" t="s">
        <v>4512</v>
      </c>
      <c r="D672" s="15" t="s">
        <v>4513</v>
      </c>
      <c r="E672" s="15" t="s">
        <v>208</v>
      </c>
      <c r="F672" s="15" t="str">
        <f t="shared" si="31"/>
        <v>Other</v>
      </c>
      <c r="G672" s="15" t="s">
        <v>4514</v>
      </c>
      <c r="H672" s="15" t="s">
        <v>4515</v>
      </c>
      <c r="I672" s="15">
        <v>671</v>
      </c>
      <c r="J672" s="15">
        <v>671</v>
      </c>
      <c r="K672" s="15" t="s">
        <v>5</v>
      </c>
      <c r="L672" s="15" t="s">
        <v>4516</v>
      </c>
      <c r="M672" s="15" t="s">
        <v>4517</v>
      </c>
      <c r="N672" s="15" t="s">
        <v>8</v>
      </c>
      <c r="O672" s="15" t="s">
        <v>9</v>
      </c>
      <c r="P672" s="15" t="s">
        <v>4518</v>
      </c>
      <c r="Q672" s="22">
        <f t="shared" si="32"/>
        <v>484410000</v>
      </c>
      <c r="R672" s="15">
        <v>123.03</v>
      </c>
      <c r="S672" s="16">
        <v>-13.88</v>
      </c>
      <c r="T672" s="15">
        <v>18125385</v>
      </c>
      <c r="U672" s="17">
        <v>45427</v>
      </c>
      <c r="V672" s="15" t="str">
        <f t="shared" si="30"/>
        <v>Complete</v>
      </c>
    </row>
    <row r="673" spans="1:22" ht="14.5" customHeight="1" x14ac:dyDescent="0.35">
      <c r="A673" s="18" t="s">
        <v>7644</v>
      </c>
      <c r="B673" s="18" t="s">
        <v>6764</v>
      </c>
      <c r="C673" s="18" t="s">
        <v>4519</v>
      </c>
      <c r="D673" s="18" t="s">
        <v>4520</v>
      </c>
      <c r="E673" s="18" t="s">
        <v>13</v>
      </c>
      <c r="F673" s="15" t="str">
        <f t="shared" si="31"/>
        <v>Male</v>
      </c>
      <c r="G673" s="18" t="s">
        <v>4521</v>
      </c>
      <c r="H673" s="18" t="s">
        <v>4522</v>
      </c>
      <c r="I673" s="18">
        <v>672</v>
      </c>
      <c r="J673" s="18">
        <v>672</v>
      </c>
      <c r="K673" s="18" t="s">
        <v>32</v>
      </c>
      <c r="L673" s="18" t="s">
        <v>4523</v>
      </c>
      <c r="M673" s="18" t="s">
        <v>4524</v>
      </c>
      <c r="N673" s="18" t="s">
        <v>8033</v>
      </c>
      <c r="O673" s="18" t="s">
        <v>8033</v>
      </c>
      <c r="P673" s="18" t="s">
        <v>8033</v>
      </c>
      <c r="Q673" s="22">
        <f t="shared" si="32"/>
        <v>0</v>
      </c>
      <c r="R673" s="18">
        <v>1817.26</v>
      </c>
      <c r="S673" s="19">
        <v>-19.39</v>
      </c>
      <c r="T673" s="18">
        <v>16466746</v>
      </c>
      <c r="U673" s="20">
        <v>44071</v>
      </c>
      <c r="V673" s="18" t="str">
        <f t="shared" si="30"/>
        <v>Missing</v>
      </c>
    </row>
    <row r="674" spans="1:22" ht="14.5" customHeight="1" x14ac:dyDescent="0.35">
      <c r="A674" s="15" t="s">
        <v>7645</v>
      </c>
      <c r="B674" s="15" t="s">
        <v>7143</v>
      </c>
      <c r="C674" s="15" t="s">
        <v>4525</v>
      </c>
      <c r="D674" s="15" t="s">
        <v>4526</v>
      </c>
      <c r="E674" s="15" t="s">
        <v>13</v>
      </c>
      <c r="F674" s="15" t="str">
        <f t="shared" si="31"/>
        <v>Male</v>
      </c>
      <c r="G674" s="15" t="s">
        <v>4527</v>
      </c>
      <c r="H674" s="15" t="s">
        <v>4528</v>
      </c>
      <c r="I674" s="15">
        <v>673</v>
      </c>
      <c r="J674" s="15">
        <v>673</v>
      </c>
      <c r="K674" s="15" t="s">
        <v>5</v>
      </c>
      <c r="L674" s="15" t="s">
        <v>4529</v>
      </c>
      <c r="M674" s="15" t="s">
        <v>4530</v>
      </c>
      <c r="N674" s="15" t="s">
        <v>8</v>
      </c>
      <c r="O674" s="15" t="s">
        <v>9</v>
      </c>
      <c r="P674" s="15" t="s">
        <v>4531</v>
      </c>
      <c r="Q674" s="22">
        <f t="shared" si="32"/>
        <v>25450000</v>
      </c>
      <c r="R674" s="15">
        <v>2.0299999999999998</v>
      </c>
      <c r="S674" s="16">
        <v>8.1999999999999993</v>
      </c>
      <c r="T674" s="15">
        <v>12069237</v>
      </c>
      <c r="U674" s="17">
        <v>45054</v>
      </c>
      <c r="V674" s="15" t="str">
        <f t="shared" si="30"/>
        <v>Complete</v>
      </c>
    </row>
    <row r="675" spans="1:22" ht="14.5" customHeight="1" x14ac:dyDescent="0.35">
      <c r="A675" s="18" t="s">
        <v>7646</v>
      </c>
      <c r="B675" s="18" t="s">
        <v>6607</v>
      </c>
      <c r="C675" s="18" t="s">
        <v>3742</v>
      </c>
      <c r="D675" s="18" t="s">
        <v>4532</v>
      </c>
      <c r="E675" s="18" t="s">
        <v>13</v>
      </c>
      <c r="F675" s="15" t="str">
        <f t="shared" si="31"/>
        <v>Male</v>
      </c>
      <c r="G675" s="18" t="s">
        <v>4533</v>
      </c>
      <c r="H675" s="18" t="s">
        <v>4534</v>
      </c>
      <c r="I675" s="18">
        <v>674</v>
      </c>
      <c r="J675" s="18">
        <v>674</v>
      </c>
      <c r="K675" s="18" t="s">
        <v>5</v>
      </c>
      <c r="L675" s="18" t="s">
        <v>4535</v>
      </c>
      <c r="M675" s="18" t="s">
        <v>4536</v>
      </c>
      <c r="N675" s="18" t="s">
        <v>323</v>
      </c>
      <c r="O675" s="18" t="s">
        <v>26</v>
      </c>
      <c r="P675" s="18" t="s">
        <v>4537</v>
      </c>
      <c r="Q675" s="22">
        <f t="shared" si="32"/>
        <v>70590000</v>
      </c>
      <c r="R675" s="18">
        <v>1968.91</v>
      </c>
      <c r="S675" s="19">
        <v>-16.920000000000002</v>
      </c>
      <c r="T675" s="18">
        <v>111767598</v>
      </c>
      <c r="U675" s="20">
        <v>45936</v>
      </c>
      <c r="V675" s="18" t="str">
        <f t="shared" si="30"/>
        <v>Complete</v>
      </c>
    </row>
    <row r="676" spans="1:22" ht="14.5" customHeight="1" x14ac:dyDescent="0.35">
      <c r="A676" s="15" t="s">
        <v>7647</v>
      </c>
      <c r="B676" s="15" t="s">
        <v>6623</v>
      </c>
      <c r="C676" s="15" t="s">
        <v>4538</v>
      </c>
      <c r="D676" s="15" t="s">
        <v>4539</v>
      </c>
      <c r="E676" s="15" t="s">
        <v>2</v>
      </c>
      <c r="F676" s="15" t="str">
        <f t="shared" si="31"/>
        <v>Female</v>
      </c>
      <c r="G676" s="15" t="s">
        <v>4540</v>
      </c>
      <c r="H676" s="15" t="s">
        <v>4541</v>
      </c>
      <c r="I676" s="15">
        <v>675</v>
      </c>
      <c r="J676" s="15">
        <v>675</v>
      </c>
      <c r="K676" s="15" t="s">
        <v>32</v>
      </c>
      <c r="L676" s="15" t="s">
        <v>4542</v>
      </c>
      <c r="M676" s="15" t="s">
        <v>4543</v>
      </c>
      <c r="N676" s="15" t="s">
        <v>66</v>
      </c>
      <c r="O676" s="15" t="s">
        <v>422</v>
      </c>
      <c r="P676" s="15" t="s">
        <v>4544</v>
      </c>
      <c r="Q676" s="22">
        <f t="shared" si="32"/>
        <v>299740000</v>
      </c>
      <c r="R676" s="15">
        <v>801.98</v>
      </c>
      <c r="S676" s="16">
        <v>-14.85</v>
      </c>
      <c r="T676" s="15">
        <v>52741738</v>
      </c>
      <c r="U676" s="17">
        <v>45251</v>
      </c>
      <c r="V676" s="15" t="str">
        <f t="shared" si="30"/>
        <v>Complete</v>
      </c>
    </row>
    <row r="677" spans="1:22" ht="14.5" customHeight="1" x14ac:dyDescent="0.35">
      <c r="A677" s="18" t="s">
        <v>7648</v>
      </c>
      <c r="B677" s="18" t="s">
        <v>7649</v>
      </c>
      <c r="C677" s="18" t="s">
        <v>4545</v>
      </c>
      <c r="D677" s="18" t="s">
        <v>4546</v>
      </c>
      <c r="E677" s="18" t="s">
        <v>2</v>
      </c>
      <c r="F677" s="15" t="str">
        <f t="shared" si="31"/>
        <v>Female</v>
      </c>
      <c r="G677" s="18" t="s">
        <v>4547</v>
      </c>
      <c r="H677" s="18" t="s">
        <v>4548</v>
      </c>
      <c r="I677" s="18">
        <v>676</v>
      </c>
      <c r="J677" s="18">
        <v>676</v>
      </c>
      <c r="K677" s="18" t="s">
        <v>5</v>
      </c>
      <c r="L677" s="18" t="s">
        <v>4549</v>
      </c>
      <c r="M677" s="18" t="s">
        <v>4550</v>
      </c>
      <c r="N677" s="18" t="s">
        <v>90</v>
      </c>
      <c r="O677" s="18" t="s">
        <v>1261</v>
      </c>
      <c r="P677" s="18" t="s">
        <v>4551</v>
      </c>
      <c r="Q677" s="22">
        <f t="shared" si="32"/>
        <v>237500000</v>
      </c>
      <c r="R677" s="18">
        <v>1541.53</v>
      </c>
      <c r="S677" s="19">
        <v>1.96</v>
      </c>
      <c r="T677" s="18">
        <v>127190269</v>
      </c>
      <c r="U677" s="20">
        <v>45089</v>
      </c>
      <c r="V677" s="18" t="str">
        <f t="shared" si="30"/>
        <v>Complete</v>
      </c>
    </row>
    <row r="678" spans="1:22" ht="14.5" customHeight="1" x14ac:dyDescent="0.35">
      <c r="A678" s="15" t="s">
        <v>7650</v>
      </c>
      <c r="B678" s="15" t="s">
        <v>7194</v>
      </c>
      <c r="C678" s="15" t="s">
        <v>4552</v>
      </c>
      <c r="D678" s="15" t="s">
        <v>4553</v>
      </c>
      <c r="E678" s="15" t="s">
        <v>13</v>
      </c>
      <c r="F678" s="15" t="str">
        <f t="shared" si="31"/>
        <v>Male</v>
      </c>
      <c r="G678" s="15" t="s">
        <v>4554</v>
      </c>
      <c r="H678" s="15" t="s">
        <v>4555</v>
      </c>
      <c r="I678" s="15">
        <v>677</v>
      </c>
      <c r="J678" s="15">
        <v>677</v>
      </c>
      <c r="K678" s="15" t="s">
        <v>32</v>
      </c>
      <c r="L678" s="15" t="s">
        <v>4556</v>
      </c>
      <c r="M678" s="15" t="s">
        <v>4557</v>
      </c>
      <c r="N678" s="15" t="s">
        <v>8033</v>
      </c>
      <c r="O678" s="15" t="s">
        <v>8033</v>
      </c>
      <c r="P678" s="15" t="s">
        <v>4558</v>
      </c>
      <c r="Q678" s="22">
        <f t="shared" si="32"/>
        <v>406450000</v>
      </c>
      <c r="R678" s="15">
        <v>1892.52</v>
      </c>
      <c r="S678" s="16">
        <v>-9.0500000000000007</v>
      </c>
      <c r="T678" s="15">
        <v>20372965</v>
      </c>
      <c r="U678" s="17">
        <v>45088</v>
      </c>
      <c r="V678" s="15" t="str">
        <f t="shared" si="30"/>
        <v>Missing</v>
      </c>
    </row>
    <row r="679" spans="1:22" ht="14.5" customHeight="1" x14ac:dyDescent="0.35">
      <c r="A679" s="18" t="s">
        <v>7651</v>
      </c>
      <c r="B679" s="18" t="s">
        <v>7652</v>
      </c>
      <c r="C679" s="18" t="s">
        <v>4559</v>
      </c>
      <c r="D679" s="18" t="s">
        <v>4560</v>
      </c>
      <c r="E679" s="18" t="s">
        <v>13</v>
      </c>
      <c r="F679" s="15" t="str">
        <f t="shared" si="31"/>
        <v>Male</v>
      </c>
      <c r="G679" s="18" t="s">
        <v>4561</v>
      </c>
      <c r="H679" s="18" t="s">
        <v>4562</v>
      </c>
      <c r="I679" s="18">
        <v>678</v>
      </c>
      <c r="J679" s="18">
        <v>678</v>
      </c>
      <c r="K679" s="18" t="s">
        <v>5</v>
      </c>
      <c r="L679" s="18" t="s">
        <v>4563</v>
      </c>
      <c r="M679" s="18" t="s">
        <v>4564</v>
      </c>
      <c r="N679" s="18" t="s">
        <v>66</v>
      </c>
      <c r="O679" s="18" t="s">
        <v>1068</v>
      </c>
      <c r="P679" s="18" t="s">
        <v>4565</v>
      </c>
      <c r="Q679" s="22">
        <f t="shared" si="32"/>
        <v>685070000</v>
      </c>
      <c r="R679" s="18">
        <v>1098.3</v>
      </c>
      <c r="S679" s="19">
        <v>-11.51</v>
      </c>
      <c r="T679" s="18">
        <v>139872771</v>
      </c>
      <c r="U679" s="20">
        <v>45723</v>
      </c>
      <c r="V679" s="18" t="str">
        <f t="shared" si="30"/>
        <v>Complete</v>
      </c>
    </row>
    <row r="680" spans="1:22" ht="14.5" customHeight="1" x14ac:dyDescent="0.35">
      <c r="A680" s="15" t="s">
        <v>7653</v>
      </c>
      <c r="B680" s="15" t="s">
        <v>7654</v>
      </c>
      <c r="C680" s="15" t="s">
        <v>4566</v>
      </c>
      <c r="D680" s="15" t="s">
        <v>4567</v>
      </c>
      <c r="E680" s="15" t="s">
        <v>13</v>
      </c>
      <c r="F680" s="15" t="str">
        <f t="shared" si="31"/>
        <v>Male</v>
      </c>
      <c r="G680" s="15" t="s">
        <v>4568</v>
      </c>
      <c r="H680" s="15" t="s">
        <v>4569</v>
      </c>
      <c r="I680" s="15">
        <v>679</v>
      </c>
      <c r="J680" s="15">
        <v>679</v>
      </c>
      <c r="K680" s="15" t="s">
        <v>5</v>
      </c>
      <c r="L680" s="15" t="s">
        <v>4570</v>
      </c>
      <c r="M680" s="15" t="s">
        <v>4571</v>
      </c>
      <c r="N680" s="15" t="s">
        <v>66</v>
      </c>
      <c r="O680" s="15" t="s">
        <v>422</v>
      </c>
      <c r="P680" s="15" t="s">
        <v>4572</v>
      </c>
      <c r="Q680" s="22">
        <f t="shared" si="32"/>
        <v>3100000000</v>
      </c>
      <c r="R680" s="15">
        <v>1577.39</v>
      </c>
      <c r="S680" s="16">
        <v>-14.98</v>
      </c>
      <c r="T680" s="15">
        <v>171511228</v>
      </c>
      <c r="U680" s="17">
        <v>46006</v>
      </c>
      <c r="V680" s="15" t="str">
        <f t="shared" si="30"/>
        <v>Complete</v>
      </c>
    </row>
    <row r="681" spans="1:22" ht="14.5" customHeight="1" x14ac:dyDescent="0.35">
      <c r="A681" s="18" t="s">
        <v>7655</v>
      </c>
      <c r="B681" s="18" t="s">
        <v>7656</v>
      </c>
      <c r="C681" s="18" t="s">
        <v>4573</v>
      </c>
      <c r="D681" s="18" t="s">
        <v>4574</v>
      </c>
      <c r="E681" s="18" t="s">
        <v>2</v>
      </c>
      <c r="F681" s="15" t="str">
        <f t="shared" si="31"/>
        <v>Female</v>
      </c>
      <c r="G681" s="18" t="s">
        <v>4575</v>
      </c>
      <c r="H681" s="18" t="s">
        <v>4576</v>
      </c>
      <c r="I681" s="18">
        <v>680</v>
      </c>
      <c r="J681" s="18">
        <v>680</v>
      </c>
      <c r="K681" s="18" t="s">
        <v>32</v>
      </c>
      <c r="L681" s="18" t="s">
        <v>4577</v>
      </c>
      <c r="M681" s="18" t="s">
        <v>4578</v>
      </c>
      <c r="N681" s="18" t="s">
        <v>134</v>
      </c>
      <c r="O681" s="18" t="s">
        <v>1138</v>
      </c>
      <c r="P681" s="18" t="s">
        <v>4579</v>
      </c>
      <c r="Q681" s="22">
        <f t="shared" si="32"/>
        <v>9610000000</v>
      </c>
      <c r="R681" s="18">
        <v>982.23</v>
      </c>
      <c r="S681" s="19">
        <v>-19.23</v>
      </c>
      <c r="T681" s="18">
        <v>151598762</v>
      </c>
      <c r="U681" s="20">
        <v>45759</v>
      </c>
      <c r="V681" s="18" t="str">
        <f t="shared" si="30"/>
        <v>Complete</v>
      </c>
    </row>
    <row r="682" spans="1:22" ht="14.5" customHeight="1" x14ac:dyDescent="0.35">
      <c r="A682" s="15" t="s">
        <v>7657</v>
      </c>
      <c r="B682" s="15" t="s">
        <v>6748</v>
      </c>
      <c r="C682" s="15" t="s">
        <v>4580</v>
      </c>
      <c r="D682" s="15" t="s">
        <v>4581</v>
      </c>
      <c r="E682" s="15" t="s">
        <v>2</v>
      </c>
      <c r="F682" s="15" t="str">
        <f t="shared" si="31"/>
        <v>Female</v>
      </c>
      <c r="G682" s="15" t="s">
        <v>4582</v>
      </c>
      <c r="H682" s="15" t="s">
        <v>4583</v>
      </c>
      <c r="I682" s="15">
        <v>681</v>
      </c>
      <c r="J682" s="15">
        <v>681</v>
      </c>
      <c r="K682" s="15" t="s">
        <v>5</v>
      </c>
      <c r="L682" s="15" t="s">
        <v>4584</v>
      </c>
      <c r="M682" s="15" t="s">
        <v>4585</v>
      </c>
      <c r="N682" s="15" t="s">
        <v>99</v>
      </c>
      <c r="O682" s="15" t="s">
        <v>2555</v>
      </c>
      <c r="P682" s="15" t="s">
        <v>4586</v>
      </c>
      <c r="Q682" s="22">
        <f t="shared" si="32"/>
        <v>64480000.000000007</v>
      </c>
      <c r="R682" s="15">
        <v>1417.29</v>
      </c>
      <c r="S682" s="16">
        <v>5.53</v>
      </c>
      <c r="T682" s="15">
        <v>82540267</v>
      </c>
      <c r="U682" s="17">
        <v>44204</v>
      </c>
      <c r="V682" s="15" t="str">
        <f t="shared" si="30"/>
        <v>Complete</v>
      </c>
    </row>
    <row r="683" spans="1:22" ht="14.5" customHeight="1" x14ac:dyDescent="0.35">
      <c r="A683" s="18" t="s">
        <v>7658</v>
      </c>
      <c r="B683" s="18" t="s">
        <v>7496</v>
      </c>
      <c r="C683" s="18" t="s">
        <v>4587</v>
      </c>
      <c r="D683" s="18" t="s">
        <v>4588</v>
      </c>
      <c r="E683" s="18" t="s">
        <v>2</v>
      </c>
      <c r="F683" s="15" t="str">
        <f t="shared" si="31"/>
        <v>Female</v>
      </c>
      <c r="G683" s="18" t="s">
        <v>4589</v>
      </c>
      <c r="H683" s="18" t="s">
        <v>4590</v>
      </c>
      <c r="I683" s="18">
        <v>682</v>
      </c>
      <c r="J683" s="18">
        <v>682</v>
      </c>
      <c r="K683" s="18" t="s">
        <v>5</v>
      </c>
      <c r="L683" s="18" t="s">
        <v>4591</v>
      </c>
      <c r="M683" s="18" t="s">
        <v>4592</v>
      </c>
      <c r="N683" s="18" t="s">
        <v>8033</v>
      </c>
      <c r="O683" s="18" t="s">
        <v>8033</v>
      </c>
      <c r="P683" s="18" t="s">
        <v>4593</v>
      </c>
      <c r="Q683" s="22">
        <f t="shared" si="32"/>
        <v>126720000</v>
      </c>
      <c r="R683" s="18">
        <v>809.71</v>
      </c>
      <c r="S683" s="19">
        <v>-8.8699999999999992</v>
      </c>
      <c r="T683" s="18">
        <v>179052736</v>
      </c>
      <c r="U683" s="20">
        <v>44797</v>
      </c>
      <c r="V683" s="18" t="str">
        <f t="shared" si="30"/>
        <v>Missing</v>
      </c>
    </row>
    <row r="684" spans="1:22" ht="14.5" customHeight="1" x14ac:dyDescent="0.35">
      <c r="A684" s="15" t="s">
        <v>7659</v>
      </c>
      <c r="B684" s="15" t="s">
        <v>7460</v>
      </c>
      <c r="C684" s="15" t="s">
        <v>4594</v>
      </c>
      <c r="D684" s="15" t="s">
        <v>4595</v>
      </c>
      <c r="E684" s="15" t="s">
        <v>2</v>
      </c>
      <c r="F684" s="15" t="str">
        <f t="shared" si="31"/>
        <v>Female</v>
      </c>
      <c r="G684" s="15" t="s">
        <v>4596</v>
      </c>
      <c r="H684" s="15" t="s">
        <v>4597</v>
      </c>
      <c r="I684" s="15">
        <v>683</v>
      </c>
      <c r="J684" s="15">
        <v>683</v>
      </c>
      <c r="K684" s="15" t="s">
        <v>5</v>
      </c>
      <c r="L684" s="15" t="s">
        <v>4598</v>
      </c>
      <c r="M684" s="15" t="s">
        <v>4599</v>
      </c>
      <c r="N684" s="15" t="s">
        <v>66</v>
      </c>
      <c r="O684" s="15" t="s">
        <v>293</v>
      </c>
      <c r="P684" s="15" t="s">
        <v>4600</v>
      </c>
      <c r="Q684" s="22">
        <f t="shared" si="32"/>
        <v>725750000</v>
      </c>
      <c r="R684" s="15">
        <v>824.71</v>
      </c>
      <c r="S684" s="16">
        <v>-3.19</v>
      </c>
      <c r="T684" s="15">
        <v>195917557</v>
      </c>
      <c r="U684" s="17">
        <v>45509</v>
      </c>
      <c r="V684" s="15" t="str">
        <f t="shared" si="30"/>
        <v>Complete</v>
      </c>
    </row>
    <row r="685" spans="1:22" ht="14.5" customHeight="1" x14ac:dyDescent="0.35">
      <c r="A685" s="18" t="s">
        <v>7660</v>
      </c>
      <c r="B685" s="18" t="s">
        <v>7213</v>
      </c>
      <c r="C685" s="18" t="s">
        <v>4601</v>
      </c>
      <c r="D685" s="18" t="s">
        <v>4602</v>
      </c>
      <c r="E685" s="18" t="s">
        <v>208</v>
      </c>
      <c r="F685" s="15" t="str">
        <f t="shared" si="31"/>
        <v>Other</v>
      </c>
      <c r="G685" s="18" t="s">
        <v>4603</v>
      </c>
      <c r="H685" s="18" t="s">
        <v>4604</v>
      </c>
      <c r="I685" s="18">
        <v>684</v>
      </c>
      <c r="J685" s="18">
        <v>684</v>
      </c>
      <c r="K685" s="18" t="s">
        <v>32</v>
      </c>
      <c r="L685" s="18" t="s">
        <v>4605</v>
      </c>
      <c r="M685" s="18" t="s">
        <v>2424</v>
      </c>
      <c r="N685" s="18" t="s">
        <v>8033</v>
      </c>
      <c r="O685" s="18" t="s">
        <v>8033</v>
      </c>
      <c r="P685" s="18" t="s">
        <v>8033</v>
      </c>
      <c r="Q685" s="22">
        <f t="shared" si="32"/>
        <v>0</v>
      </c>
      <c r="R685" s="18">
        <v>844.64</v>
      </c>
      <c r="S685" s="19">
        <v>-8.1999999999999993</v>
      </c>
      <c r="T685" s="18">
        <v>148510810</v>
      </c>
      <c r="U685" s="20">
        <v>45265</v>
      </c>
      <c r="V685" s="18" t="str">
        <f t="shared" si="30"/>
        <v>Missing</v>
      </c>
    </row>
    <row r="686" spans="1:22" ht="14.5" customHeight="1" x14ac:dyDescent="0.35">
      <c r="A686" s="15" t="s">
        <v>7661</v>
      </c>
      <c r="B686" s="15" t="s">
        <v>6735</v>
      </c>
      <c r="C686" s="15" t="s">
        <v>4606</v>
      </c>
      <c r="D686" s="15" t="s">
        <v>4607</v>
      </c>
      <c r="E686" s="15" t="s">
        <v>2</v>
      </c>
      <c r="F686" s="15" t="str">
        <f t="shared" si="31"/>
        <v>Female</v>
      </c>
      <c r="G686" s="15" t="s">
        <v>4608</v>
      </c>
      <c r="H686" s="15" t="s">
        <v>4609</v>
      </c>
      <c r="I686" s="15">
        <v>685</v>
      </c>
      <c r="J686" s="15">
        <v>685</v>
      </c>
      <c r="K686" s="15" t="s">
        <v>32</v>
      </c>
      <c r="L686" s="15" t="s">
        <v>4610</v>
      </c>
      <c r="M686" s="15" t="s">
        <v>4611</v>
      </c>
      <c r="N686" s="15" t="s">
        <v>8033</v>
      </c>
      <c r="O686" s="15" t="s">
        <v>8033</v>
      </c>
      <c r="P686" s="15" t="s">
        <v>4612</v>
      </c>
      <c r="Q686" s="22">
        <f t="shared" si="32"/>
        <v>252830000</v>
      </c>
      <c r="R686" s="15">
        <v>1281.99</v>
      </c>
      <c r="S686" s="16">
        <v>4.68</v>
      </c>
      <c r="T686" s="15">
        <v>181488968</v>
      </c>
      <c r="U686" s="17">
        <v>45328</v>
      </c>
      <c r="V686" s="15" t="str">
        <f t="shared" si="30"/>
        <v>Missing</v>
      </c>
    </row>
    <row r="687" spans="1:22" ht="14.5" customHeight="1" x14ac:dyDescent="0.35">
      <c r="A687" s="18" t="s">
        <v>7662</v>
      </c>
      <c r="B687" s="18" t="s">
        <v>6660</v>
      </c>
      <c r="C687" s="18" t="s">
        <v>4613</v>
      </c>
      <c r="D687" s="18" t="s">
        <v>4614</v>
      </c>
      <c r="E687" s="18" t="s">
        <v>2</v>
      </c>
      <c r="F687" s="15" t="str">
        <f t="shared" si="31"/>
        <v>Female</v>
      </c>
      <c r="G687" s="18" t="s">
        <v>4615</v>
      </c>
      <c r="H687" s="18" t="s">
        <v>4616</v>
      </c>
      <c r="I687" s="18">
        <v>686</v>
      </c>
      <c r="J687" s="18">
        <v>686</v>
      </c>
      <c r="K687" s="18" t="s">
        <v>32</v>
      </c>
      <c r="L687" s="18" t="s">
        <v>4617</v>
      </c>
      <c r="M687" s="18" t="s">
        <v>4618</v>
      </c>
      <c r="N687" s="18" t="s">
        <v>99</v>
      </c>
      <c r="O687" s="18" t="s">
        <v>100</v>
      </c>
      <c r="P687" s="18" t="s">
        <v>4619</v>
      </c>
      <c r="Q687" s="22">
        <f t="shared" si="32"/>
        <v>2540000000</v>
      </c>
      <c r="R687" s="18">
        <v>1277.8800000000001</v>
      </c>
      <c r="S687" s="19">
        <v>-4.78</v>
      </c>
      <c r="T687" s="18">
        <v>139256681</v>
      </c>
      <c r="U687" s="20">
        <v>45532</v>
      </c>
      <c r="V687" s="18" t="str">
        <f t="shared" si="30"/>
        <v>Complete</v>
      </c>
    </row>
    <row r="688" spans="1:22" ht="14.5" customHeight="1" x14ac:dyDescent="0.35">
      <c r="A688" s="15" t="s">
        <v>7663</v>
      </c>
      <c r="B688" s="15" t="s">
        <v>7460</v>
      </c>
      <c r="C688" s="15" t="s">
        <v>4620</v>
      </c>
      <c r="D688" s="15" t="s">
        <v>4621</v>
      </c>
      <c r="E688" s="15" t="s">
        <v>2</v>
      </c>
      <c r="F688" s="15" t="str">
        <f t="shared" si="31"/>
        <v>Female</v>
      </c>
      <c r="G688" s="15" t="s">
        <v>4622</v>
      </c>
      <c r="H688" s="15" t="s">
        <v>4623</v>
      </c>
      <c r="I688" s="15">
        <v>687</v>
      </c>
      <c r="J688" s="15">
        <v>687</v>
      </c>
      <c r="K688" s="15" t="s">
        <v>5</v>
      </c>
      <c r="L688" s="15" t="s">
        <v>4624</v>
      </c>
      <c r="M688" s="15" t="s">
        <v>4625</v>
      </c>
      <c r="N688" s="15" t="s">
        <v>66</v>
      </c>
      <c r="O688" s="15" t="s">
        <v>492</v>
      </c>
      <c r="P688" s="15" t="s">
        <v>4626</v>
      </c>
      <c r="Q688" s="22">
        <f t="shared" si="32"/>
        <v>280330000</v>
      </c>
      <c r="R688" s="15">
        <v>421.19</v>
      </c>
      <c r="S688" s="16">
        <v>-11.26</v>
      </c>
      <c r="T688" s="15">
        <v>5136197</v>
      </c>
      <c r="U688" s="17">
        <v>44707</v>
      </c>
      <c r="V688" s="15" t="str">
        <f t="shared" si="30"/>
        <v>Complete</v>
      </c>
    </row>
    <row r="689" spans="1:22" ht="14.5" customHeight="1" x14ac:dyDescent="0.35">
      <c r="A689" s="18" t="s">
        <v>7664</v>
      </c>
      <c r="B689" s="18" t="s">
        <v>6719</v>
      </c>
      <c r="C689" s="18" t="s">
        <v>4627</v>
      </c>
      <c r="D689" s="18" t="s">
        <v>4628</v>
      </c>
      <c r="E689" s="18" t="s">
        <v>13</v>
      </c>
      <c r="F689" s="15" t="str">
        <f t="shared" si="31"/>
        <v>Male</v>
      </c>
      <c r="G689" s="18" t="s">
        <v>4629</v>
      </c>
      <c r="H689" s="18" t="s">
        <v>4630</v>
      </c>
      <c r="I689" s="18">
        <v>688</v>
      </c>
      <c r="J689" s="18">
        <v>688</v>
      </c>
      <c r="K689" s="18" t="s">
        <v>5</v>
      </c>
      <c r="L689" s="18" t="s">
        <v>4631</v>
      </c>
      <c r="M689" s="18" t="s">
        <v>4632</v>
      </c>
      <c r="N689" s="18" t="s">
        <v>99</v>
      </c>
      <c r="O689" s="18" t="s">
        <v>100</v>
      </c>
      <c r="P689" s="18" t="s">
        <v>8033</v>
      </c>
      <c r="Q689" s="22">
        <f t="shared" si="32"/>
        <v>0</v>
      </c>
      <c r="R689" s="18">
        <v>662.56</v>
      </c>
      <c r="S689" s="19">
        <v>10.96</v>
      </c>
      <c r="T689" s="18">
        <v>69214959</v>
      </c>
      <c r="U689" s="20">
        <v>45871</v>
      </c>
      <c r="V689" s="18" t="str">
        <f t="shared" si="30"/>
        <v>Missing</v>
      </c>
    </row>
    <row r="690" spans="1:22" ht="14.5" customHeight="1" x14ac:dyDescent="0.35">
      <c r="A690" s="15" t="s">
        <v>7665</v>
      </c>
      <c r="B690" s="15" t="s">
        <v>6904</v>
      </c>
      <c r="C690" s="15" t="s">
        <v>4633</v>
      </c>
      <c r="D690" s="15" t="s">
        <v>4634</v>
      </c>
      <c r="E690" s="15" t="s">
        <v>61</v>
      </c>
      <c r="F690" s="15" t="str">
        <f t="shared" si="31"/>
        <v>Other</v>
      </c>
      <c r="G690" s="15" t="s">
        <v>4635</v>
      </c>
      <c r="H690" s="15" t="s">
        <v>4636</v>
      </c>
      <c r="I690" s="15">
        <v>689</v>
      </c>
      <c r="J690" s="15">
        <v>689</v>
      </c>
      <c r="K690" s="15" t="s">
        <v>32</v>
      </c>
      <c r="L690" s="15" t="s">
        <v>4637</v>
      </c>
      <c r="M690" s="15" t="s">
        <v>3016</v>
      </c>
      <c r="N690" s="15" t="s">
        <v>8033</v>
      </c>
      <c r="O690" s="15" t="s">
        <v>8033</v>
      </c>
      <c r="P690" s="15" t="s">
        <v>8033</v>
      </c>
      <c r="Q690" s="22">
        <f t="shared" si="32"/>
        <v>0</v>
      </c>
      <c r="R690" s="15">
        <v>1747.03</v>
      </c>
      <c r="S690" s="16">
        <v>-15.39</v>
      </c>
      <c r="T690" s="15">
        <v>17869487</v>
      </c>
      <c r="U690" s="17">
        <v>46126</v>
      </c>
      <c r="V690" s="15" t="str">
        <f t="shared" si="30"/>
        <v>Missing</v>
      </c>
    </row>
    <row r="691" spans="1:22" ht="14.5" customHeight="1" x14ac:dyDescent="0.35">
      <c r="A691" s="18" t="s">
        <v>7666</v>
      </c>
      <c r="B691" s="18" t="s">
        <v>7216</v>
      </c>
      <c r="C691" s="18" t="s">
        <v>4638</v>
      </c>
      <c r="D691" s="18" t="s">
        <v>4639</v>
      </c>
      <c r="E691" s="18" t="s">
        <v>2</v>
      </c>
      <c r="F691" s="15" t="str">
        <f t="shared" si="31"/>
        <v>Female</v>
      </c>
      <c r="G691" s="18" t="s">
        <v>4640</v>
      </c>
      <c r="H691" s="18" t="s">
        <v>4641</v>
      </c>
      <c r="I691" s="18">
        <v>690</v>
      </c>
      <c r="J691" s="18">
        <v>690</v>
      </c>
      <c r="K691" s="18" t="s">
        <v>32</v>
      </c>
      <c r="L691" s="18" t="s">
        <v>4642</v>
      </c>
      <c r="M691" s="18" t="s">
        <v>4643</v>
      </c>
      <c r="N691" s="18" t="s">
        <v>8033</v>
      </c>
      <c r="O691" s="18" t="s">
        <v>8033</v>
      </c>
      <c r="P691" s="18" t="s">
        <v>8033</v>
      </c>
      <c r="Q691" s="22">
        <f t="shared" si="32"/>
        <v>0</v>
      </c>
      <c r="R691" s="18">
        <v>905.05</v>
      </c>
      <c r="S691" s="19">
        <v>-11.61</v>
      </c>
      <c r="T691" s="18">
        <v>81399534</v>
      </c>
      <c r="U691" s="20">
        <v>43918</v>
      </c>
      <c r="V691" s="18" t="str">
        <f t="shared" si="30"/>
        <v>Missing</v>
      </c>
    </row>
    <row r="692" spans="1:22" ht="14.5" customHeight="1" x14ac:dyDescent="0.35">
      <c r="A692" s="15" t="s">
        <v>7667</v>
      </c>
      <c r="B692" s="15" t="s">
        <v>7219</v>
      </c>
      <c r="C692" s="15" t="s">
        <v>4644</v>
      </c>
      <c r="D692" s="15" t="s">
        <v>4645</v>
      </c>
      <c r="E692" s="15" t="s">
        <v>13</v>
      </c>
      <c r="F692" s="15" t="str">
        <f t="shared" si="31"/>
        <v>Male</v>
      </c>
      <c r="G692" s="15" t="s">
        <v>4646</v>
      </c>
      <c r="H692" s="15" t="s">
        <v>4647</v>
      </c>
      <c r="I692" s="15">
        <v>691</v>
      </c>
      <c r="J692" s="15">
        <v>691</v>
      </c>
      <c r="K692" s="15" t="s">
        <v>32</v>
      </c>
      <c r="L692" s="15" t="s">
        <v>4648</v>
      </c>
      <c r="M692" s="15" t="s">
        <v>4649</v>
      </c>
      <c r="N692" s="15" t="s">
        <v>8033</v>
      </c>
      <c r="O692" s="15" t="s">
        <v>8033</v>
      </c>
      <c r="P692" s="15" t="s">
        <v>8033</v>
      </c>
      <c r="Q692" s="22">
        <f t="shared" si="32"/>
        <v>0</v>
      </c>
      <c r="R692" s="15">
        <v>1000.82</v>
      </c>
      <c r="S692" s="16">
        <v>-13.54</v>
      </c>
      <c r="T692" s="15">
        <v>81537237</v>
      </c>
      <c r="U692" s="17">
        <v>45857</v>
      </c>
      <c r="V692" s="15" t="str">
        <f t="shared" si="30"/>
        <v>Missing</v>
      </c>
    </row>
    <row r="693" spans="1:22" ht="14.5" customHeight="1" x14ac:dyDescent="0.35">
      <c r="A693" s="18" t="s">
        <v>7668</v>
      </c>
      <c r="B693" s="18" t="s">
        <v>7040</v>
      </c>
      <c r="C693" s="18" t="s">
        <v>4650</v>
      </c>
      <c r="D693" s="18" t="s">
        <v>4651</v>
      </c>
      <c r="E693" s="18" t="s">
        <v>2</v>
      </c>
      <c r="F693" s="15" t="str">
        <f t="shared" si="31"/>
        <v>Female</v>
      </c>
      <c r="G693" s="18" t="s">
        <v>4652</v>
      </c>
      <c r="H693" s="18" t="s">
        <v>4653</v>
      </c>
      <c r="I693" s="18">
        <v>692</v>
      </c>
      <c r="J693" s="18">
        <v>692</v>
      </c>
      <c r="K693" s="18" t="s">
        <v>5</v>
      </c>
      <c r="L693" s="18" t="s">
        <v>4654</v>
      </c>
      <c r="M693" s="18" t="s">
        <v>4655</v>
      </c>
      <c r="N693" s="18" t="s">
        <v>90</v>
      </c>
      <c r="O693" s="18" t="s">
        <v>562</v>
      </c>
      <c r="P693" s="18" t="s">
        <v>3893</v>
      </c>
      <c r="Q693" s="22">
        <f t="shared" si="32"/>
        <v>4160000000</v>
      </c>
      <c r="R693" s="18">
        <v>1666.04</v>
      </c>
      <c r="S693" s="19">
        <v>-11.54</v>
      </c>
      <c r="T693" s="18">
        <v>80619274</v>
      </c>
      <c r="U693" s="20">
        <v>46367</v>
      </c>
      <c r="V693" s="18" t="str">
        <f t="shared" si="30"/>
        <v>Complete</v>
      </c>
    </row>
    <row r="694" spans="1:22" ht="14.5" customHeight="1" x14ac:dyDescent="0.35">
      <c r="A694" s="15" t="s">
        <v>7669</v>
      </c>
      <c r="B694" s="15" t="s">
        <v>7229</v>
      </c>
      <c r="C694" s="15" t="s">
        <v>4656</v>
      </c>
      <c r="D694" s="15" t="s">
        <v>4657</v>
      </c>
      <c r="E694" s="15" t="s">
        <v>13</v>
      </c>
      <c r="F694" s="15" t="str">
        <f t="shared" si="31"/>
        <v>Male</v>
      </c>
      <c r="G694" s="15" t="s">
        <v>4658</v>
      </c>
      <c r="H694" s="15" t="s">
        <v>4659</v>
      </c>
      <c r="I694" s="15">
        <v>693</v>
      </c>
      <c r="J694" s="15">
        <v>693</v>
      </c>
      <c r="K694" s="15" t="s">
        <v>32</v>
      </c>
      <c r="L694" s="15" t="s">
        <v>4660</v>
      </c>
      <c r="M694" s="15" t="s">
        <v>4661</v>
      </c>
      <c r="N694" s="15" t="s">
        <v>134</v>
      </c>
      <c r="O694" s="15" t="s">
        <v>2454</v>
      </c>
      <c r="P694" s="15" t="s">
        <v>4662</v>
      </c>
      <c r="Q694" s="22">
        <f t="shared" si="32"/>
        <v>6020000000</v>
      </c>
      <c r="R694" s="15">
        <v>441.56</v>
      </c>
      <c r="S694" s="16">
        <v>-19.63</v>
      </c>
      <c r="T694" s="15">
        <v>92644834</v>
      </c>
      <c r="U694" s="17">
        <v>45484</v>
      </c>
      <c r="V694" s="15" t="str">
        <f t="shared" si="30"/>
        <v>Complete</v>
      </c>
    </row>
    <row r="695" spans="1:22" ht="14.5" customHeight="1" x14ac:dyDescent="0.35">
      <c r="A695" s="18" t="s">
        <v>7670</v>
      </c>
      <c r="B695" s="18" t="s">
        <v>7671</v>
      </c>
      <c r="C695" s="18" t="s">
        <v>4663</v>
      </c>
      <c r="D695" s="18" t="s">
        <v>4664</v>
      </c>
      <c r="E695" s="18" t="s">
        <v>2</v>
      </c>
      <c r="F695" s="15" t="str">
        <f t="shared" si="31"/>
        <v>Female</v>
      </c>
      <c r="G695" s="18" t="s">
        <v>4665</v>
      </c>
      <c r="H695" s="18" t="s">
        <v>4666</v>
      </c>
      <c r="I695" s="18">
        <v>694</v>
      </c>
      <c r="J695" s="18">
        <v>694</v>
      </c>
      <c r="K695" s="18" t="s">
        <v>32</v>
      </c>
      <c r="L695" s="18" t="s">
        <v>4667</v>
      </c>
      <c r="M695" s="18" t="s">
        <v>4668</v>
      </c>
      <c r="N695" s="18" t="s">
        <v>25</v>
      </c>
      <c r="O695" s="18" t="s">
        <v>2114</v>
      </c>
      <c r="P695" s="18" t="s">
        <v>4669</v>
      </c>
      <c r="Q695" s="22">
        <f t="shared" si="32"/>
        <v>1840000000</v>
      </c>
      <c r="R695" s="18">
        <v>196.22</v>
      </c>
      <c r="S695" s="19">
        <v>-18.05</v>
      </c>
      <c r="T695" s="18">
        <v>195937062</v>
      </c>
      <c r="U695" s="20">
        <v>44123</v>
      </c>
      <c r="V695" s="18" t="str">
        <f t="shared" si="30"/>
        <v>Complete</v>
      </c>
    </row>
    <row r="696" spans="1:22" ht="14.5" customHeight="1" x14ac:dyDescent="0.35">
      <c r="A696" s="15" t="s">
        <v>7672</v>
      </c>
      <c r="B696" s="15" t="s">
        <v>7213</v>
      </c>
      <c r="C696" s="15" t="s">
        <v>4670</v>
      </c>
      <c r="D696" s="15" t="s">
        <v>4671</v>
      </c>
      <c r="E696" s="15" t="s">
        <v>13</v>
      </c>
      <c r="F696" s="15" t="str">
        <f t="shared" si="31"/>
        <v>Male</v>
      </c>
      <c r="G696" s="15" t="s">
        <v>4672</v>
      </c>
      <c r="H696" s="15" t="s">
        <v>4673</v>
      </c>
      <c r="I696" s="15">
        <v>695</v>
      </c>
      <c r="J696" s="15">
        <v>695</v>
      </c>
      <c r="K696" s="15" t="s">
        <v>32</v>
      </c>
      <c r="L696" s="15" t="s">
        <v>4674</v>
      </c>
      <c r="M696" s="15" t="s">
        <v>4675</v>
      </c>
      <c r="N696" s="15" t="s">
        <v>8033</v>
      </c>
      <c r="O696" s="15" t="s">
        <v>8033</v>
      </c>
      <c r="P696" s="15" t="s">
        <v>8033</v>
      </c>
      <c r="Q696" s="22">
        <f t="shared" si="32"/>
        <v>0</v>
      </c>
      <c r="R696" s="15">
        <v>816.76</v>
      </c>
      <c r="S696" s="16">
        <v>-4.3499999999999996</v>
      </c>
      <c r="T696" s="15">
        <v>60087983</v>
      </c>
      <c r="U696" s="17">
        <v>46072</v>
      </c>
      <c r="V696" s="15" t="str">
        <f t="shared" si="30"/>
        <v>Missing</v>
      </c>
    </row>
    <row r="697" spans="1:22" ht="14.5" customHeight="1" x14ac:dyDescent="0.35">
      <c r="A697" s="18" t="s">
        <v>7673</v>
      </c>
      <c r="B697" s="18" t="s">
        <v>7001</v>
      </c>
      <c r="C697" s="18" t="s">
        <v>4676</v>
      </c>
      <c r="D697" s="18" t="s">
        <v>4677</v>
      </c>
      <c r="E697" s="18" t="s">
        <v>61</v>
      </c>
      <c r="F697" s="15" t="str">
        <f t="shared" si="31"/>
        <v>Other</v>
      </c>
      <c r="G697" s="18" t="s">
        <v>4678</v>
      </c>
      <c r="H697" s="18" t="s">
        <v>4679</v>
      </c>
      <c r="I697" s="18">
        <v>696</v>
      </c>
      <c r="J697" s="18">
        <v>696</v>
      </c>
      <c r="K697" s="18" t="s">
        <v>5</v>
      </c>
      <c r="L697" s="18" t="s">
        <v>4680</v>
      </c>
      <c r="M697" s="18" t="s">
        <v>4681</v>
      </c>
      <c r="N697" s="18" t="s">
        <v>1291</v>
      </c>
      <c r="O697" s="18" t="s">
        <v>4682</v>
      </c>
      <c r="P697" s="18" t="s">
        <v>8033</v>
      </c>
      <c r="Q697" s="22">
        <f t="shared" si="32"/>
        <v>0</v>
      </c>
      <c r="R697" s="18">
        <v>1663.75</v>
      </c>
      <c r="S697" s="19">
        <v>9.76</v>
      </c>
      <c r="T697" s="18">
        <v>33671140</v>
      </c>
      <c r="U697" s="20">
        <v>44641</v>
      </c>
      <c r="V697" s="18" t="str">
        <f t="shared" si="30"/>
        <v>Missing</v>
      </c>
    </row>
    <row r="698" spans="1:22" ht="14.5" customHeight="1" x14ac:dyDescent="0.35">
      <c r="A698" s="15" t="s">
        <v>7674</v>
      </c>
      <c r="B698" s="15" t="s">
        <v>7635</v>
      </c>
      <c r="C698" s="15" t="s">
        <v>4683</v>
      </c>
      <c r="D698" s="15" t="s">
        <v>4684</v>
      </c>
      <c r="E698" s="15" t="s">
        <v>13</v>
      </c>
      <c r="F698" s="15" t="str">
        <f t="shared" si="31"/>
        <v>Male</v>
      </c>
      <c r="G698" s="15" t="s">
        <v>4685</v>
      </c>
      <c r="H698" s="15" t="s">
        <v>4686</v>
      </c>
      <c r="I698" s="15">
        <v>697</v>
      </c>
      <c r="J698" s="15">
        <v>697</v>
      </c>
      <c r="K698" s="15" t="s">
        <v>32</v>
      </c>
      <c r="L698" s="15" t="s">
        <v>4687</v>
      </c>
      <c r="M698" s="15" t="s">
        <v>4688</v>
      </c>
      <c r="N698" s="15" t="s">
        <v>134</v>
      </c>
      <c r="O698" s="15" t="s">
        <v>135</v>
      </c>
      <c r="P698" s="15" t="s">
        <v>4689</v>
      </c>
      <c r="Q698" s="22">
        <f t="shared" si="32"/>
        <v>190220000000</v>
      </c>
      <c r="R698" s="15">
        <v>23.61</v>
      </c>
      <c r="S698" s="16">
        <v>-19.18</v>
      </c>
      <c r="T698" s="15">
        <v>135172221</v>
      </c>
      <c r="U698" s="17">
        <v>46372</v>
      </c>
      <c r="V698" s="15" t="str">
        <f t="shared" si="30"/>
        <v>Complete</v>
      </c>
    </row>
    <row r="699" spans="1:22" ht="14.5" customHeight="1" x14ac:dyDescent="0.35">
      <c r="A699" s="18" t="s">
        <v>7675</v>
      </c>
      <c r="B699" s="18" t="s">
        <v>7562</v>
      </c>
      <c r="C699" s="18" t="s">
        <v>4690</v>
      </c>
      <c r="D699" s="18" t="s">
        <v>4691</v>
      </c>
      <c r="E699" s="18" t="s">
        <v>13</v>
      </c>
      <c r="F699" s="15" t="str">
        <f t="shared" si="31"/>
        <v>Male</v>
      </c>
      <c r="G699" s="18" t="s">
        <v>4692</v>
      </c>
      <c r="H699" s="18" t="s">
        <v>4693</v>
      </c>
      <c r="I699" s="18">
        <v>698</v>
      </c>
      <c r="J699" s="18">
        <v>698</v>
      </c>
      <c r="K699" s="18" t="s">
        <v>5</v>
      </c>
      <c r="L699" s="18" t="s">
        <v>4694</v>
      </c>
      <c r="M699" s="18" t="s">
        <v>4695</v>
      </c>
      <c r="N699" s="18" t="s">
        <v>66</v>
      </c>
      <c r="O699" s="18" t="s">
        <v>422</v>
      </c>
      <c r="P699" s="18" t="s">
        <v>4696</v>
      </c>
      <c r="Q699" s="22">
        <f t="shared" si="32"/>
        <v>1490000000</v>
      </c>
      <c r="R699" s="18">
        <v>1278.67</v>
      </c>
      <c r="S699" s="19">
        <v>-5.07</v>
      </c>
      <c r="T699" s="18">
        <v>51663866</v>
      </c>
      <c r="U699" s="20">
        <v>44011</v>
      </c>
      <c r="V699" s="18" t="str">
        <f t="shared" si="30"/>
        <v>Complete</v>
      </c>
    </row>
    <row r="700" spans="1:22" ht="14.5" customHeight="1" x14ac:dyDescent="0.35">
      <c r="A700" s="15" t="s">
        <v>7676</v>
      </c>
      <c r="B700" s="15" t="s">
        <v>7233</v>
      </c>
      <c r="C700" s="15" t="s">
        <v>4697</v>
      </c>
      <c r="D700" s="15" t="s">
        <v>4698</v>
      </c>
      <c r="E700" s="15" t="s">
        <v>13</v>
      </c>
      <c r="F700" s="15" t="str">
        <f t="shared" si="31"/>
        <v>Male</v>
      </c>
      <c r="G700" s="15" t="s">
        <v>4699</v>
      </c>
      <c r="H700" s="15" t="s">
        <v>4700</v>
      </c>
      <c r="I700" s="15">
        <v>699</v>
      </c>
      <c r="J700" s="15">
        <v>699</v>
      </c>
      <c r="K700" s="15" t="s">
        <v>32</v>
      </c>
      <c r="L700" s="15" t="s">
        <v>4701</v>
      </c>
      <c r="M700" s="15" t="s">
        <v>4702</v>
      </c>
      <c r="N700" s="15" t="s">
        <v>323</v>
      </c>
      <c r="O700" s="15" t="s">
        <v>3426</v>
      </c>
      <c r="P700" s="15" t="s">
        <v>4703</v>
      </c>
      <c r="Q700" s="22">
        <f t="shared" si="32"/>
        <v>3460000000</v>
      </c>
      <c r="R700" s="15">
        <v>931.8</v>
      </c>
      <c r="S700" s="16">
        <v>-19.16</v>
      </c>
      <c r="T700" s="15">
        <v>71940359</v>
      </c>
      <c r="U700" s="17">
        <v>44695</v>
      </c>
      <c r="V700" s="15" t="str">
        <f t="shared" si="30"/>
        <v>Complete</v>
      </c>
    </row>
    <row r="701" spans="1:22" ht="14.5" customHeight="1" x14ac:dyDescent="0.35">
      <c r="A701" s="18" t="s">
        <v>7677</v>
      </c>
      <c r="B701" s="18" t="s">
        <v>6982</v>
      </c>
      <c r="C701" s="18" t="s">
        <v>4704</v>
      </c>
      <c r="D701" s="18" t="s">
        <v>4405</v>
      </c>
      <c r="E701" s="18" t="s">
        <v>2</v>
      </c>
      <c r="F701" s="15" t="str">
        <f t="shared" si="31"/>
        <v>Female</v>
      </c>
      <c r="G701" s="18" t="s">
        <v>4705</v>
      </c>
      <c r="H701" s="18" t="s">
        <v>4706</v>
      </c>
      <c r="I701" s="18">
        <v>700</v>
      </c>
      <c r="J701" s="18">
        <v>700</v>
      </c>
      <c r="K701" s="18" t="s">
        <v>32</v>
      </c>
      <c r="L701" s="18" t="s">
        <v>4707</v>
      </c>
      <c r="M701" s="18" t="s">
        <v>4708</v>
      </c>
      <c r="N701" s="18" t="s">
        <v>99</v>
      </c>
      <c r="O701" s="18" t="s">
        <v>1929</v>
      </c>
      <c r="P701" s="18" t="s">
        <v>4709</v>
      </c>
      <c r="Q701" s="22">
        <f t="shared" si="32"/>
        <v>3750000000</v>
      </c>
      <c r="R701" s="18">
        <v>1157.08</v>
      </c>
      <c r="S701" s="19">
        <v>-0.17</v>
      </c>
      <c r="T701" s="18">
        <v>87369071</v>
      </c>
      <c r="U701" s="20">
        <v>45182</v>
      </c>
      <c r="V701" s="18" t="str">
        <f t="shared" si="30"/>
        <v>Complete</v>
      </c>
    </row>
    <row r="702" spans="1:22" ht="14.5" customHeight="1" x14ac:dyDescent="0.35">
      <c r="A702" s="15" t="s">
        <v>7678</v>
      </c>
      <c r="B702" s="15" t="s">
        <v>7587</v>
      </c>
      <c r="C702" s="15" t="s">
        <v>4710</v>
      </c>
      <c r="D702" s="15" t="s">
        <v>4711</v>
      </c>
      <c r="E702" s="15" t="s">
        <v>52</v>
      </c>
      <c r="F702" s="15" t="str">
        <f t="shared" si="31"/>
        <v>Other</v>
      </c>
      <c r="G702" s="15" t="s">
        <v>4712</v>
      </c>
      <c r="H702" s="15" t="s">
        <v>4713</v>
      </c>
      <c r="I702" s="15">
        <v>701</v>
      </c>
      <c r="J702" s="15">
        <v>701</v>
      </c>
      <c r="K702" s="15" t="s">
        <v>32</v>
      </c>
      <c r="L702" s="15" t="s">
        <v>4714</v>
      </c>
      <c r="M702" s="15" t="s">
        <v>2799</v>
      </c>
      <c r="N702" s="15" t="s">
        <v>48</v>
      </c>
      <c r="O702" s="15" t="s">
        <v>2800</v>
      </c>
      <c r="P702" s="15" t="s">
        <v>4715</v>
      </c>
      <c r="Q702" s="22">
        <f t="shared" si="32"/>
        <v>352640000</v>
      </c>
      <c r="R702" s="15">
        <v>483.92</v>
      </c>
      <c r="S702" s="16">
        <v>16.170000000000002</v>
      </c>
      <c r="T702" s="15">
        <v>175485118</v>
      </c>
      <c r="U702" s="17">
        <v>44983</v>
      </c>
      <c r="V702" s="15" t="str">
        <f t="shared" si="30"/>
        <v>Complete</v>
      </c>
    </row>
    <row r="703" spans="1:22" ht="14.5" customHeight="1" x14ac:dyDescent="0.35">
      <c r="A703" s="18" t="s">
        <v>7679</v>
      </c>
      <c r="B703" s="18" t="s">
        <v>7231</v>
      </c>
      <c r="C703" s="18" t="s">
        <v>4716</v>
      </c>
      <c r="D703" s="18" t="s">
        <v>4717</v>
      </c>
      <c r="E703" s="18" t="s">
        <v>13</v>
      </c>
      <c r="F703" s="15" t="str">
        <f t="shared" si="31"/>
        <v>Male</v>
      </c>
      <c r="G703" s="18" t="s">
        <v>4718</v>
      </c>
      <c r="H703" s="18" t="s">
        <v>4719</v>
      </c>
      <c r="I703" s="18">
        <v>702</v>
      </c>
      <c r="J703" s="18">
        <v>702</v>
      </c>
      <c r="K703" s="18" t="s">
        <v>5</v>
      </c>
      <c r="L703" s="18" t="s">
        <v>4720</v>
      </c>
      <c r="M703" s="18" t="s">
        <v>4721</v>
      </c>
      <c r="N703" s="18" t="s">
        <v>8</v>
      </c>
      <c r="O703" s="18" t="s">
        <v>9</v>
      </c>
      <c r="P703" s="18" t="s">
        <v>2169</v>
      </c>
      <c r="Q703" s="22">
        <f t="shared" si="32"/>
        <v>4170000000</v>
      </c>
      <c r="R703" s="18">
        <v>1877.6</v>
      </c>
      <c r="S703" s="19">
        <v>7.5</v>
      </c>
      <c r="T703" s="18">
        <v>148252651</v>
      </c>
      <c r="U703" s="20">
        <v>44626</v>
      </c>
      <c r="V703" s="18" t="str">
        <f t="shared" si="30"/>
        <v>Complete</v>
      </c>
    </row>
    <row r="704" spans="1:22" ht="14.5" customHeight="1" x14ac:dyDescent="0.35">
      <c r="A704" s="15" t="s">
        <v>7680</v>
      </c>
      <c r="B704" s="15" t="s">
        <v>7681</v>
      </c>
      <c r="C704" s="15" t="s">
        <v>4722</v>
      </c>
      <c r="D704" s="15" t="s">
        <v>4723</v>
      </c>
      <c r="E704" s="15" t="s">
        <v>2</v>
      </c>
      <c r="F704" s="15" t="str">
        <f t="shared" si="31"/>
        <v>Female</v>
      </c>
      <c r="G704" s="15" t="s">
        <v>4724</v>
      </c>
      <c r="H704" s="15" t="s">
        <v>4725</v>
      </c>
      <c r="I704" s="15">
        <v>703</v>
      </c>
      <c r="J704" s="15">
        <v>703</v>
      </c>
      <c r="K704" s="15" t="s">
        <v>32</v>
      </c>
      <c r="L704" s="15" t="s">
        <v>4726</v>
      </c>
      <c r="M704" s="15" t="s">
        <v>4727</v>
      </c>
      <c r="N704" s="15" t="s">
        <v>99</v>
      </c>
      <c r="O704" s="15" t="s">
        <v>135</v>
      </c>
      <c r="P704" s="15" t="s">
        <v>4728</v>
      </c>
      <c r="Q704" s="22">
        <f t="shared" si="32"/>
        <v>1870000000</v>
      </c>
      <c r="R704" s="15">
        <v>217.95</v>
      </c>
      <c r="S704" s="16">
        <v>-18.89</v>
      </c>
      <c r="T704" s="15">
        <v>148989550</v>
      </c>
      <c r="U704" s="17">
        <v>45180</v>
      </c>
      <c r="V704" s="15" t="str">
        <f t="shared" si="30"/>
        <v>Complete</v>
      </c>
    </row>
    <row r="705" spans="1:22" ht="14.5" customHeight="1" x14ac:dyDescent="0.35">
      <c r="A705" s="18" t="s">
        <v>7682</v>
      </c>
      <c r="B705" s="18" t="s">
        <v>7683</v>
      </c>
      <c r="C705" s="18" t="s">
        <v>4729</v>
      </c>
      <c r="D705" s="18" t="s">
        <v>4730</v>
      </c>
      <c r="E705" s="18" t="s">
        <v>13</v>
      </c>
      <c r="F705" s="15" t="str">
        <f t="shared" si="31"/>
        <v>Male</v>
      </c>
      <c r="G705" s="18" t="s">
        <v>4731</v>
      </c>
      <c r="H705" s="18" t="s">
        <v>4732</v>
      </c>
      <c r="I705" s="18">
        <v>704</v>
      </c>
      <c r="J705" s="18">
        <v>704</v>
      </c>
      <c r="K705" s="18" t="s">
        <v>32</v>
      </c>
      <c r="L705" s="18" t="s">
        <v>4733</v>
      </c>
      <c r="M705" s="18" t="s">
        <v>4734</v>
      </c>
      <c r="N705" s="18" t="s">
        <v>8033</v>
      </c>
      <c r="O705" s="18" t="s">
        <v>8033</v>
      </c>
      <c r="P705" s="18" t="s">
        <v>8033</v>
      </c>
      <c r="Q705" s="22">
        <f t="shared" si="32"/>
        <v>0</v>
      </c>
      <c r="R705" s="18">
        <v>394.84</v>
      </c>
      <c r="S705" s="19">
        <v>13.88</v>
      </c>
      <c r="T705" s="18">
        <v>84495632</v>
      </c>
      <c r="U705" s="20">
        <v>44942</v>
      </c>
      <c r="V705" s="18" t="str">
        <f t="shared" si="30"/>
        <v>Missing</v>
      </c>
    </row>
    <row r="706" spans="1:22" ht="14.5" customHeight="1" x14ac:dyDescent="0.35">
      <c r="A706" s="15" t="s">
        <v>7684</v>
      </c>
      <c r="B706" s="15" t="s">
        <v>7405</v>
      </c>
      <c r="C706" s="15" t="s">
        <v>4735</v>
      </c>
      <c r="D706" s="15" t="s">
        <v>4736</v>
      </c>
      <c r="E706" s="15" t="s">
        <v>2</v>
      </c>
      <c r="F706" s="15" t="str">
        <f t="shared" si="31"/>
        <v>Female</v>
      </c>
      <c r="G706" s="15" t="s">
        <v>4737</v>
      </c>
      <c r="H706" s="15" t="s">
        <v>4738</v>
      </c>
      <c r="I706" s="15">
        <v>705</v>
      </c>
      <c r="J706" s="15">
        <v>705</v>
      </c>
      <c r="K706" s="15" t="s">
        <v>32</v>
      </c>
      <c r="L706" s="15" t="s">
        <v>4739</v>
      </c>
      <c r="M706" s="15" t="s">
        <v>4740</v>
      </c>
      <c r="N706" s="15" t="s">
        <v>99</v>
      </c>
      <c r="O706" s="15" t="s">
        <v>762</v>
      </c>
      <c r="P706" s="15" t="s">
        <v>4741</v>
      </c>
      <c r="Q706" s="22">
        <f t="shared" si="32"/>
        <v>340820000</v>
      </c>
      <c r="R706" s="15">
        <v>1237.92</v>
      </c>
      <c r="S706" s="16">
        <v>-7.79</v>
      </c>
      <c r="T706" s="15">
        <v>151184265</v>
      </c>
      <c r="U706" s="17">
        <v>45982</v>
      </c>
      <c r="V706" s="15" t="str">
        <f t="shared" ref="V706:V769" si="33">IF(OR(N:N="n/a", O:O="n/a", P:P="n/a"), "Missing", "Complete")</f>
        <v>Complete</v>
      </c>
    </row>
    <row r="707" spans="1:22" ht="14.5" customHeight="1" x14ac:dyDescent="0.35">
      <c r="A707" s="18" t="s">
        <v>7685</v>
      </c>
      <c r="B707" s="18" t="s">
        <v>6851</v>
      </c>
      <c r="C707" s="18" t="s">
        <v>4742</v>
      </c>
      <c r="D707" s="18" t="s">
        <v>4743</v>
      </c>
      <c r="E707" s="18" t="s">
        <v>13</v>
      </c>
      <c r="F707" s="15" t="str">
        <f t="shared" ref="F707:F770" si="34">IF(OR(E707="female", E707="male"), PROPER(E707), "Other")</f>
        <v>Male</v>
      </c>
      <c r="G707" s="18" t="s">
        <v>4744</v>
      </c>
      <c r="H707" s="18" t="s">
        <v>4745</v>
      </c>
      <c r="I707" s="18">
        <v>706</v>
      </c>
      <c r="J707" s="18">
        <v>706</v>
      </c>
      <c r="K707" s="18" t="s">
        <v>32</v>
      </c>
      <c r="L707" s="18" t="s">
        <v>4746</v>
      </c>
      <c r="M707" s="18" t="s">
        <v>4747</v>
      </c>
      <c r="N707" s="18" t="s">
        <v>99</v>
      </c>
      <c r="O707" s="18" t="s">
        <v>100</v>
      </c>
      <c r="P707" s="18" t="s">
        <v>4748</v>
      </c>
      <c r="Q707" s="22">
        <f t="shared" ref="Q707:Q770" si="35">IF(P707="n/a", 0, IF(RIGHT(P707, 1)="B", VALUE(MID(P707, 2, LEN(P707)-2)*1000000000), VALUE(MID(P707, 2, LEN(P707)-2)*1000000)))</f>
        <v>4370000000</v>
      </c>
      <c r="R707" s="18">
        <v>1468.12</v>
      </c>
      <c r="S707" s="19">
        <v>-15.32</v>
      </c>
      <c r="T707" s="18">
        <v>120612582</v>
      </c>
      <c r="U707" s="20">
        <v>44641</v>
      </c>
      <c r="V707" s="18" t="str">
        <f t="shared" si="33"/>
        <v>Complete</v>
      </c>
    </row>
    <row r="708" spans="1:22" ht="14.5" customHeight="1" x14ac:dyDescent="0.35">
      <c r="A708" s="15" t="s">
        <v>7686</v>
      </c>
      <c r="B708" s="15" t="s">
        <v>6617</v>
      </c>
      <c r="C708" s="15" t="s">
        <v>4232</v>
      </c>
      <c r="D708" s="15" t="s">
        <v>4749</v>
      </c>
      <c r="E708" s="15" t="s">
        <v>13</v>
      </c>
      <c r="F708" s="15" t="str">
        <f t="shared" si="34"/>
        <v>Male</v>
      </c>
      <c r="G708" s="15" t="s">
        <v>4750</v>
      </c>
      <c r="H708" s="15" t="s">
        <v>4751</v>
      </c>
      <c r="I708" s="15">
        <v>707</v>
      </c>
      <c r="J708" s="15">
        <v>707</v>
      </c>
      <c r="K708" s="15" t="s">
        <v>5</v>
      </c>
      <c r="L708" s="15" t="s">
        <v>4752</v>
      </c>
      <c r="M708" s="15" t="s">
        <v>4753</v>
      </c>
      <c r="N708" s="15" t="s">
        <v>8033</v>
      </c>
      <c r="O708" s="15" t="s">
        <v>8033</v>
      </c>
      <c r="P708" s="15" t="s">
        <v>4754</v>
      </c>
      <c r="Q708" s="22">
        <f t="shared" si="35"/>
        <v>122510000</v>
      </c>
      <c r="R708" s="15">
        <v>1466.61</v>
      </c>
      <c r="S708" s="16">
        <v>-14.59</v>
      </c>
      <c r="T708" s="15">
        <v>42267894</v>
      </c>
      <c r="U708" s="17">
        <v>45306</v>
      </c>
      <c r="V708" s="15" t="str">
        <f t="shared" si="33"/>
        <v>Missing</v>
      </c>
    </row>
    <row r="709" spans="1:22" ht="14.5" customHeight="1" x14ac:dyDescent="0.35">
      <c r="A709" s="18" t="s">
        <v>7687</v>
      </c>
      <c r="B709" s="18" t="s">
        <v>7574</v>
      </c>
      <c r="C709" s="18" t="s">
        <v>4755</v>
      </c>
      <c r="D709" s="18" t="s">
        <v>4756</v>
      </c>
      <c r="E709" s="18" t="s">
        <v>2</v>
      </c>
      <c r="F709" s="15" t="str">
        <f t="shared" si="34"/>
        <v>Female</v>
      </c>
      <c r="G709" s="18" t="s">
        <v>4757</v>
      </c>
      <c r="H709" s="18" t="s">
        <v>4758</v>
      </c>
      <c r="I709" s="18">
        <v>708</v>
      </c>
      <c r="J709" s="18">
        <v>708</v>
      </c>
      <c r="K709" s="18" t="s">
        <v>5</v>
      </c>
      <c r="L709" s="18" t="s">
        <v>4759</v>
      </c>
      <c r="M709" s="18" t="s">
        <v>4760</v>
      </c>
      <c r="N709" s="18" t="s">
        <v>48</v>
      </c>
      <c r="O709" s="18" t="s">
        <v>57</v>
      </c>
      <c r="P709" s="18" t="s">
        <v>4761</v>
      </c>
      <c r="Q709" s="22">
        <f t="shared" si="35"/>
        <v>2800000000</v>
      </c>
      <c r="R709" s="18">
        <v>247.35</v>
      </c>
      <c r="S709" s="19">
        <v>3.34</v>
      </c>
      <c r="T709" s="18">
        <v>80258598</v>
      </c>
      <c r="U709" s="20">
        <v>46059</v>
      </c>
      <c r="V709" s="18" t="str">
        <f t="shared" si="33"/>
        <v>Complete</v>
      </c>
    </row>
    <row r="710" spans="1:22" ht="14.5" customHeight="1" x14ac:dyDescent="0.35">
      <c r="A710" s="15" t="s">
        <v>7688</v>
      </c>
      <c r="B710" s="15" t="s">
        <v>7597</v>
      </c>
      <c r="C710" s="15" t="s">
        <v>4762</v>
      </c>
      <c r="D710" s="15" t="s">
        <v>4763</v>
      </c>
      <c r="E710" s="15" t="s">
        <v>13</v>
      </c>
      <c r="F710" s="15" t="str">
        <f t="shared" si="34"/>
        <v>Male</v>
      </c>
      <c r="G710" s="15" t="s">
        <v>4764</v>
      </c>
      <c r="H710" s="15" t="s">
        <v>4765</v>
      </c>
      <c r="I710" s="15">
        <v>709</v>
      </c>
      <c r="J710" s="15">
        <v>709</v>
      </c>
      <c r="K710" s="15" t="s">
        <v>32</v>
      </c>
      <c r="L710" s="15" t="s">
        <v>4766</v>
      </c>
      <c r="M710" s="15" t="s">
        <v>4767</v>
      </c>
      <c r="N710" s="15" t="s">
        <v>25</v>
      </c>
      <c r="O710" s="15" t="s">
        <v>324</v>
      </c>
      <c r="P710" s="15" t="s">
        <v>4768</v>
      </c>
      <c r="Q710" s="22">
        <f t="shared" si="35"/>
        <v>14090000000</v>
      </c>
      <c r="R710" s="15">
        <v>1285.1400000000001</v>
      </c>
      <c r="S710" s="16">
        <v>-1.84</v>
      </c>
      <c r="T710" s="15">
        <v>125142117</v>
      </c>
      <c r="U710" s="17">
        <v>44678</v>
      </c>
      <c r="V710" s="15" t="str">
        <f t="shared" si="33"/>
        <v>Complete</v>
      </c>
    </row>
    <row r="711" spans="1:22" ht="14.5" customHeight="1" x14ac:dyDescent="0.35">
      <c r="A711" s="18" t="s">
        <v>7689</v>
      </c>
      <c r="B711" s="18" t="s">
        <v>7233</v>
      </c>
      <c r="C711" s="18" t="s">
        <v>4769</v>
      </c>
      <c r="D711" s="18" t="s">
        <v>4770</v>
      </c>
      <c r="E711" s="18" t="s">
        <v>13</v>
      </c>
      <c r="F711" s="15" t="str">
        <f t="shared" si="34"/>
        <v>Male</v>
      </c>
      <c r="G711" s="18" t="s">
        <v>4771</v>
      </c>
      <c r="H711" s="18" t="s">
        <v>4772</v>
      </c>
      <c r="I711" s="18">
        <v>710</v>
      </c>
      <c r="J711" s="18">
        <v>710</v>
      </c>
      <c r="K711" s="18" t="s">
        <v>5</v>
      </c>
      <c r="L711" s="18" t="s">
        <v>4773</v>
      </c>
      <c r="M711" s="18" t="s">
        <v>4774</v>
      </c>
      <c r="N711" s="18" t="s">
        <v>99</v>
      </c>
      <c r="O711" s="18" t="s">
        <v>380</v>
      </c>
      <c r="P711" s="18" t="s">
        <v>4775</v>
      </c>
      <c r="Q711" s="22">
        <f t="shared" si="35"/>
        <v>63950000</v>
      </c>
      <c r="R711" s="18">
        <v>932.9</v>
      </c>
      <c r="S711" s="19">
        <v>-16.47</v>
      </c>
      <c r="T711" s="18">
        <v>145596926</v>
      </c>
      <c r="U711" s="20">
        <v>46296</v>
      </c>
      <c r="V711" s="18" t="str">
        <f t="shared" si="33"/>
        <v>Complete</v>
      </c>
    </row>
    <row r="712" spans="1:22" ht="14.5" customHeight="1" x14ac:dyDescent="0.35">
      <c r="A712" s="15" t="s">
        <v>7690</v>
      </c>
      <c r="B712" s="15" t="s">
        <v>7078</v>
      </c>
      <c r="C712" s="15" t="s">
        <v>4776</v>
      </c>
      <c r="D712" s="15" t="s">
        <v>4777</v>
      </c>
      <c r="E712" s="15" t="s">
        <v>13</v>
      </c>
      <c r="F712" s="15" t="str">
        <f t="shared" si="34"/>
        <v>Male</v>
      </c>
      <c r="G712" s="15" t="s">
        <v>4778</v>
      </c>
      <c r="H712" s="15" t="s">
        <v>4779</v>
      </c>
      <c r="I712" s="15">
        <v>711</v>
      </c>
      <c r="J712" s="15">
        <v>711</v>
      </c>
      <c r="K712" s="15" t="s">
        <v>32</v>
      </c>
      <c r="L712" s="15" t="s">
        <v>4780</v>
      </c>
      <c r="M712" s="15" t="s">
        <v>4781</v>
      </c>
      <c r="N712" s="15" t="s">
        <v>48</v>
      </c>
      <c r="O712" s="15" t="s">
        <v>669</v>
      </c>
      <c r="P712" s="15" t="s">
        <v>4782</v>
      </c>
      <c r="Q712" s="22">
        <f t="shared" si="35"/>
        <v>896380000</v>
      </c>
      <c r="R712" s="15">
        <v>1009.2</v>
      </c>
      <c r="S712" s="16">
        <v>4.1399999999999997</v>
      </c>
      <c r="T712" s="15">
        <v>139637693</v>
      </c>
      <c r="U712" s="17">
        <v>44781</v>
      </c>
      <c r="V712" s="15" t="str">
        <f t="shared" si="33"/>
        <v>Complete</v>
      </c>
    </row>
    <row r="713" spans="1:22" ht="14.5" customHeight="1" x14ac:dyDescent="0.35">
      <c r="A713" s="18" t="s">
        <v>7691</v>
      </c>
      <c r="B713" s="18" t="s">
        <v>7069</v>
      </c>
      <c r="C713" s="18" t="s">
        <v>4783</v>
      </c>
      <c r="D713" s="18" t="s">
        <v>4784</v>
      </c>
      <c r="E713" s="18" t="s">
        <v>13</v>
      </c>
      <c r="F713" s="15" t="str">
        <f t="shared" si="34"/>
        <v>Male</v>
      </c>
      <c r="G713" s="18" t="s">
        <v>4785</v>
      </c>
      <c r="H713" s="18" t="s">
        <v>4786</v>
      </c>
      <c r="I713" s="18">
        <v>712</v>
      </c>
      <c r="J713" s="18">
        <v>712</v>
      </c>
      <c r="K713" s="18" t="s">
        <v>5</v>
      </c>
      <c r="L713" s="18" t="s">
        <v>4787</v>
      </c>
      <c r="M713" s="18" t="s">
        <v>4788</v>
      </c>
      <c r="N713" s="18" t="s">
        <v>99</v>
      </c>
      <c r="O713" s="18" t="s">
        <v>2604</v>
      </c>
      <c r="P713" s="18" t="s">
        <v>4789</v>
      </c>
      <c r="Q713" s="22">
        <f t="shared" si="35"/>
        <v>30310000</v>
      </c>
      <c r="R713" s="18">
        <v>581.98</v>
      </c>
      <c r="S713" s="19">
        <v>17.62</v>
      </c>
      <c r="T713" s="18">
        <v>64942562</v>
      </c>
      <c r="U713" s="20">
        <v>44317</v>
      </c>
      <c r="V713" s="18" t="str">
        <f t="shared" si="33"/>
        <v>Complete</v>
      </c>
    </row>
    <row r="714" spans="1:22" ht="14.5" customHeight="1" x14ac:dyDescent="0.35">
      <c r="A714" s="15" t="s">
        <v>7692</v>
      </c>
      <c r="B714" s="15" t="s">
        <v>7094</v>
      </c>
      <c r="C714" s="15" t="s">
        <v>4790</v>
      </c>
      <c r="D714" s="15" t="s">
        <v>4791</v>
      </c>
      <c r="E714" s="15" t="s">
        <v>2</v>
      </c>
      <c r="F714" s="15" t="str">
        <f t="shared" si="34"/>
        <v>Female</v>
      </c>
      <c r="G714" s="15" t="s">
        <v>4792</v>
      </c>
      <c r="H714" s="15" t="s">
        <v>4793</v>
      </c>
      <c r="I714" s="15">
        <v>713</v>
      </c>
      <c r="J714" s="15">
        <v>713</v>
      </c>
      <c r="K714" s="15" t="s">
        <v>32</v>
      </c>
      <c r="L714" s="15" t="s">
        <v>4794</v>
      </c>
      <c r="M714" s="15" t="s">
        <v>4795</v>
      </c>
      <c r="N714" s="15" t="s">
        <v>8033</v>
      </c>
      <c r="O714" s="15" t="s">
        <v>8033</v>
      </c>
      <c r="P714" s="15" t="s">
        <v>8033</v>
      </c>
      <c r="Q714" s="22">
        <f t="shared" si="35"/>
        <v>0</v>
      </c>
      <c r="R714" s="15">
        <v>1189.57</v>
      </c>
      <c r="S714" s="16">
        <v>0.03</v>
      </c>
      <c r="T714" s="15">
        <v>56261567</v>
      </c>
      <c r="U714" s="17">
        <v>45431</v>
      </c>
      <c r="V714" s="15" t="str">
        <f t="shared" si="33"/>
        <v>Missing</v>
      </c>
    </row>
    <row r="715" spans="1:22" ht="14.5" customHeight="1" x14ac:dyDescent="0.35">
      <c r="A715" s="18" t="s">
        <v>7693</v>
      </c>
      <c r="B715" s="18" t="s">
        <v>7694</v>
      </c>
      <c r="C715" s="18" t="s">
        <v>4796</v>
      </c>
      <c r="D715" s="18" t="s">
        <v>4797</v>
      </c>
      <c r="E715" s="18" t="s">
        <v>2</v>
      </c>
      <c r="F715" s="15" t="str">
        <f t="shared" si="34"/>
        <v>Female</v>
      </c>
      <c r="G715" s="18" t="s">
        <v>4798</v>
      </c>
      <c r="H715" s="18" t="s">
        <v>4799</v>
      </c>
      <c r="I715" s="18">
        <v>714</v>
      </c>
      <c r="J715" s="18">
        <v>714</v>
      </c>
      <c r="K715" s="18" t="s">
        <v>5</v>
      </c>
      <c r="L715" s="18" t="s">
        <v>4800</v>
      </c>
      <c r="M715" s="18" t="s">
        <v>4801</v>
      </c>
      <c r="N715" s="18" t="s">
        <v>90</v>
      </c>
      <c r="O715" s="18" t="s">
        <v>4802</v>
      </c>
      <c r="P715" s="18" t="s">
        <v>4803</v>
      </c>
      <c r="Q715" s="22">
        <f t="shared" si="35"/>
        <v>68380000</v>
      </c>
      <c r="R715" s="18">
        <v>1855.67</v>
      </c>
      <c r="S715" s="19">
        <v>8.9</v>
      </c>
      <c r="T715" s="18">
        <v>149047114</v>
      </c>
      <c r="U715" s="20">
        <v>45694</v>
      </c>
      <c r="V715" s="18" t="str">
        <f t="shared" si="33"/>
        <v>Complete</v>
      </c>
    </row>
    <row r="716" spans="1:22" ht="14.5" customHeight="1" x14ac:dyDescent="0.35">
      <c r="A716" s="15" t="s">
        <v>7695</v>
      </c>
      <c r="B716" s="15" t="s">
        <v>7398</v>
      </c>
      <c r="C716" s="15" t="s">
        <v>510</v>
      </c>
      <c r="D716" s="15" t="s">
        <v>4804</v>
      </c>
      <c r="E716" s="15" t="s">
        <v>13</v>
      </c>
      <c r="F716" s="15" t="str">
        <f t="shared" si="34"/>
        <v>Male</v>
      </c>
      <c r="G716" s="15" t="s">
        <v>4805</v>
      </c>
      <c r="H716" s="15" t="s">
        <v>4806</v>
      </c>
      <c r="I716" s="15">
        <v>715</v>
      </c>
      <c r="J716" s="15">
        <v>715</v>
      </c>
      <c r="K716" s="15" t="s">
        <v>32</v>
      </c>
      <c r="L716" s="15" t="s">
        <v>4807</v>
      </c>
      <c r="M716" s="15" t="s">
        <v>4808</v>
      </c>
      <c r="N716" s="15" t="s">
        <v>99</v>
      </c>
      <c r="O716" s="15" t="s">
        <v>100</v>
      </c>
      <c r="P716" s="15" t="s">
        <v>2302</v>
      </c>
      <c r="Q716" s="22">
        <f t="shared" si="35"/>
        <v>1530000000</v>
      </c>
      <c r="R716" s="15">
        <v>147.33000000000001</v>
      </c>
      <c r="S716" s="16">
        <v>-4.97</v>
      </c>
      <c r="T716" s="15">
        <v>142813131</v>
      </c>
      <c r="U716" s="17">
        <v>45632</v>
      </c>
      <c r="V716" s="15" t="str">
        <f t="shared" si="33"/>
        <v>Complete</v>
      </c>
    </row>
    <row r="717" spans="1:22" ht="14.5" customHeight="1" x14ac:dyDescent="0.35">
      <c r="A717" s="18" t="s">
        <v>7696</v>
      </c>
      <c r="B717" s="18" t="s">
        <v>7697</v>
      </c>
      <c r="C717" s="18" t="s">
        <v>4809</v>
      </c>
      <c r="D717" s="18" t="s">
        <v>4810</v>
      </c>
      <c r="E717" s="18" t="s">
        <v>2</v>
      </c>
      <c r="F717" s="15" t="str">
        <f t="shared" si="34"/>
        <v>Female</v>
      </c>
      <c r="G717" s="18" t="s">
        <v>4811</v>
      </c>
      <c r="H717" s="18" t="s">
        <v>4812</v>
      </c>
      <c r="I717" s="18">
        <v>716</v>
      </c>
      <c r="J717" s="18">
        <v>716</v>
      </c>
      <c r="K717" s="18" t="s">
        <v>32</v>
      </c>
      <c r="L717" s="18" t="s">
        <v>4813</v>
      </c>
      <c r="M717" s="18" t="s">
        <v>4814</v>
      </c>
      <c r="N717" s="18" t="s">
        <v>8</v>
      </c>
      <c r="O717" s="18" t="s">
        <v>9</v>
      </c>
      <c r="P717" s="18" t="s">
        <v>4815</v>
      </c>
      <c r="Q717" s="22">
        <f t="shared" si="35"/>
        <v>31410000000</v>
      </c>
      <c r="R717" s="18">
        <v>359.02</v>
      </c>
      <c r="S717" s="19">
        <v>15.26</v>
      </c>
      <c r="T717" s="18">
        <v>185827710</v>
      </c>
      <c r="U717" s="20">
        <v>44522</v>
      </c>
      <c r="V717" s="18" t="str">
        <f t="shared" si="33"/>
        <v>Complete</v>
      </c>
    </row>
    <row r="718" spans="1:22" ht="14.5" customHeight="1" x14ac:dyDescent="0.35">
      <c r="A718" s="15" t="s">
        <v>7698</v>
      </c>
      <c r="B718" s="15" t="s">
        <v>7625</v>
      </c>
      <c r="C718" s="15" t="s">
        <v>4816</v>
      </c>
      <c r="D718" s="15" t="s">
        <v>4817</v>
      </c>
      <c r="E718" s="15" t="s">
        <v>13</v>
      </c>
      <c r="F718" s="15" t="str">
        <f t="shared" si="34"/>
        <v>Male</v>
      </c>
      <c r="G718" s="15" t="s">
        <v>4818</v>
      </c>
      <c r="H718" s="15" t="s">
        <v>4819</v>
      </c>
      <c r="I718" s="15">
        <v>717</v>
      </c>
      <c r="J718" s="15">
        <v>717</v>
      </c>
      <c r="K718" s="15" t="s">
        <v>32</v>
      </c>
      <c r="L718" s="15" t="s">
        <v>4820</v>
      </c>
      <c r="M718" s="15" t="s">
        <v>4821</v>
      </c>
      <c r="N718" s="15" t="s">
        <v>189</v>
      </c>
      <c r="O718" s="15" t="s">
        <v>1325</v>
      </c>
      <c r="P718" s="15" t="s">
        <v>4822</v>
      </c>
      <c r="Q718" s="22">
        <f t="shared" si="35"/>
        <v>1990000000</v>
      </c>
      <c r="R718" s="15">
        <v>1383.91</v>
      </c>
      <c r="S718" s="16">
        <v>-1.99</v>
      </c>
      <c r="T718" s="15">
        <v>49224057</v>
      </c>
      <c r="U718" s="17">
        <v>45615</v>
      </c>
      <c r="V718" s="15" t="str">
        <f t="shared" si="33"/>
        <v>Complete</v>
      </c>
    </row>
    <row r="719" spans="1:22" ht="14.5" customHeight="1" x14ac:dyDescent="0.35">
      <c r="A719" s="18" t="s">
        <v>7699</v>
      </c>
      <c r="B719" s="18" t="s">
        <v>6741</v>
      </c>
      <c r="C719" s="18" t="s">
        <v>4823</v>
      </c>
      <c r="D719" s="18" t="s">
        <v>4824</v>
      </c>
      <c r="E719" s="18" t="s">
        <v>13</v>
      </c>
      <c r="F719" s="15" t="str">
        <f t="shared" si="34"/>
        <v>Male</v>
      </c>
      <c r="G719" s="18" t="s">
        <v>4825</v>
      </c>
      <c r="H719" s="18" t="s">
        <v>4826</v>
      </c>
      <c r="I719" s="18">
        <v>718</v>
      </c>
      <c r="J719" s="18">
        <v>718</v>
      </c>
      <c r="K719" s="18" t="s">
        <v>5</v>
      </c>
      <c r="L719" s="18" t="s">
        <v>1857</v>
      </c>
      <c r="M719" s="18" t="s">
        <v>1858</v>
      </c>
      <c r="N719" s="18" t="s">
        <v>66</v>
      </c>
      <c r="O719" s="18" t="s">
        <v>1859</v>
      </c>
      <c r="P719" s="18" t="s">
        <v>1860</v>
      </c>
      <c r="Q719" s="22">
        <f t="shared" si="35"/>
        <v>737250000</v>
      </c>
      <c r="R719" s="18">
        <v>577.94000000000005</v>
      </c>
      <c r="S719" s="19">
        <v>11.44</v>
      </c>
      <c r="T719" s="18">
        <v>87514351</v>
      </c>
      <c r="U719" s="20">
        <v>45562</v>
      </c>
      <c r="V719" s="18" t="str">
        <f t="shared" si="33"/>
        <v>Complete</v>
      </c>
    </row>
    <row r="720" spans="1:22" ht="14.5" customHeight="1" x14ac:dyDescent="0.35">
      <c r="A720" s="15" t="s">
        <v>7700</v>
      </c>
      <c r="B720" s="15" t="s">
        <v>7158</v>
      </c>
      <c r="C720" s="15" t="s">
        <v>4827</v>
      </c>
      <c r="D720" s="15" t="s">
        <v>4828</v>
      </c>
      <c r="E720" s="15" t="s">
        <v>2</v>
      </c>
      <c r="F720" s="15" t="str">
        <f t="shared" si="34"/>
        <v>Female</v>
      </c>
      <c r="G720" s="15" t="s">
        <v>4829</v>
      </c>
      <c r="H720" s="15" t="s">
        <v>4830</v>
      </c>
      <c r="I720" s="15">
        <v>719</v>
      </c>
      <c r="J720" s="15">
        <v>719</v>
      </c>
      <c r="K720" s="15" t="s">
        <v>32</v>
      </c>
      <c r="L720" s="15" t="s">
        <v>4831</v>
      </c>
      <c r="M720" s="15" t="s">
        <v>4832</v>
      </c>
      <c r="N720" s="15" t="s">
        <v>142</v>
      </c>
      <c r="O720" s="15" t="s">
        <v>2454</v>
      </c>
      <c r="P720" s="15" t="s">
        <v>4833</v>
      </c>
      <c r="Q720" s="22">
        <f t="shared" si="35"/>
        <v>5100000000</v>
      </c>
      <c r="R720" s="15">
        <v>113.83</v>
      </c>
      <c r="S720" s="16">
        <v>16.920000000000002</v>
      </c>
      <c r="T720" s="15">
        <v>129506080</v>
      </c>
      <c r="U720" s="17">
        <v>45393</v>
      </c>
      <c r="V720" s="15" t="str">
        <f t="shared" si="33"/>
        <v>Complete</v>
      </c>
    </row>
    <row r="721" spans="1:22" ht="14.5" customHeight="1" x14ac:dyDescent="0.35">
      <c r="A721" s="18" t="s">
        <v>7701</v>
      </c>
      <c r="B721" s="18" t="s">
        <v>7702</v>
      </c>
      <c r="C721" s="18" t="s">
        <v>4328</v>
      </c>
      <c r="D721" s="18" t="s">
        <v>4834</v>
      </c>
      <c r="E721" s="18" t="s">
        <v>2</v>
      </c>
      <c r="F721" s="15" t="str">
        <f t="shared" si="34"/>
        <v>Female</v>
      </c>
      <c r="G721" s="18" t="s">
        <v>4835</v>
      </c>
      <c r="H721" s="18" t="s">
        <v>4836</v>
      </c>
      <c r="I721" s="18">
        <v>720</v>
      </c>
      <c r="J721" s="18">
        <v>720</v>
      </c>
      <c r="K721" s="18" t="s">
        <v>32</v>
      </c>
      <c r="L721" s="18" t="s">
        <v>4837</v>
      </c>
      <c r="M721" s="18" t="s">
        <v>4838</v>
      </c>
      <c r="N721" s="18" t="s">
        <v>48</v>
      </c>
      <c r="O721" s="18" t="s">
        <v>484</v>
      </c>
      <c r="P721" s="18" t="s">
        <v>3486</v>
      </c>
      <c r="Q721" s="22">
        <f t="shared" si="35"/>
        <v>2060000000</v>
      </c>
      <c r="R721" s="18">
        <v>1781.22</v>
      </c>
      <c r="S721" s="19">
        <v>0.31</v>
      </c>
      <c r="T721" s="18">
        <v>51528520</v>
      </c>
      <c r="U721" s="20">
        <v>45486</v>
      </c>
      <c r="V721" s="18" t="str">
        <f t="shared" si="33"/>
        <v>Complete</v>
      </c>
    </row>
    <row r="722" spans="1:22" ht="14.5" customHeight="1" x14ac:dyDescent="0.35">
      <c r="A722" s="15" t="s">
        <v>7703</v>
      </c>
      <c r="B722" s="15" t="s">
        <v>7044</v>
      </c>
      <c r="C722" s="15" t="s">
        <v>4839</v>
      </c>
      <c r="D722" s="15" t="s">
        <v>4840</v>
      </c>
      <c r="E722" s="15" t="s">
        <v>13</v>
      </c>
      <c r="F722" s="15" t="str">
        <f t="shared" si="34"/>
        <v>Male</v>
      </c>
      <c r="G722" s="15" t="s">
        <v>4841</v>
      </c>
      <c r="H722" s="15" t="s">
        <v>4842</v>
      </c>
      <c r="I722" s="15">
        <v>721</v>
      </c>
      <c r="J722" s="15">
        <v>721</v>
      </c>
      <c r="K722" s="15" t="s">
        <v>5</v>
      </c>
      <c r="L722" s="15" t="s">
        <v>4843</v>
      </c>
      <c r="M722" s="15" t="s">
        <v>4844</v>
      </c>
      <c r="N722" s="15" t="s">
        <v>142</v>
      </c>
      <c r="O722" s="15" t="s">
        <v>143</v>
      </c>
      <c r="P722" s="15" t="s">
        <v>3204</v>
      </c>
      <c r="Q722" s="22">
        <f t="shared" si="35"/>
        <v>92420000</v>
      </c>
      <c r="R722" s="15">
        <v>1009.09</v>
      </c>
      <c r="S722" s="16">
        <v>8.66</v>
      </c>
      <c r="T722" s="15">
        <v>101955660</v>
      </c>
      <c r="U722" s="17">
        <v>45228</v>
      </c>
      <c r="V722" s="15" t="str">
        <f t="shared" si="33"/>
        <v>Complete</v>
      </c>
    </row>
    <row r="723" spans="1:22" ht="14.5" customHeight="1" x14ac:dyDescent="0.35">
      <c r="A723" s="18" t="s">
        <v>7704</v>
      </c>
      <c r="B723" s="18" t="s">
        <v>7569</v>
      </c>
      <c r="C723" s="18" t="s">
        <v>4845</v>
      </c>
      <c r="D723" s="18" t="s">
        <v>4846</v>
      </c>
      <c r="E723" s="18" t="s">
        <v>13</v>
      </c>
      <c r="F723" s="15" t="str">
        <f t="shared" si="34"/>
        <v>Male</v>
      </c>
      <c r="G723" s="18" t="s">
        <v>4847</v>
      </c>
      <c r="H723" s="18" t="s">
        <v>4848</v>
      </c>
      <c r="I723" s="18">
        <v>722</v>
      </c>
      <c r="J723" s="18">
        <v>722</v>
      </c>
      <c r="K723" s="18" t="s">
        <v>32</v>
      </c>
      <c r="L723" s="18" t="s">
        <v>4849</v>
      </c>
      <c r="M723" s="18" t="s">
        <v>3362</v>
      </c>
      <c r="N723" s="18" t="s">
        <v>8033</v>
      </c>
      <c r="O723" s="18" t="s">
        <v>8033</v>
      </c>
      <c r="P723" s="18" t="s">
        <v>8033</v>
      </c>
      <c r="Q723" s="22">
        <f t="shared" si="35"/>
        <v>0</v>
      </c>
      <c r="R723" s="18">
        <v>1820.6</v>
      </c>
      <c r="S723" s="19">
        <v>10.7</v>
      </c>
      <c r="T723" s="18">
        <v>119191930</v>
      </c>
      <c r="U723" s="20">
        <v>44892</v>
      </c>
      <c r="V723" s="18" t="str">
        <f t="shared" si="33"/>
        <v>Missing</v>
      </c>
    </row>
    <row r="724" spans="1:22" ht="14.5" customHeight="1" x14ac:dyDescent="0.35">
      <c r="A724" s="15" t="s">
        <v>7705</v>
      </c>
      <c r="B724" s="15" t="s">
        <v>7706</v>
      </c>
      <c r="C724" s="15" t="s">
        <v>4850</v>
      </c>
      <c r="D724" s="15" t="s">
        <v>4851</v>
      </c>
      <c r="E724" s="15" t="s">
        <v>2</v>
      </c>
      <c r="F724" s="15" t="str">
        <f t="shared" si="34"/>
        <v>Female</v>
      </c>
      <c r="G724" s="15" t="s">
        <v>4852</v>
      </c>
      <c r="H724" s="15" t="s">
        <v>4853</v>
      </c>
      <c r="I724" s="15">
        <v>723</v>
      </c>
      <c r="J724" s="15">
        <v>723</v>
      </c>
      <c r="K724" s="15" t="s">
        <v>32</v>
      </c>
      <c r="L724" s="15" t="s">
        <v>4854</v>
      </c>
      <c r="M724" s="15" t="s">
        <v>4855</v>
      </c>
      <c r="N724" s="15" t="s">
        <v>25</v>
      </c>
      <c r="O724" s="15" t="s">
        <v>613</v>
      </c>
      <c r="P724" s="15" t="s">
        <v>4856</v>
      </c>
      <c r="Q724" s="22">
        <f t="shared" si="35"/>
        <v>1080000000</v>
      </c>
      <c r="R724" s="15">
        <v>446.17</v>
      </c>
      <c r="S724" s="16">
        <v>15.74</v>
      </c>
      <c r="T724" s="15">
        <v>7677231</v>
      </c>
      <c r="U724" s="17">
        <v>45365</v>
      </c>
      <c r="V724" s="15" t="str">
        <f t="shared" si="33"/>
        <v>Complete</v>
      </c>
    </row>
    <row r="725" spans="1:22" ht="14.5" customHeight="1" x14ac:dyDescent="0.35">
      <c r="A725" s="18" t="s">
        <v>7707</v>
      </c>
      <c r="B725" s="18" t="s">
        <v>6674</v>
      </c>
      <c r="C725" s="18" t="s">
        <v>4857</v>
      </c>
      <c r="D725" s="18" t="s">
        <v>4858</v>
      </c>
      <c r="E725" s="18" t="s">
        <v>13</v>
      </c>
      <c r="F725" s="15" t="str">
        <f t="shared" si="34"/>
        <v>Male</v>
      </c>
      <c r="G725" s="18" t="s">
        <v>4859</v>
      </c>
      <c r="H725" s="18" t="s">
        <v>4860</v>
      </c>
      <c r="I725" s="18">
        <v>724</v>
      </c>
      <c r="J725" s="18">
        <v>724</v>
      </c>
      <c r="K725" s="18" t="s">
        <v>32</v>
      </c>
      <c r="L725" s="18" t="s">
        <v>4861</v>
      </c>
      <c r="M725" s="18" t="s">
        <v>4862</v>
      </c>
      <c r="N725" s="18" t="s">
        <v>99</v>
      </c>
      <c r="O725" s="18" t="s">
        <v>3397</v>
      </c>
      <c r="P725" s="18" t="s">
        <v>4863</v>
      </c>
      <c r="Q725" s="22">
        <f t="shared" si="35"/>
        <v>3260000000</v>
      </c>
      <c r="R725" s="18">
        <v>1686.93</v>
      </c>
      <c r="S725" s="19">
        <v>7.79</v>
      </c>
      <c r="T725" s="18">
        <v>4071570</v>
      </c>
      <c r="U725" s="20">
        <v>43941</v>
      </c>
      <c r="V725" s="18" t="str">
        <f t="shared" si="33"/>
        <v>Complete</v>
      </c>
    </row>
    <row r="726" spans="1:22" ht="14.5" customHeight="1" x14ac:dyDescent="0.35">
      <c r="A726" s="15" t="s">
        <v>7708</v>
      </c>
      <c r="B726" s="15" t="s">
        <v>7709</v>
      </c>
      <c r="C726" s="15" t="s">
        <v>4864</v>
      </c>
      <c r="D726" s="15" t="s">
        <v>4865</v>
      </c>
      <c r="E726" s="15" t="s">
        <v>2</v>
      </c>
      <c r="F726" s="15" t="str">
        <f t="shared" si="34"/>
        <v>Female</v>
      </c>
      <c r="G726" s="15" t="s">
        <v>4866</v>
      </c>
      <c r="H726" s="15" t="s">
        <v>4867</v>
      </c>
      <c r="I726" s="15">
        <v>725</v>
      </c>
      <c r="J726" s="15">
        <v>725</v>
      </c>
      <c r="K726" s="15" t="s">
        <v>5</v>
      </c>
      <c r="L726" s="15" t="s">
        <v>4868</v>
      </c>
      <c r="M726" s="15" t="s">
        <v>4869</v>
      </c>
      <c r="N726" s="15" t="s">
        <v>8</v>
      </c>
      <c r="O726" s="15" t="s">
        <v>9</v>
      </c>
      <c r="P726" s="15" t="s">
        <v>4870</v>
      </c>
      <c r="Q726" s="22">
        <f t="shared" si="35"/>
        <v>592240000</v>
      </c>
      <c r="R726" s="15">
        <v>416.92</v>
      </c>
      <c r="S726" s="16">
        <v>3.55</v>
      </c>
      <c r="T726" s="15">
        <v>104051982</v>
      </c>
      <c r="U726" s="17">
        <v>44819</v>
      </c>
      <c r="V726" s="15" t="str">
        <f t="shared" si="33"/>
        <v>Complete</v>
      </c>
    </row>
    <row r="727" spans="1:22" ht="14.5" customHeight="1" x14ac:dyDescent="0.35">
      <c r="A727" s="18" t="s">
        <v>7710</v>
      </c>
      <c r="B727" s="18" t="s">
        <v>6758</v>
      </c>
      <c r="C727" s="18" t="s">
        <v>4871</v>
      </c>
      <c r="D727" s="18" t="s">
        <v>4872</v>
      </c>
      <c r="E727" s="18" t="s">
        <v>13</v>
      </c>
      <c r="F727" s="15" t="str">
        <f t="shared" si="34"/>
        <v>Male</v>
      </c>
      <c r="G727" s="18" t="s">
        <v>4873</v>
      </c>
      <c r="H727" s="18" t="s">
        <v>4874</v>
      </c>
      <c r="I727" s="18">
        <v>726</v>
      </c>
      <c r="J727" s="18">
        <v>726</v>
      </c>
      <c r="K727" s="18" t="s">
        <v>5</v>
      </c>
      <c r="L727" s="18" t="s">
        <v>4875</v>
      </c>
      <c r="M727" s="18" t="s">
        <v>4876</v>
      </c>
      <c r="N727" s="18" t="s">
        <v>25</v>
      </c>
      <c r="O727" s="18" t="s">
        <v>931</v>
      </c>
      <c r="P727" s="18" t="s">
        <v>4877</v>
      </c>
      <c r="Q727" s="22">
        <f t="shared" si="35"/>
        <v>15320000000</v>
      </c>
      <c r="R727" s="18">
        <v>1557.44</v>
      </c>
      <c r="S727" s="19">
        <v>-11.96</v>
      </c>
      <c r="T727" s="18">
        <v>21034680</v>
      </c>
      <c r="U727" s="20">
        <v>44812</v>
      </c>
      <c r="V727" s="18" t="str">
        <f t="shared" si="33"/>
        <v>Complete</v>
      </c>
    </row>
    <row r="728" spans="1:22" ht="14.5" customHeight="1" x14ac:dyDescent="0.35">
      <c r="A728" s="15" t="s">
        <v>7711</v>
      </c>
      <c r="B728" s="15" t="s">
        <v>7712</v>
      </c>
      <c r="C728" s="15" t="s">
        <v>4878</v>
      </c>
      <c r="D728" s="15" t="s">
        <v>4879</v>
      </c>
      <c r="E728" s="15" t="s">
        <v>13</v>
      </c>
      <c r="F728" s="15" t="str">
        <f t="shared" si="34"/>
        <v>Male</v>
      </c>
      <c r="G728" s="15" t="s">
        <v>4880</v>
      </c>
      <c r="H728" s="15" t="s">
        <v>4881</v>
      </c>
      <c r="I728" s="15">
        <v>727</v>
      </c>
      <c r="J728" s="15">
        <v>727</v>
      </c>
      <c r="K728" s="15" t="s">
        <v>32</v>
      </c>
      <c r="L728" s="15" t="s">
        <v>4882</v>
      </c>
      <c r="M728" s="15" t="s">
        <v>4883</v>
      </c>
      <c r="N728" s="15" t="s">
        <v>8033</v>
      </c>
      <c r="O728" s="15" t="s">
        <v>8033</v>
      </c>
      <c r="P728" s="15" t="s">
        <v>4884</v>
      </c>
      <c r="Q728" s="22">
        <f t="shared" si="35"/>
        <v>446850000</v>
      </c>
      <c r="R728" s="15">
        <v>1540.14</v>
      </c>
      <c r="S728" s="16">
        <v>13.9</v>
      </c>
      <c r="T728" s="15">
        <v>158182158</v>
      </c>
      <c r="U728" s="17">
        <v>44660</v>
      </c>
      <c r="V728" s="15" t="str">
        <f t="shared" si="33"/>
        <v>Missing</v>
      </c>
    </row>
    <row r="729" spans="1:22" ht="14.5" customHeight="1" x14ac:dyDescent="0.35">
      <c r="A729" s="18" t="s">
        <v>7713</v>
      </c>
      <c r="B729" s="18" t="s">
        <v>7635</v>
      </c>
      <c r="C729" s="18" t="s">
        <v>4885</v>
      </c>
      <c r="D729" s="18" t="s">
        <v>4886</v>
      </c>
      <c r="E729" s="18" t="s">
        <v>61</v>
      </c>
      <c r="F729" s="15" t="str">
        <f t="shared" si="34"/>
        <v>Other</v>
      </c>
      <c r="G729" s="18" t="s">
        <v>4887</v>
      </c>
      <c r="H729" s="18" t="s">
        <v>4888</v>
      </c>
      <c r="I729" s="18">
        <v>728</v>
      </c>
      <c r="J729" s="18">
        <v>728</v>
      </c>
      <c r="K729" s="18" t="s">
        <v>32</v>
      </c>
      <c r="L729" s="18" t="s">
        <v>4889</v>
      </c>
      <c r="M729" s="18" t="s">
        <v>4890</v>
      </c>
      <c r="N729" s="18" t="s">
        <v>66</v>
      </c>
      <c r="O729" s="18" t="s">
        <v>293</v>
      </c>
      <c r="P729" s="18" t="s">
        <v>4891</v>
      </c>
      <c r="Q729" s="22">
        <f t="shared" si="35"/>
        <v>6010000000</v>
      </c>
      <c r="R729" s="18">
        <v>1466.08</v>
      </c>
      <c r="S729" s="19">
        <v>-13.71</v>
      </c>
      <c r="T729" s="18">
        <v>149137959</v>
      </c>
      <c r="U729" s="20">
        <v>45822</v>
      </c>
      <c r="V729" s="18" t="str">
        <f t="shared" si="33"/>
        <v>Complete</v>
      </c>
    </row>
    <row r="730" spans="1:22" ht="14.5" customHeight="1" x14ac:dyDescent="0.35">
      <c r="A730" s="15" t="s">
        <v>7714</v>
      </c>
      <c r="B730" s="15" t="s">
        <v>7398</v>
      </c>
      <c r="C730" s="15" t="s">
        <v>4892</v>
      </c>
      <c r="D730" s="15" t="s">
        <v>4893</v>
      </c>
      <c r="E730" s="15" t="s">
        <v>13</v>
      </c>
      <c r="F730" s="15" t="str">
        <f t="shared" si="34"/>
        <v>Male</v>
      </c>
      <c r="G730" s="15" t="s">
        <v>4894</v>
      </c>
      <c r="H730" s="15" t="s">
        <v>4895</v>
      </c>
      <c r="I730" s="15">
        <v>729</v>
      </c>
      <c r="J730" s="15">
        <v>729</v>
      </c>
      <c r="K730" s="15" t="s">
        <v>5</v>
      </c>
      <c r="L730" s="15" t="s">
        <v>4896</v>
      </c>
      <c r="M730" s="15" t="s">
        <v>4897</v>
      </c>
      <c r="N730" s="15" t="s">
        <v>90</v>
      </c>
      <c r="O730" s="15" t="s">
        <v>1261</v>
      </c>
      <c r="P730" s="15" t="s">
        <v>4898</v>
      </c>
      <c r="Q730" s="22">
        <f t="shared" si="35"/>
        <v>76520000</v>
      </c>
      <c r="R730" s="15">
        <v>1309.94</v>
      </c>
      <c r="S730" s="16">
        <v>-16.059999999999999</v>
      </c>
      <c r="T730" s="15">
        <v>170570061</v>
      </c>
      <c r="U730" s="17">
        <v>46378</v>
      </c>
      <c r="V730" s="15" t="str">
        <f t="shared" si="33"/>
        <v>Complete</v>
      </c>
    </row>
    <row r="731" spans="1:22" ht="14.5" customHeight="1" x14ac:dyDescent="0.35">
      <c r="A731" s="18" t="s">
        <v>7715</v>
      </c>
      <c r="B731" s="18" t="s">
        <v>7040</v>
      </c>
      <c r="C731" s="18" t="s">
        <v>4899</v>
      </c>
      <c r="D731" s="18" t="s">
        <v>4900</v>
      </c>
      <c r="E731" s="18" t="s">
        <v>2</v>
      </c>
      <c r="F731" s="15" t="str">
        <f t="shared" si="34"/>
        <v>Female</v>
      </c>
      <c r="G731" s="18" t="s">
        <v>4901</v>
      </c>
      <c r="H731" s="18" t="s">
        <v>4902</v>
      </c>
      <c r="I731" s="18">
        <v>730</v>
      </c>
      <c r="J731" s="18">
        <v>730</v>
      </c>
      <c r="K731" s="18" t="s">
        <v>32</v>
      </c>
      <c r="L731" s="18" t="s">
        <v>4903</v>
      </c>
      <c r="M731" s="18" t="s">
        <v>4904</v>
      </c>
      <c r="N731" s="18" t="s">
        <v>8</v>
      </c>
      <c r="O731" s="18" t="s">
        <v>9</v>
      </c>
      <c r="P731" s="18" t="s">
        <v>4905</v>
      </c>
      <c r="Q731" s="22">
        <f t="shared" si="35"/>
        <v>89720000000</v>
      </c>
      <c r="R731" s="18">
        <v>1148.6300000000001</v>
      </c>
      <c r="S731" s="19">
        <v>17.28</v>
      </c>
      <c r="T731" s="18">
        <v>13351820</v>
      </c>
      <c r="U731" s="20">
        <v>44653</v>
      </c>
      <c r="V731" s="18" t="str">
        <f t="shared" si="33"/>
        <v>Complete</v>
      </c>
    </row>
    <row r="732" spans="1:22" ht="14.5" customHeight="1" x14ac:dyDescent="0.35">
      <c r="A732" s="15" t="s">
        <v>7716</v>
      </c>
      <c r="B732" s="15" t="s">
        <v>7289</v>
      </c>
      <c r="C732" s="15" t="s">
        <v>4906</v>
      </c>
      <c r="D732" s="15" t="s">
        <v>4907</v>
      </c>
      <c r="E732" s="15" t="s">
        <v>13</v>
      </c>
      <c r="F732" s="15" t="str">
        <f t="shared" si="34"/>
        <v>Male</v>
      </c>
      <c r="G732" s="15" t="s">
        <v>4908</v>
      </c>
      <c r="H732" s="15" t="s">
        <v>4909</v>
      </c>
      <c r="I732" s="15">
        <v>731</v>
      </c>
      <c r="J732" s="15">
        <v>731</v>
      </c>
      <c r="K732" s="15" t="s">
        <v>32</v>
      </c>
      <c r="L732" s="15" t="s">
        <v>4910</v>
      </c>
      <c r="M732" s="15" t="s">
        <v>4911</v>
      </c>
      <c r="N732" s="15" t="s">
        <v>189</v>
      </c>
      <c r="O732" s="15" t="s">
        <v>1269</v>
      </c>
      <c r="P732" s="15" t="s">
        <v>4912</v>
      </c>
      <c r="Q732" s="22">
        <f t="shared" si="35"/>
        <v>370330000</v>
      </c>
      <c r="R732" s="15">
        <v>1243.74</v>
      </c>
      <c r="S732" s="16">
        <v>-17.63</v>
      </c>
      <c r="T732" s="15">
        <v>34270661</v>
      </c>
      <c r="U732" s="17">
        <v>45688</v>
      </c>
      <c r="V732" s="15" t="str">
        <f t="shared" si="33"/>
        <v>Complete</v>
      </c>
    </row>
    <row r="733" spans="1:22" ht="14.5" customHeight="1" x14ac:dyDescent="0.35">
      <c r="A733" s="18" t="s">
        <v>7717</v>
      </c>
      <c r="B733" s="18" t="s">
        <v>7385</v>
      </c>
      <c r="C733" s="18" t="s">
        <v>4913</v>
      </c>
      <c r="D733" s="18" t="s">
        <v>4914</v>
      </c>
      <c r="E733" s="18" t="s">
        <v>2</v>
      </c>
      <c r="F733" s="15" t="str">
        <f t="shared" si="34"/>
        <v>Female</v>
      </c>
      <c r="G733" s="18" t="s">
        <v>4915</v>
      </c>
      <c r="H733" s="18" t="s">
        <v>4916</v>
      </c>
      <c r="I733" s="18">
        <v>732</v>
      </c>
      <c r="J733" s="18">
        <v>732</v>
      </c>
      <c r="K733" s="18" t="s">
        <v>5</v>
      </c>
      <c r="L733" s="18" t="s">
        <v>4917</v>
      </c>
      <c r="M733" s="18" t="s">
        <v>4918</v>
      </c>
      <c r="N733" s="18" t="s">
        <v>25</v>
      </c>
      <c r="O733" s="18" t="s">
        <v>2301</v>
      </c>
      <c r="P733" s="18" t="s">
        <v>4919</v>
      </c>
      <c r="Q733" s="22">
        <f t="shared" si="35"/>
        <v>18560000</v>
      </c>
      <c r="R733" s="18">
        <v>1325.69</v>
      </c>
      <c r="S733" s="19">
        <v>1.1100000000000001</v>
      </c>
      <c r="T733" s="18">
        <v>130192253</v>
      </c>
      <c r="U733" s="20">
        <v>45030</v>
      </c>
      <c r="V733" s="18" t="str">
        <f t="shared" si="33"/>
        <v>Complete</v>
      </c>
    </row>
    <row r="734" spans="1:22" ht="14.5" customHeight="1" x14ac:dyDescent="0.35">
      <c r="A734" s="15" t="s">
        <v>7718</v>
      </c>
      <c r="B734" s="15" t="s">
        <v>6737</v>
      </c>
      <c r="C734" s="15" t="s">
        <v>4920</v>
      </c>
      <c r="D734" s="15" t="s">
        <v>4921</v>
      </c>
      <c r="E734" s="15" t="s">
        <v>13</v>
      </c>
      <c r="F734" s="15" t="str">
        <f t="shared" si="34"/>
        <v>Male</v>
      </c>
      <c r="G734" s="15" t="s">
        <v>4922</v>
      </c>
      <c r="H734" s="15" t="s">
        <v>4923</v>
      </c>
      <c r="I734" s="15">
        <v>733</v>
      </c>
      <c r="J734" s="15">
        <v>733</v>
      </c>
      <c r="K734" s="15" t="s">
        <v>5</v>
      </c>
      <c r="L734" s="15" t="s">
        <v>4924</v>
      </c>
      <c r="M734" s="15" t="s">
        <v>4925</v>
      </c>
      <c r="N734" s="15" t="s">
        <v>48</v>
      </c>
      <c r="O734" s="15" t="s">
        <v>57</v>
      </c>
      <c r="P734" s="15" t="s">
        <v>4926</v>
      </c>
      <c r="Q734" s="22">
        <f t="shared" si="35"/>
        <v>443540000</v>
      </c>
      <c r="R734" s="15">
        <v>167.11</v>
      </c>
      <c r="S734" s="16">
        <v>-10.7</v>
      </c>
      <c r="T734" s="15">
        <v>80053215</v>
      </c>
      <c r="U734" s="17">
        <v>45849</v>
      </c>
      <c r="V734" s="15" t="str">
        <f t="shared" si="33"/>
        <v>Complete</v>
      </c>
    </row>
    <row r="735" spans="1:22" ht="14.5" customHeight="1" x14ac:dyDescent="0.35">
      <c r="A735" s="18" t="s">
        <v>7719</v>
      </c>
      <c r="B735" s="18" t="s">
        <v>6619</v>
      </c>
      <c r="C735" s="18" t="s">
        <v>4927</v>
      </c>
      <c r="D735" s="18" t="s">
        <v>4928</v>
      </c>
      <c r="E735" s="18" t="s">
        <v>2</v>
      </c>
      <c r="F735" s="15" t="str">
        <f t="shared" si="34"/>
        <v>Female</v>
      </c>
      <c r="G735" s="18" t="s">
        <v>4929</v>
      </c>
      <c r="H735" s="18" t="s">
        <v>4930</v>
      </c>
      <c r="I735" s="18">
        <v>734</v>
      </c>
      <c r="J735" s="18">
        <v>734</v>
      </c>
      <c r="K735" s="18" t="s">
        <v>5</v>
      </c>
      <c r="L735" s="18" t="s">
        <v>2265</v>
      </c>
      <c r="M735" s="18" t="s">
        <v>2266</v>
      </c>
      <c r="N735" s="18" t="s">
        <v>66</v>
      </c>
      <c r="O735" s="18" t="s">
        <v>2267</v>
      </c>
      <c r="P735" s="18" t="s">
        <v>706</v>
      </c>
      <c r="Q735" s="22">
        <f t="shared" si="35"/>
        <v>2830000000</v>
      </c>
      <c r="R735" s="18">
        <v>1333.49</v>
      </c>
      <c r="S735" s="19">
        <v>-2.0099999999999998</v>
      </c>
      <c r="T735" s="18">
        <v>106888194</v>
      </c>
      <c r="U735" s="20">
        <v>46384</v>
      </c>
      <c r="V735" s="18" t="str">
        <f t="shared" si="33"/>
        <v>Complete</v>
      </c>
    </row>
    <row r="736" spans="1:22" ht="14.5" customHeight="1" x14ac:dyDescent="0.35">
      <c r="A736" s="15" t="s">
        <v>7720</v>
      </c>
      <c r="B736" s="15" t="s">
        <v>6827</v>
      </c>
      <c r="C736" s="15" t="s">
        <v>2318</v>
      </c>
      <c r="D736" s="15" t="s">
        <v>4931</v>
      </c>
      <c r="E736" s="15" t="s">
        <v>13</v>
      </c>
      <c r="F736" s="15" t="str">
        <f t="shared" si="34"/>
        <v>Male</v>
      </c>
      <c r="G736" s="15" t="s">
        <v>4932</v>
      </c>
      <c r="H736" s="15" t="s">
        <v>4933</v>
      </c>
      <c r="I736" s="15">
        <v>735</v>
      </c>
      <c r="J736" s="15">
        <v>735</v>
      </c>
      <c r="K736" s="15" t="s">
        <v>32</v>
      </c>
      <c r="L736" s="15" t="s">
        <v>4934</v>
      </c>
      <c r="M736" s="15" t="s">
        <v>4935</v>
      </c>
      <c r="N736" s="15" t="s">
        <v>25</v>
      </c>
      <c r="O736" s="15" t="s">
        <v>8034</v>
      </c>
      <c r="P736" s="15" t="s">
        <v>4936</v>
      </c>
      <c r="Q736" s="22">
        <f t="shared" si="35"/>
        <v>836200000</v>
      </c>
      <c r="R736" s="15">
        <v>545.99</v>
      </c>
      <c r="S736" s="16">
        <v>-11.98</v>
      </c>
      <c r="T736" s="15">
        <v>79632520</v>
      </c>
      <c r="U736" s="17">
        <v>45231</v>
      </c>
      <c r="V736" s="15" t="str">
        <f t="shared" si="33"/>
        <v>Complete</v>
      </c>
    </row>
    <row r="737" spans="1:22" ht="14.5" customHeight="1" x14ac:dyDescent="0.35">
      <c r="A737" s="18" t="s">
        <v>7721</v>
      </c>
      <c r="B737" s="18" t="s">
        <v>7613</v>
      </c>
      <c r="C737" s="18" t="s">
        <v>4937</v>
      </c>
      <c r="D737" s="18" t="s">
        <v>4938</v>
      </c>
      <c r="E737" s="18" t="s">
        <v>13</v>
      </c>
      <c r="F737" s="15" t="str">
        <f t="shared" si="34"/>
        <v>Male</v>
      </c>
      <c r="G737" s="18" t="s">
        <v>4939</v>
      </c>
      <c r="H737" s="18" t="s">
        <v>4940</v>
      </c>
      <c r="I737" s="18">
        <v>736</v>
      </c>
      <c r="J737" s="18">
        <v>736</v>
      </c>
      <c r="K737" s="18" t="s">
        <v>32</v>
      </c>
      <c r="L737" s="18" t="s">
        <v>4941</v>
      </c>
      <c r="M737" s="18" t="s">
        <v>4942</v>
      </c>
      <c r="N737" s="18" t="s">
        <v>1291</v>
      </c>
      <c r="O737" s="18" t="s">
        <v>3670</v>
      </c>
      <c r="P737" s="18" t="s">
        <v>4943</v>
      </c>
      <c r="Q737" s="22">
        <f t="shared" si="35"/>
        <v>2860000000</v>
      </c>
      <c r="R737" s="18">
        <v>580.49</v>
      </c>
      <c r="S737" s="19">
        <v>3.6</v>
      </c>
      <c r="T737" s="18">
        <v>116178665</v>
      </c>
      <c r="U737" s="20">
        <v>43923</v>
      </c>
      <c r="V737" s="18" t="str">
        <f t="shared" si="33"/>
        <v>Complete</v>
      </c>
    </row>
    <row r="738" spans="1:22" ht="14.5" customHeight="1" x14ac:dyDescent="0.35">
      <c r="A738" s="15" t="s">
        <v>7722</v>
      </c>
      <c r="B738" s="15" t="s">
        <v>7102</v>
      </c>
      <c r="C738" s="15" t="s">
        <v>4944</v>
      </c>
      <c r="D738" s="15" t="s">
        <v>4945</v>
      </c>
      <c r="E738" s="15" t="s">
        <v>13</v>
      </c>
      <c r="F738" s="15" t="str">
        <f t="shared" si="34"/>
        <v>Male</v>
      </c>
      <c r="G738" s="15" t="s">
        <v>4946</v>
      </c>
      <c r="H738" s="15" t="s">
        <v>4947</v>
      </c>
      <c r="I738" s="15">
        <v>737</v>
      </c>
      <c r="J738" s="15">
        <v>737</v>
      </c>
      <c r="K738" s="15" t="s">
        <v>5</v>
      </c>
      <c r="L738" s="15" t="s">
        <v>4948</v>
      </c>
      <c r="M738" s="15" t="s">
        <v>4949</v>
      </c>
      <c r="N738" s="15" t="s">
        <v>66</v>
      </c>
      <c r="O738" s="15" t="s">
        <v>181</v>
      </c>
      <c r="P738" s="15" t="s">
        <v>4950</v>
      </c>
      <c r="Q738" s="22">
        <f t="shared" si="35"/>
        <v>612600000</v>
      </c>
      <c r="R738" s="15">
        <v>1826.86</v>
      </c>
      <c r="S738" s="16">
        <v>6.37</v>
      </c>
      <c r="T738" s="15">
        <v>33958972</v>
      </c>
      <c r="U738" s="17">
        <v>44711</v>
      </c>
      <c r="V738" s="15" t="str">
        <f t="shared" si="33"/>
        <v>Complete</v>
      </c>
    </row>
    <row r="739" spans="1:22" ht="14.5" customHeight="1" x14ac:dyDescent="0.35">
      <c r="A739" s="18" t="s">
        <v>7723</v>
      </c>
      <c r="B739" s="18" t="s">
        <v>7724</v>
      </c>
      <c r="C739" s="18" t="s">
        <v>4951</v>
      </c>
      <c r="D739" s="18" t="s">
        <v>4952</v>
      </c>
      <c r="E739" s="18" t="s">
        <v>13</v>
      </c>
      <c r="F739" s="15" t="str">
        <f t="shared" si="34"/>
        <v>Male</v>
      </c>
      <c r="G739" s="18" t="s">
        <v>4953</v>
      </c>
      <c r="H739" s="18" t="s">
        <v>4954</v>
      </c>
      <c r="I739" s="18">
        <v>738</v>
      </c>
      <c r="J739" s="18">
        <v>738</v>
      </c>
      <c r="K739" s="18" t="s">
        <v>5</v>
      </c>
      <c r="L739" s="18" t="s">
        <v>4955</v>
      </c>
      <c r="M739" s="18" t="s">
        <v>4956</v>
      </c>
      <c r="N739" s="18" t="s">
        <v>8</v>
      </c>
      <c r="O739" s="18" t="s">
        <v>840</v>
      </c>
      <c r="P739" s="18" t="s">
        <v>4371</v>
      </c>
      <c r="Q739" s="22">
        <f t="shared" si="35"/>
        <v>7720000000</v>
      </c>
      <c r="R739" s="18">
        <v>294.64999999999998</v>
      </c>
      <c r="S739" s="19">
        <v>-14.39</v>
      </c>
      <c r="T739" s="18">
        <v>183567327</v>
      </c>
      <c r="U739" s="20">
        <v>45553</v>
      </c>
      <c r="V739" s="18" t="str">
        <f t="shared" si="33"/>
        <v>Complete</v>
      </c>
    </row>
    <row r="740" spans="1:22" ht="14.5" customHeight="1" x14ac:dyDescent="0.35">
      <c r="A740" s="15" t="s">
        <v>7725</v>
      </c>
      <c r="B740" s="15" t="s">
        <v>7518</v>
      </c>
      <c r="C740" s="15" t="s">
        <v>4957</v>
      </c>
      <c r="D740" s="15" t="s">
        <v>4958</v>
      </c>
      <c r="E740" s="15" t="s">
        <v>13</v>
      </c>
      <c r="F740" s="15" t="str">
        <f t="shared" si="34"/>
        <v>Male</v>
      </c>
      <c r="G740" s="15" t="s">
        <v>4959</v>
      </c>
      <c r="H740" s="15" t="s">
        <v>4960</v>
      </c>
      <c r="I740" s="15">
        <v>739</v>
      </c>
      <c r="J740" s="15">
        <v>739</v>
      </c>
      <c r="K740" s="15" t="s">
        <v>32</v>
      </c>
      <c r="L740" s="15" t="s">
        <v>393</v>
      </c>
      <c r="M740" s="15" t="s">
        <v>394</v>
      </c>
      <c r="N740" s="15" t="s">
        <v>48</v>
      </c>
      <c r="O740" s="15" t="s">
        <v>57</v>
      </c>
      <c r="P740" s="15" t="s">
        <v>8033</v>
      </c>
      <c r="Q740" s="22">
        <f t="shared" si="35"/>
        <v>0</v>
      </c>
      <c r="R740" s="15">
        <v>1254.96</v>
      </c>
      <c r="S740" s="16">
        <v>3.04</v>
      </c>
      <c r="T740" s="15">
        <v>179925443</v>
      </c>
      <c r="U740" s="17">
        <v>44680</v>
      </c>
      <c r="V740" s="15" t="str">
        <f t="shared" si="33"/>
        <v>Missing</v>
      </c>
    </row>
    <row r="741" spans="1:22" ht="14.5" customHeight="1" x14ac:dyDescent="0.35">
      <c r="A741" s="18" t="s">
        <v>7726</v>
      </c>
      <c r="B741" s="18" t="s">
        <v>7317</v>
      </c>
      <c r="C741" s="18" t="s">
        <v>4961</v>
      </c>
      <c r="D741" s="18" t="s">
        <v>4962</v>
      </c>
      <c r="E741" s="18" t="s">
        <v>13</v>
      </c>
      <c r="F741" s="15" t="str">
        <f t="shared" si="34"/>
        <v>Male</v>
      </c>
      <c r="G741" s="18" t="s">
        <v>4963</v>
      </c>
      <c r="H741" s="18" t="s">
        <v>4964</v>
      </c>
      <c r="I741" s="18">
        <v>740</v>
      </c>
      <c r="J741" s="18">
        <v>740</v>
      </c>
      <c r="K741" s="18" t="s">
        <v>32</v>
      </c>
      <c r="L741" s="18" t="s">
        <v>4965</v>
      </c>
      <c r="M741" s="18" t="s">
        <v>4966</v>
      </c>
      <c r="N741" s="18" t="s">
        <v>142</v>
      </c>
      <c r="O741" s="18" t="s">
        <v>2054</v>
      </c>
      <c r="P741" s="18" t="s">
        <v>8033</v>
      </c>
      <c r="Q741" s="22">
        <f t="shared" si="35"/>
        <v>0</v>
      </c>
      <c r="R741" s="18">
        <v>81.739999999999995</v>
      </c>
      <c r="S741" s="19">
        <v>15.9</v>
      </c>
      <c r="T741" s="18">
        <v>185639856</v>
      </c>
      <c r="U741" s="20">
        <v>45386</v>
      </c>
      <c r="V741" s="18" t="str">
        <f t="shared" si="33"/>
        <v>Missing</v>
      </c>
    </row>
    <row r="742" spans="1:22" ht="14.5" customHeight="1" x14ac:dyDescent="0.35">
      <c r="A742" s="15" t="s">
        <v>7727</v>
      </c>
      <c r="B742" s="15" t="s">
        <v>7728</v>
      </c>
      <c r="C742" s="15" t="s">
        <v>4967</v>
      </c>
      <c r="D742" s="15" t="s">
        <v>4968</v>
      </c>
      <c r="E742" s="15" t="s">
        <v>2</v>
      </c>
      <c r="F742" s="15" t="str">
        <f t="shared" si="34"/>
        <v>Female</v>
      </c>
      <c r="G742" s="15" t="s">
        <v>4969</v>
      </c>
      <c r="H742" s="15" t="s">
        <v>4970</v>
      </c>
      <c r="I742" s="15">
        <v>741</v>
      </c>
      <c r="J742" s="15">
        <v>741</v>
      </c>
      <c r="K742" s="15" t="s">
        <v>5</v>
      </c>
      <c r="L742" s="15" t="s">
        <v>4971</v>
      </c>
      <c r="M742" s="15" t="s">
        <v>4972</v>
      </c>
      <c r="N742" s="15" t="s">
        <v>48</v>
      </c>
      <c r="O742" s="15" t="s">
        <v>118</v>
      </c>
      <c r="P742" s="15" t="s">
        <v>8033</v>
      </c>
      <c r="Q742" s="22">
        <f t="shared" si="35"/>
        <v>0</v>
      </c>
      <c r="R742" s="15">
        <v>573.28</v>
      </c>
      <c r="S742" s="16">
        <v>-11.55</v>
      </c>
      <c r="T742" s="15">
        <v>19289600</v>
      </c>
      <c r="U742" s="17">
        <v>44074</v>
      </c>
      <c r="V742" s="15" t="str">
        <f t="shared" si="33"/>
        <v>Missing</v>
      </c>
    </row>
    <row r="743" spans="1:22" ht="14.5" customHeight="1" x14ac:dyDescent="0.35">
      <c r="A743" s="18" t="s">
        <v>7729</v>
      </c>
      <c r="B743" s="18" t="s">
        <v>6762</v>
      </c>
      <c r="C743" s="18" t="s">
        <v>4973</v>
      </c>
      <c r="D743" s="18" t="s">
        <v>4974</v>
      </c>
      <c r="E743" s="18" t="s">
        <v>13</v>
      </c>
      <c r="F743" s="15" t="str">
        <f t="shared" si="34"/>
        <v>Male</v>
      </c>
      <c r="G743" s="18" t="s">
        <v>4975</v>
      </c>
      <c r="H743" s="18" t="s">
        <v>4976</v>
      </c>
      <c r="I743" s="18">
        <v>742</v>
      </c>
      <c r="J743" s="18">
        <v>742</v>
      </c>
      <c r="K743" s="18" t="s">
        <v>32</v>
      </c>
      <c r="L743" s="18" t="s">
        <v>711</v>
      </c>
      <c r="M743" s="18" t="s">
        <v>712</v>
      </c>
      <c r="N743" s="18" t="s">
        <v>25</v>
      </c>
      <c r="O743" s="18" t="s">
        <v>344</v>
      </c>
      <c r="P743" s="18" t="s">
        <v>713</v>
      </c>
      <c r="Q743" s="22">
        <f t="shared" si="35"/>
        <v>8050000000.000001</v>
      </c>
      <c r="R743" s="18">
        <v>529.67999999999995</v>
      </c>
      <c r="S743" s="19">
        <v>17.11</v>
      </c>
      <c r="T743" s="18">
        <v>137277852</v>
      </c>
      <c r="U743" s="20">
        <v>45057</v>
      </c>
      <c r="V743" s="18" t="str">
        <f t="shared" si="33"/>
        <v>Complete</v>
      </c>
    </row>
    <row r="744" spans="1:22" ht="14.5" customHeight="1" x14ac:dyDescent="0.35">
      <c r="A744" s="15" t="s">
        <v>7730</v>
      </c>
      <c r="B744" s="15" t="s">
        <v>7422</v>
      </c>
      <c r="C744" s="15" t="s">
        <v>4977</v>
      </c>
      <c r="D744" s="15" t="s">
        <v>4978</v>
      </c>
      <c r="E744" s="15" t="s">
        <v>2</v>
      </c>
      <c r="F744" s="15" t="str">
        <f t="shared" si="34"/>
        <v>Female</v>
      </c>
      <c r="G744" s="15" t="s">
        <v>4979</v>
      </c>
      <c r="H744" s="15" t="s">
        <v>4980</v>
      </c>
      <c r="I744" s="15">
        <v>743</v>
      </c>
      <c r="J744" s="15">
        <v>743</v>
      </c>
      <c r="K744" s="15" t="s">
        <v>5</v>
      </c>
      <c r="L744" s="15" t="s">
        <v>4981</v>
      </c>
      <c r="M744" s="15" t="s">
        <v>4982</v>
      </c>
      <c r="N744" s="15" t="s">
        <v>25</v>
      </c>
      <c r="O744" s="15" t="s">
        <v>805</v>
      </c>
      <c r="P744" s="15" t="s">
        <v>4983</v>
      </c>
      <c r="Q744" s="22">
        <f t="shared" si="35"/>
        <v>1260000000</v>
      </c>
      <c r="R744" s="15">
        <v>113.98</v>
      </c>
      <c r="S744" s="16">
        <v>-17.86</v>
      </c>
      <c r="T744" s="15">
        <v>104179380</v>
      </c>
      <c r="U744" s="17">
        <v>44097</v>
      </c>
      <c r="V744" s="15" t="str">
        <f t="shared" si="33"/>
        <v>Complete</v>
      </c>
    </row>
    <row r="745" spans="1:22" ht="14.5" customHeight="1" x14ac:dyDescent="0.35">
      <c r="A745" s="18" t="s">
        <v>7731</v>
      </c>
      <c r="B745" s="18" t="s">
        <v>7732</v>
      </c>
      <c r="C745" s="18" t="s">
        <v>50</v>
      </c>
      <c r="D745" s="18" t="s">
        <v>4984</v>
      </c>
      <c r="E745" s="18" t="s">
        <v>13</v>
      </c>
      <c r="F745" s="15" t="str">
        <f t="shared" si="34"/>
        <v>Male</v>
      </c>
      <c r="G745" s="18" t="s">
        <v>4985</v>
      </c>
      <c r="H745" s="18" t="s">
        <v>4986</v>
      </c>
      <c r="I745" s="18">
        <v>744</v>
      </c>
      <c r="J745" s="18">
        <v>744</v>
      </c>
      <c r="K745" s="18" t="s">
        <v>32</v>
      </c>
      <c r="L745" s="18" t="s">
        <v>4987</v>
      </c>
      <c r="M745" s="18" t="s">
        <v>4988</v>
      </c>
      <c r="N745" s="18" t="s">
        <v>8033</v>
      </c>
      <c r="O745" s="18" t="s">
        <v>8033</v>
      </c>
      <c r="P745" s="18" t="s">
        <v>4989</v>
      </c>
      <c r="Q745" s="22">
        <f t="shared" si="35"/>
        <v>153370000</v>
      </c>
      <c r="R745" s="18">
        <v>257.58999999999997</v>
      </c>
      <c r="S745" s="19">
        <v>3.17</v>
      </c>
      <c r="T745" s="18">
        <v>87320977</v>
      </c>
      <c r="U745" s="20">
        <v>45028</v>
      </c>
      <c r="V745" s="18" t="str">
        <f t="shared" si="33"/>
        <v>Missing</v>
      </c>
    </row>
    <row r="746" spans="1:22" ht="14.5" customHeight="1" x14ac:dyDescent="0.35">
      <c r="A746" s="15" t="s">
        <v>7733</v>
      </c>
      <c r="B746" s="15" t="s">
        <v>6884</v>
      </c>
      <c r="C746" s="15" t="s">
        <v>770</v>
      </c>
      <c r="D746" s="15" t="s">
        <v>4990</v>
      </c>
      <c r="E746" s="15" t="s">
        <v>13</v>
      </c>
      <c r="F746" s="15" t="str">
        <f t="shared" si="34"/>
        <v>Male</v>
      </c>
      <c r="G746" s="15" t="s">
        <v>4991</v>
      </c>
      <c r="H746" s="15" t="s">
        <v>4992</v>
      </c>
      <c r="I746" s="15">
        <v>745</v>
      </c>
      <c r="J746" s="15">
        <v>745</v>
      </c>
      <c r="K746" s="15" t="s">
        <v>32</v>
      </c>
      <c r="L746" s="15" t="s">
        <v>4993</v>
      </c>
      <c r="M746" s="15" t="s">
        <v>4994</v>
      </c>
      <c r="N746" s="15" t="s">
        <v>8033</v>
      </c>
      <c r="O746" s="15" t="s">
        <v>8033</v>
      </c>
      <c r="P746" s="15" t="s">
        <v>4995</v>
      </c>
      <c r="Q746" s="22">
        <f t="shared" si="35"/>
        <v>220500000</v>
      </c>
      <c r="R746" s="15">
        <v>1008.6</v>
      </c>
      <c r="S746" s="16">
        <v>-17.829999999999998</v>
      </c>
      <c r="T746" s="15">
        <v>13138316</v>
      </c>
      <c r="U746" s="17">
        <v>45498</v>
      </c>
      <c r="V746" s="15" t="str">
        <f t="shared" si="33"/>
        <v>Missing</v>
      </c>
    </row>
    <row r="747" spans="1:22" ht="14.5" customHeight="1" x14ac:dyDescent="0.35">
      <c r="A747" s="18" t="s">
        <v>7734</v>
      </c>
      <c r="B747" s="18" t="s">
        <v>7735</v>
      </c>
      <c r="C747" s="18" t="s">
        <v>4996</v>
      </c>
      <c r="D747" s="18" t="s">
        <v>4997</v>
      </c>
      <c r="E747" s="18" t="s">
        <v>2</v>
      </c>
      <c r="F747" s="15" t="str">
        <f t="shared" si="34"/>
        <v>Female</v>
      </c>
      <c r="G747" s="18" t="s">
        <v>4998</v>
      </c>
      <c r="H747" s="18" t="s">
        <v>4999</v>
      </c>
      <c r="I747" s="18">
        <v>746</v>
      </c>
      <c r="J747" s="18">
        <v>746</v>
      </c>
      <c r="K747" s="18" t="s">
        <v>5</v>
      </c>
      <c r="L747" s="18" t="s">
        <v>5000</v>
      </c>
      <c r="M747" s="18" t="s">
        <v>5001</v>
      </c>
      <c r="N747" s="18" t="s">
        <v>8033</v>
      </c>
      <c r="O747" s="18" t="s">
        <v>8033</v>
      </c>
      <c r="P747" s="18" t="s">
        <v>5002</v>
      </c>
      <c r="Q747" s="22">
        <f t="shared" si="35"/>
        <v>317190000</v>
      </c>
      <c r="R747" s="18">
        <v>490.1</v>
      </c>
      <c r="S747" s="19">
        <v>19.170000000000002</v>
      </c>
      <c r="T747" s="18">
        <v>120644191</v>
      </c>
      <c r="U747" s="20">
        <v>44746</v>
      </c>
      <c r="V747" s="18" t="str">
        <f t="shared" si="33"/>
        <v>Missing</v>
      </c>
    </row>
    <row r="748" spans="1:22" ht="14.5" customHeight="1" x14ac:dyDescent="0.35">
      <c r="A748" s="15" t="s">
        <v>7736</v>
      </c>
      <c r="B748" s="15" t="s">
        <v>7737</v>
      </c>
      <c r="C748" s="15" t="s">
        <v>5003</v>
      </c>
      <c r="D748" s="15" t="s">
        <v>5004</v>
      </c>
      <c r="E748" s="15" t="s">
        <v>13</v>
      </c>
      <c r="F748" s="15" t="str">
        <f t="shared" si="34"/>
        <v>Male</v>
      </c>
      <c r="G748" s="15" t="s">
        <v>5005</v>
      </c>
      <c r="H748" s="15" t="s">
        <v>5006</v>
      </c>
      <c r="I748" s="15">
        <v>747</v>
      </c>
      <c r="J748" s="15">
        <v>747</v>
      </c>
      <c r="K748" s="15" t="s">
        <v>5</v>
      </c>
      <c r="L748" s="15" t="s">
        <v>5007</v>
      </c>
      <c r="M748" s="15" t="s">
        <v>5008</v>
      </c>
      <c r="N748" s="15" t="s">
        <v>90</v>
      </c>
      <c r="O748" s="15" t="s">
        <v>5009</v>
      </c>
      <c r="P748" s="15" t="s">
        <v>5010</v>
      </c>
      <c r="Q748" s="22">
        <f t="shared" si="35"/>
        <v>195090000</v>
      </c>
      <c r="R748" s="15">
        <v>757.14</v>
      </c>
      <c r="S748" s="16">
        <v>14.18</v>
      </c>
      <c r="T748" s="15">
        <v>157738332</v>
      </c>
      <c r="U748" s="17">
        <v>45848</v>
      </c>
      <c r="V748" s="15" t="str">
        <f t="shared" si="33"/>
        <v>Complete</v>
      </c>
    </row>
    <row r="749" spans="1:22" ht="14.5" customHeight="1" x14ac:dyDescent="0.35">
      <c r="A749" s="18" t="s">
        <v>7738</v>
      </c>
      <c r="B749" s="18" t="s">
        <v>6978</v>
      </c>
      <c r="C749" s="18" t="s">
        <v>5011</v>
      </c>
      <c r="D749" s="18" t="s">
        <v>5012</v>
      </c>
      <c r="E749" s="18" t="s">
        <v>2</v>
      </c>
      <c r="F749" s="15" t="str">
        <f t="shared" si="34"/>
        <v>Female</v>
      </c>
      <c r="G749" s="18" t="s">
        <v>5013</v>
      </c>
      <c r="H749" s="18" t="s">
        <v>5014</v>
      </c>
      <c r="I749" s="18">
        <v>748</v>
      </c>
      <c r="J749" s="18">
        <v>748</v>
      </c>
      <c r="K749" s="18" t="s">
        <v>32</v>
      </c>
      <c r="L749" s="18" t="s">
        <v>5015</v>
      </c>
      <c r="M749" s="18" t="s">
        <v>5016</v>
      </c>
      <c r="N749" s="18" t="s">
        <v>99</v>
      </c>
      <c r="O749" s="18" t="s">
        <v>1498</v>
      </c>
      <c r="P749" s="18" t="s">
        <v>5017</v>
      </c>
      <c r="Q749" s="22">
        <f t="shared" si="35"/>
        <v>1850000000</v>
      </c>
      <c r="R749" s="18">
        <v>1952.03</v>
      </c>
      <c r="S749" s="19">
        <v>4.3899999999999997</v>
      </c>
      <c r="T749" s="18">
        <v>32413928</v>
      </c>
      <c r="U749" s="20">
        <v>46167</v>
      </c>
      <c r="V749" s="18" t="str">
        <f t="shared" si="33"/>
        <v>Complete</v>
      </c>
    </row>
    <row r="750" spans="1:22" ht="14.5" customHeight="1" x14ac:dyDescent="0.35">
      <c r="A750" s="15" t="s">
        <v>7739</v>
      </c>
      <c r="B750" s="15" t="s">
        <v>6999</v>
      </c>
      <c r="C750" s="15" t="s">
        <v>5018</v>
      </c>
      <c r="D750" s="15" t="s">
        <v>5019</v>
      </c>
      <c r="E750" s="15" t="s">
        <v>2</v>
      </c>
      <c r="F750" s="15" t="str">
        <f t="shared" si="34"/>
        <v>Female</v>
      </c>
      <c r="G750" s="15" t="s">
        <v>5020</v>
      </c>
      <c r="H750" s="15" t="s">
        <v>5021</v>
      </c>
      <c r="I750" s="15">
        <v>749</v>
      </c>
      <c r="J750" s="15">
        <v>749</v>
      </c>
      <c r="K750" s="15" t="s">
        <v>32</v>
      </c>
      <c r="L750" s="15" t="s">
        <v>4746</v>
      </c>
      <c r="M750" s="15" t="s">
        <v>4747</v>
      </c>
      <c r="N750" s="15" t="s">
        <v>99</v>
      </c>
      <c r="O750" s="15" t="s">
        <v>100</v>
      </c>
      <c r="P750" s="15" t="s">
        <v>4748</v>
      </c>
      <c r="Q750" s="22">
        <f t="shared" si="35"/>
        <v>4370000000</v>
      </c>
      <c r="R750" s="15">
        <v>1414.53</v>
      </c>
      <c r="S750" s="16">
        <v>-5.92</v>
      </c>
      <c r="T750" s="15">
        <v>76246959</v>
      </c>
      <c r="U750" s="17">
        <v>45645</v>
      </c>
      <c r="V750" s="15" t="str">
        <f t="shared" si="33"/>
        <v>Complete</v>
      </c>
    </row>
    <row r="751" spans="1:22" ht="14.5" customHeight="1" x14ac:dyDescent="0.35">
      <c r="A751" s="18" t="s">
        <v>7740</v>
      </c>
      <c r="B751" s="18" t="s">
        <v>6986</v>
      </c>
      <c r="C751" s="18" t="s">
        <v>5022</v>
      </c>
      <c r="D751" s="18" t="s">
        <v>5023</v>
      </c>
      <c r="E751" s="18" t="s">
        <v>2</v>
      </c>
      <c r="F751" s="15" t="str">
        <f t="shared" si="34"/>
        <v>Female</v>
      </c>
      <c r="G751" s="18" t="s">
        <v>5024</v>
      </c>
      <c r="H751" s="18" t="s">
        <v>5025</v>
      </c>
      <c r="I751" s="18">
        <v>750</v>
      </c>
      <c r="J751" s="18">
        <v>750</v>
      </c>
      <c r="K751" s="18" t="s">
        <v>32</v>
      </c>
      <c r="L751" s="18" t="s">
        <v>5026</v>
      </c>
      <c r="M751" s="18" t="s">
        <v>5027</v>
      </c>
      <c r="N751" s="18" t="s">
        <v>8033</v>
      </c>
      <c r="O751" s="18" t="s">
        <v>8033</v>
      </c>
      <c r="P751" s="18" t="s">
        <v>5028</v>
      </c>
      <c r="Q751" s="22">
        <f t="shared" si="35"/>
        <v>293390000</v>
      </c>
      <c r="R751" s="18">
        <v>1025.18</v>
      </c>
      <c r="S751" s="19">
        <v>-13.34</v>
      </c>
      <c r="T751" s="18">
        <v>35275036</v>
      </c>
      <c r="U751" s="20">
        <v>45094</v>
      </c>
      <c r="V751" s="18" t="str">
        <f t="shared" si="33"/>
        <v>Missing</v>
      </c>
    </row>
    <row r="752" spans="1:22" ht="14.5" customHeight="1" x14ac:dyDescent="0.35">
      <c r="A752" s="15" t="s">
        <v>7741</v>
      </c>
      <c r="B752" s="15" t="s">
        <v>7742</v>
      </c>
      <c r="C752" s="15" t="s">
        <v>5029</v>
      </c>
      <c r="D752" s="15" t="s">
        <v>5030</v>
      </c>
      <c r="E752" s="15" t="s">
        <v>2</v>
      </c>
      <c r="F752" s="15" t="str">
        <f t="shared" si="34"/>
        <v>Female</v>
      </c>
      <c r="G752" s="15" t="s">
        <v>5031</v>
      </c>
      <c r="H752" s="15" t="s">
        <v>5032</v>
      </c>
      <c r="I752" s="15">
        <v>751</v>
      </c>
      <c r="J752" s="15">
        <v>751</v>
      </c>
      <c r="K752" s="15" t="s">
        <v>5</v>
      </c>
      <c r="L752" s="15" t="s">
        <v>5033</v>
      </c>
      <c r="M752" s="15" t="s">
        <v>5034</v>
      </c>
      <c r="N752" s="15" t="s">
        <v>8</v>
      </c>
      <c r="O752" s="15" t="s">
        <v>9</v>
      </c>
      <c r="P752" s="15" t="s">
        <v>5035</v>
      </c>
      <c r="Q752" s="22">
        <f t="shared" si="35"/>
        <v>313170000</v>
      </c>
      <c r="R752" s="15">
        <v>1415.53</v>
      </c>
      <c r="S752" s="16">
        <v>-16.489999999999998</v>
      </c>
      <c r="T752" s="15">
        <v>135611995</v>
      </c>
      <c r="U752" s="17">
        <v>44525</v>
      </c>
      <c r="V752" s="15" t="str">
        <f t="shared" si="33"/>
        <v>Complete</v>
      </c>
    </row>
    <row r="753" spans="1:22" ht="14.5" customHeight="1" x14ac:dyDescent="0.35">
      <c r="A753" s="18" t="s">
        <v>7743</v>
      </c>
      <c r="B753" s="18" t="s">
        <v>7537</v>
      </c>
      <c r="C753" s="18" t="s">
        <v>5036</v>
      </c>
      <c r="D753" s="18" t="s">
        <v>5037</v>
      </c>
      <c r="E753" s="18" t="s">
        <v>2</v>
      </c>
      <c r="F753" s="15" t="str">
        <f t="shared" si="34"/>
        <v>Female</v>
      </c>
      <c r="G753" s="18" t="s">
        <v>5038</v>
      </c>
      <c r="H753" s="18" t="s">
        <v>5039</v>
      </c>
      <c r="I753" s="18">
        <v>752</v>
      </c>
      <c r="J753" s="18">
        <v>752</v>
      </c>
      <c r="K753" s="18" t="s">
        <v>32</v>
      </c>
      <c r="L753" s="18" t="s">
        <v>5040</v>
      </c>
      <c r="M753" s="18" t="s">
        <v>5041</v>
      </c>
      <c r="N753" s="18" t="s">
        <v>25</v>
      </c>
      <c r="O753" s="18" t="s">
        <v>1181</v>
      </c>
      <c r="P753" s="18" t="s">
        <v>5042</v>
      </c>
      <c r="Q753" s="22">
        <f t="shared" si="35"/>
        <v>446680000</v>
      </c>
      <c r="R753" s="18">
        <v>1258.04</v>
      </c>
      <c r="S753" s="19">
        <v>18.93</v>
      </c>
      <c r="T753" s="18">
        <v>32802886</v>
      </c>
      <c r="U753" s="20">
        <v>44685</v>
      </c>
      <c r="V753" s="18" t="str">
        <f t="shared" si="33"/>
        <v>Complete</v>
      </c>
    </row>
    <row r="754" spans="1:22" ht="14.5" customHeight="1" x14ac:dyDescent="0.35">
      <c r="A754" s="15" t="s">
        <v>7744</v>
      </c>
      <c r="B754" s="15" t="s">
        <v>7188</v>
      </c>
      <c r="C754" s="15" t="s">
        <v>5043</v>
      </c>
      <c r="D754" s="15" t="s">
        <v>5044</v>
      </c>
      <c r="E754" s="15" t="s">
        <v>13</v>
      </c>
      <c r="F754" s="15" t="str">
        <f t="shared" si="34"/>
        <v>Male</v>
      </c>
      <c r="G754" s="15" t="s">
        <v>5045</v>
      </c>
      <c r="H754" s="15" t="s">
        <v>5046</v>
      </c>
      <c r="I754" s="15">
        <v>753</v>
      </c>
      <c r="J754" s="15">
        <v>753</v>
      </c>
      <c r="K754" s="15" t="s">
        <v>32</v>
      </c>
      <c r="L754" s="15" t="s">
        <v>5047</v>
      </c>
      <c r="M754" s="15" t="s">
        <v>5048</v>
      </c>
      <c r="N754" s="15" t="s">
        <v>142</v>
      </c>
      <c r="O754" s="15" t="s">
        <v>5049</v>
      </c>
      <c r="P754" s="15" t="s">
        <v>3363</v>
      </c>
      <c r="Q754" s="22">
        <f t="shared" si="35"/>
        <v>8510000000</v>
      </c>
      <c r="R754" s="15">
        <v>1031.9000000000001</v>
      </c>
      <c r="S754" s="16">
        <v>14.51</v>
      </c>
      <c r="T754" s="15">
        <v>144409272</v>
      </c>
      <c r="U754" s="17">
        <v>45210</v>
      </c>
      <c r="V754" s="15" t="str">
        <f t="shared" si="33"/>
        <v>Complete</v>
      </c>
    </row>
    <row r="755" spans="1:22" ht="14.5" customHeight="1" x14ac:dyDescent="0.35">
      <c r="A755" s="18" t="s">
        <v>7745</v>
      </c>
      <c r="B755" s="18" t="s">
        <v>7656</v>
      </c>
      <c r="C755" s="18" t="s">
        <v>5050</v>
      </c>
      <c r="D755" s="18" t="s">
        <v>5051</v>
      </c>
      <c r="E755" s="18" t="s">
        <v>13</v>
      </c>
      <c r="F755" s="15" t="str">
        <f t="shared" si="34"/>
        <v>Male</v>
      </c>
      <c r="G755" s="18" t="s">
        <v>5052</v>
      </c>
      <c r="H755" s="18" t="s">
        <v>5053</v>
      </c>
      <c r="I755" s="18">
        <v>754</v>
      </c>
      <c r="J755" s="18">
        <v>754</v>
      </c>
      <c r="K755" s="18" t="s">
        <v>5</v>
      </c>
      <c r="L755" s="18" t="s">
        <v>2354</v>
      </c>
      <c r="M755" s="18" t="s">
        <v>2355</v>
      </c>
      <c r="N755" s="18" t="s">
        <v>66</v>
      </c>
      <c r="O755" s="18" t="s">
        <v>293</v>
      </c>
      <c r="P755" s="18" t="s">
        <v>2356</v>
      </c>
      <c r="Q755" s="22">
        <f t="shared" si="35"/>
        <v>7960000000</v>
      </c>
      <c r="R755" s="18">
        <v>180.53</v>
      </c>
      <c r="S755" s="19">
        <v>3.64</v>
      </c>
      <c r="T755" s="18">
        <v>110425826</v>
      </c>
      <c r="U755" s="20">
        <v>44887</v>
      </c>
      <c r="V755" s="18" t="str">
        <f t="shared" si="33"/>
        <v>Complete</v>
      </c>
    </row>
    <row r="756" spans="1:22" ht="14.5" customHeight="1" x14ac:dyDescent="0.35">
      <c r="A756" s="15" t="s">
        <v>7746</v>
      </c>
      <c r="B756" s="15" t="s">
        <v>7383</v>
      </c>
      <c r="C756" s="15" t="s">
        <v>5054</v>
      </c>
      <c r="D756" s="15" t="s">
        <v>5055</v>
      </c>
      <c r="E756" s="15" t="s">
        <v>2</v>
      </c>
      <c r="F756" s="15" t="str">
        <f t="shared" si="34"/>
        <v>Female</v>
      </c>
      <c r="G756" s="15" t="s">
        <v>5056</v>
      </c>
      <c r="H756" s="15" t="s">
        <v>5057</v>
      </c>
      <c r="I756" s="15">
        <v>755</v>
      </c>
      <c r="J756" s="15">
        <v>755</v>
      </c>
      <c r="K756" s="15" t="s">
        <v>5</v>
      </c>
      <c r="L756" s="15" t="s">
        <v>5058</v>
      </c>
      <c r="M756" s="15" t="s">
        <v>5059</v>
      </c>
      <c r="N756" s="15" t="s">
        <v>99</v>
      </c>
      <c r="O756" s="15" t="s">
        <v>5060</v>
      </c>
      <c r="P756" s="15" t="s">
        <v>5061</v>
      </c>
      <c r="Q756" s="22">
        <f t="shared" si="35"/>
        <v>21060000000</v>
      </c>
      <c r="R756" s="15">
        <v>980.03</v>
      </c>
      <c r="S756" s="16">
        <v>-6.87</v>
      </c>
      <c r="T756" s="15">
        <v>180581764</v>
      </c>
      <c r="U756" s="17">
        <v>43836</v>
      </c>
      <c r="V756" s="15" t="str">
        <f t="shared" si="33"/>
        <v>Complete</v>
      </c>
    </row>
    <row r="757" spans="1:22" ht="14.5" customHeight="1" x14ac:dyDescent="0.35">
      <c r="A757" s="18" t="s">
        <v>7747</v>
      </c>
      <c r="B757" s="18" t="s">
        <v>7134</v>
      </c>
      <c r="C757" s="18" t="s">
        <v>5062</v>
      </c>
      <c r="D757" s="18" t="s">
        <v>5063</v>
      </c>
      <c r="E757" s="18" t="s">
        <v>1407</v>
      </c>
      <c r="F757" s="15" t="str">
        <f t="shared" si="34"/>
        <v>Other</v>
      </c>
      <c r="G757" s="18" t="s">
        <v>5064</v>
      </c>
      <c r="H757" s="18" t="s">
        <v>5065</v>
      </c>
      <c r="I757" s="18">
        <v>756</v>
      </c>
      <c r="J757" s="18">
        <v>756</v>
      </c>
      <c r="K757" s="18" t="s">
        <v>32</v>
      </c>
      <c r="L757" s="18" t="s">
        <v>5066</v>
      </c>
      <c r="M757" s="18" t="s">
        <v>5067</v>
      </c>
      <c r="N757" s="18" t="s">
        <v>189</v>
      </c>
      <c r="O757" s="18" t="s">
        <v>190</v>
      </c>
      <c r="P757" s="18" t="s">
        <v>5068</v>
      </c>
      <c r="Q757" s="22">
        <f t="shared" si="35"/>
        <v>5650000000</v>
      </c>
      <c r="R757" s="18">
        <v>1923.39</v>
      </c>
      <c r="S757" s="19">
        <v>-14.81</v>
      </c>
      <c r="T757" s="18">
        <v>168733209</v>
      </c>
      <c r="U757" s="20">
        <v>44464</v>
      </c>
      <c r="V757" s="18" t="str">
        <f t="shared" si="33"/>
        <v>Complete</v>
      </c>
    </row>
    <row r="758" spans="1:22" ht="14.5" customHeight="1" x14ac:dyDescent="0.35">
      <c r="A758" s="15" t="s">
        <v>7748</v>
      </c>
      <c r="B758" s="15" t="s">
        <v>7671</v>
      </c>
      <c r="C758" s="15" t="s">
        <v>5069</v>
      </c>
      <c r="D758" s="15" t="s">
        <v>5070</v>
      </c>
      <c r="E758" s="15" t="s">
        <v>104</v>
      </c>
      <c r="F758" s="15" t="str">
        <f t="shared" si="34"/>
        <v>Other</v>
      </c>
      <c r="G758" s="15" t="s">
        <v>5071</v>
      </c>
      <c r="H758" s="15" t="s">
        <v>5072</v>
      </c>
      <c r="I758" s="15">
        <v>757</v>
      </c>
      <c r="J758" s="15">
        <v>757</v>
      </c>
      <c r="K758" s="15" t="s">
        <v>32</v>
      </c>
      <c r="L758" s="15" t="s">
        <v>5073</v>
      </c>
      <c r="M758" s="15" t="s">
        <v>5074</v>
      </c>
      <c r="N758" s="15" t="s">
        <v>134</v>
      </c>
      <c r="O758" s="15" t="s">
        <v>173</v>
      </c>
      <c r="P758" s="15" t="s">
        <v>8033</v>
      </c>
      <c r="Q758" s="22">
        <f t="shared" si="35"/>
        <v>0</v>
      </c>
      <c r="R758" s="15">
        <v>1452.73</v>
      </c>
      <c r="S758" s="16">
        <v>-17.059999999999999</v>
      </c>
      <c r="T758" s="15">
        <v>65448523</v>
      </c>
      <c r="U758" s="17">
        <v>43885</v>
      </c>
      <c r="V758" s="15" t="str">
        <f t="shared" si="33"/>
        <v>Missing</v>
      </c>
    </row>
    <row r="759" spans="1:22" ht="14.5" customHeight="1" x14ac:dyDescent="0.35">
      <c r="A759" s="18" t="s">
        <v>7749</v>
      </c>
      <c r="B759" s="18" t="s">
        <v>7697</v>
      </c>
      <c r="C759" s="18" t="s">
        <v>5075</v>
      </c>
      <c r="D759" s="18" t="s">
        <v>5076</v>
      </c>
      <c r="E759" s="18" t="s">
        <v>13</v>
      </c>
      <c r="F759" s="15" t="str">
        <f t="shared" si="34"/>
        <v>Male</v>
      </c>
      <c r="G759" s="18" t="s">
        <v>5077</v>
      </c>
      <c r="H759" s="18" t="s">
        <v>5078</v>
      </c>
      <c r="I759" s="18">
        <v>758</v>
      </c>
      <c r="J759" s="18">
        <v>758</v>
      </c>
      <c r="K759" s="18" t="s">
        <v>5</v>
      </c>
      <c r="L759" s="18" t="s">
        <v>5079</v>
      </c>
      <c r="M759" s="18" t="s">
        <v>5080</v>
      </c>
      <c r="N759" s="18" t="s">
        <v>117</v>
      </c>
      <c r="O759" s="18" t="s">
        <v>118</v>
      </c>
      <c r="P759" s="18" t="s">
        <v>5081</v>
      </c>
      <c r="Q759" s="22">
        <f t="shared" si="35"/>
        <v>1520000000</v>
      </c>
      <c r="R759" s="18">
        <v>1578.31</v>
      </c>
      <c r="S759" s="19">
        <v>-8.34</v>
      </c>
      <c r="T759" s="18">
        <v>74518139</v>
      </c>
      <c r="U759" s="20">
        <v>46237</v>
      </c>
      <c r="V759" s="18" t="str">
        <f t="shared" si="33"/>
        <v>Complete</v>
      </c>
    </row>
    <row r="760" spans="1:22" ht="14.5" customHeight="1" x14ac:dyDescent="0.35">
      <c r="A760" s="15" t="s">
        <v>7750</v>
      </c>
      <c r="B760" s="15" t="s">
        <v>6637</v>
      </c>
      <c r="C760" s="15" t="s">
        <v>5082</v>
      </c>
      <c r="D760" s="15" t="s">
        <v>5083</v>
      </c>
      <c r="E760" s="15" t="s">
        <v>13</v>
      </c>
      <c r="F760" s="15" t="str">
        <f t="shared" si="34"/>
        <v>Male</v>
      </c>
      <c r="G760" s="15" t="s">
        <v>5084</v>
      </c>
      <c r="H760" s="15" t="s">
        <v>5085</v>
      </c>
      <c r="I760" s="15">
        <v>759</v>
      </c>
      <c r="J760" s="15">
        <v>759</v>
      </c>
      <c r="K760" s="15" t="s">
        <v>5</v>
      </c>
      <c r="L760" s="15" t="s">
        <v>5086</v>
      </c>
      <c r="M760" s="15" t="s">
        <v>5087</v>
      </c>
      <c r="N760" s="15" t="s">
        <v>48</v>
      </c>
      <c r="O760" s="15" t="s">
        <v>49</v>
      </c>
      <c r="P760" s="15" t="s">
        <v>5088</v>
      </c>
      <c r="Q760" s="22">
        <f t="shared" si="35"/>
        <v>13150000</v>
      </c>
      <c r="R760" s="15">
        <v>473.7</v>
      </c>
      <c r="S760" s="16">
        <v>-16.989999999999998</v>
      </c>
      <c r="T760" s="15">
        <v>91429596</v>
      </c>
      <c r="U760" s="17">
        <v>44798</v>
      </c>
      <c r="V760" s="15" t="str">
        <f t="shared" si="33"/>
        <v>Complete</v>
      </c>
    </row>
    <row r="761" spans="1:22" ht="14.5" customHeight="1" x14ac:dyDescent="0.35">
      <c r="A761" s="18" t="s">
        <v>7751</v>
      </c>
      <c r="B761" s="18" t="s">
        <v>7752</v>
      </c>
      <c r="C761" s="18" t="s">
        <v>5089</v>
      </c>
      <c r="D761" s="18" t="s">
        <v>5090</v>
      </c>
      <c r="E761" s="18" t="s">
        <v>13</v>
      </c>
      <c r="F761" s="15" t="str">
        <f t="shared" si="34"/>
        <v>Male</v>
      </c>
      <c r="G761" s="18" t="s">
        <v>5091</v>
      </c>
      <c r="H761" s="18" t="s">
        <v>5092</v>
      </c>
      <c r="I761" s="18">
        <v>760</v>
      </c>
      <c r="J761" s="18">
        <v>760</v>
      </c>
      <c r="K761" s="18" t="s">
        <v>32</v>
      </c>
      <c r="L761" s="18" t="s">
        <v>5093</v>
      </c>
      <c r="M761" s="18" t="s">
        <v>5094</v>
      </c>
      <c r="N761" s="18" t="s">
        <v>142</v>
      </c>
      <c r="O761" s="18" t="s">
        <v>143</v>
      </c>
      <c r="P761" s="18" t="s">
        <v>5095</v>
      </c>
      <c r="Q761" s="22">
        <f t="shared" si="35"/>
        <v>56640000000</v>
      </c>
      <c r="R761" s="18">
        <v>1770.92</v>
      </c>
      <c r="S761" s="19">
        <v>1.59</v>
      </c>
      <c r="T761" s="18">
        <v>151671688</v>
      </c>
      <c r="U761" s="20">
        <v>44721</v>
      </c>
      <c r="V761" s="18" t="str">
        <f t="shared" si="33"/>
        <v>Complete</v>
      </c>
    </row>
    <row r="762" spans="1:22" ht="14.5" customHeight="1" x14ac:dyDescent="0.35">
      <c r="A762" s="15" t="s">
        <v>7753</v>
      </c>
      <c r="B762" s="15" t="s">
        <v>7754</v>
      </c>
      <c r="C762" s="15" t="s">
        <v>5096</v>
      </c>
      <c r="D762" s="15" t="s">
        <v>5097</v>
      </c>
      <c r="E762" s="15" t="s">
        <v>2</v>
      </c>
      <c r="F762" s="15" t="str">
        <f t="shared" si="34"/>
        <v>Female</v>
      </c>
      <c r="G762" s="15" t="s">
        <v>5098</v>
      </c>
      <c r="H762" s="15" t="s">
        <v>5099</v>
      </c>
      <c r="I762" s="15">
        <v>761</v>
      </c>
      <c r="J762" s="15">
        <v>761</v>
      </c>
      <c r="K762" s="15" t="s">
        <v>32</v>
      </c>
      <c r="L762" s="15" t="s">
        <v>5026</v>
      </c>
      <c r="M762" s="15" t="s">
        <v>5027</v>
      </c>
      <c r="N762" s="15" t="s">
        <v>8033</v>
      </c>
      <c r="O762" s="15" t="s">
        <v>8033</v>
      </c>
      <c r="P762" s="15" t="s">
        <v>5028</v>
      </c>
      <c r="Q762" s="22">
        <f t="shared" si="35"/>
        <v>293390000</v>
      </c>
      <c r="R762" s="15">
        <v>1028.5899999999999</v>
      </c>
      <c r="S762" s="16">
        <v>-3.14</v>
      </c>
      <c r="T762" s="15">
        <v>168412084</v>
      </c>
      <c r="U762" s="17">
        <v>44309</v>
      </c>
      <c r="V762" s="15" t="str">
        <f t="shared" si="33"/>
        <v>Missing</v>
      </c>
    </row>
    <row r="763" spans="1:22" ht="14.5" customHeight="1" x14ac:dyDescent="0.35">
      <c r="A763" s="18" t="s">
        <v>7755</v>
      </c>
      <c r="B763" s="18" t="s">
        <v>6859</v>
      </c>
      <c r="C763" s="18" t="s">
        <v>5100</v>
      </c>
      <c r="D763" s="18" t="s">
        <v>5101</v>
      </c>
      <c r="E763" s="18" t="s">
        <v>2</v>
      </c>
      <c r="F763" s="15" t="str">
        <f t="shared" si="34"/>
        <v>Female</v>
      </c>
      <c r="G763" s="18" t="s">
        <v>5102</v>
      </c>
      <c r="H763" s="18" t="s">
        <v>5103</v>
      </c>
      <c r="I763" s="18">
        <v>762</v>
      </c>
      <c r="J763" s="18">
        <v>762</v>
      </c>
      <c r="K763" s="18" t="s">
        <v>5</v>
      </c>
      <c r="L763" s="18" t="s">
        <v>5104</v>
      </c>
      <c r="M763" s="18" t="s">
        <v>5105</v>
      </c>
      <c r="N763" s="18" t="s">
        <v>25</v>
      </c>
      <c r="O763" s="18" t="s">
        <v>308</v>
      </c>
      <c r="P763" s="18" t="s">
        <v>5106</v>
      </c>
      <c r="Q763" s="22">
        <f t="shared" si="35"/>
        <v>883270000</v>
      </c>
      <c r="R763" s="18">
        <v>1399.81</v>
      </c>
      <c r="S763" s="19">
        <v>16.489999999999998</v>
      </c>
      <c r="T763" s="18">
        <v>71712075</v>
      </c>
      <c r="U763" s="20">
        <v>44631</v>
      </c>
      <c r="V763" s="18" t="str">
        <f t="shared" si="33"/>
        <v>Complete</v>
      </c>
    </row>
    <row r="764" spans="1:22" ht="14.5" customHeight="1" x14ac:dyDescent="0.35">
      <c r="A764" s="15" t="s">
        <v>7756</v>
      </c>
      <c r="B764" s="15" t="s">
        <v>7757</v>
      </c>
      <c r="C764" s="15" t="s">
        <v>5107</v>
      </c>
      <c r="D764" s="15" t="s">
        <v>5108</v>
      </c>
      <c r="E764" s="15" t="s">
        <v>2</v>
      </c>
      <c r="F764" s="15" t="str">
        <f t="shared" si="34"/>
        <v>Female</v>
      </c>
      <c r="G764" s="15" t="s">
        <v>5109</v>
      </c>
      <c r="H764" s="15" t="s">
        <v>5110</v>
      </c>
      <c r="I764" s="15">
        <v>763</v>
      </c>
      <c r="J764" s="15">
        <v>763</v>
      </c>
      <c r="K764" s="15" t="s">
        <v>32</v>
      </c>
      <c r="L764" s="15" t="s">
        <v>5111</v>
      </c>
      <c r="M764" s="15" t="s">
        <v>5112</v>
      </c>
      <c r="N764" s="15" t="s">
        <v>323</v>
      </c>
      <c r="O764" s="15" t="s">
        <v>135</v>
      </c>
      <c r="P764" s="15" t="s">
        <v>5113</v>
      </c>
      <c r="Q764" s="22">
        <f t="shared" si="35"/>
        <v>1540000000</v>
      </c>
      <c r="R764" s="15">
        <v>220.2</v>
      </c>
      <c r="S764" s="16">
        <v>-18.64</v>
      </c>
      <c r="T764" s="15">
        <v>122050715</v>
      </c>
      <c r="U764" s="17">
        <v>45781</v>
      </c>
      <c r="V764" s="15" t="str">
        <f t="shared" si="33"/>
        <v>Complete</v>
      </c>
    </row>
    <row r="765" spans="1:22" ht="14.5" customHeight="1" x14ac:dyDescent="0.35">
      <c r="A765" s="18" t="s">
        <v>7758</v>
      </c>
      <c r="B765" s="18" t="s">
        <v>6660</v>
      </c>
      <c r="C765" s="18" t="s">
        <v>5114</v>
      </c>
      <c r="D765" s="18" t="s">
        <v>5115</v>
      </c>
      <c r="E765" s="18" t="s">
        <v>2</v>
      </c>
      <c r="F765" s="15" t="str">
        <f t="shared" si="34"/>
        <v>Female</v>
      </c>
      <c r="G765" s="18" t="s">
        <v>5116</v>
      </c>
      <c r="H765" s="18" t="s">
        <v>5117</v>
      </c>
      <c r="I765" s="18">
        <v>764</v>
      </c>
      <c r="J765" s="18">
        <v>764</v>
      </c>
      <c r="K765" s="18" t="s">
        <v>32</v>
      </c>
      <c r="L765" s="18" t="s">
        <v>5118</v>
      </c>
      <c r="M765" s="18" t="s">
        <v>5119</v>
      </c>
      <c r="N765" s="18" t="s">
        <v>66</v>
      </c>
      <c r="O765" s="18" t="s">
        <v>344</v>
      </c>
      <c r="P765" s="18" t="s">
        <v>5120</v>
      </c>
      <c r="Q765" s="22">
        <f t="shared" si="35"/>
        <v>2890000000</v>
      </c>
      <c r="R765" s="18">
        <v>1438.05</v>
      </c>
      <c r="S765" s="19">
        <v>4.24</v>
      </c>
      <c r="T765" s="18">
        <v>52770837</v>
      </c>
      <c r="U765" s="20">
        <v>44663</v>
      </c>
      <c r="V765" s="18" t="str">
        <f t="shared" si="33"/>
        <v>Complete</v>
      </c>
    </row>
    <row r="766" spans="1:22" ht="14.5" customHeight="1" x14ac:dyDescent="0.35">
      <c r="A766" s="15" t="s">
        <v>7759</v>
      </c>
      <c r="B766" s="15" t="s">
        <v>7512</v>
      </c>
      <c r="C766" s="15" t="s">
        <v>1405</v>
      </c>
      <c r="D766" s="15" t="s">
        <v>5121</v>
      </c>
      <c r="E766" s="15" t="s">
        <v>61</v>
      </c>
      <c r="F766" s="15" t="str">
        <f t="shared" si="34"/>
        <v>Other</v>
      </c>
      <c r="G766" s="15" t="s">
        <v>5122</v>
      </c>
      <c r="H766" s="15" t="s">
        <v>5123</v>
      </c>
      <c r="I766" s="15">
        <v>765</v>
      </c>
      <c r="J766" s="15">
        <v>765</v>
      </c>
      <c r="K766" s="15" t="s">
        <v>5</v>
      </c>
      <c r="L766" s="15" t="s">
        <v>5124</v>
      </c>
      <c r="M766" s="15" t="s">
        <v>5125</v>
      </c>
      <c r="N766" s="15" t="s">
        <v>189</v>
      </c>
      <c r="O766" s="15" t="s">
        <v>613</v>
      </c>
      <c r="P766" s="15" t="s">
        <v>5126</v>
      </c>
      <c r="Q766" s="22">
        <f t="shared" si="35"/>
        <v>251770000</v>
      </c>
      <c r="R766" s="15">
        <v>570.65</v>
      </c>
      <c r="S766" s="16">
        <v>19.64</v>
      </c>
      <c r="T766" s="15">
        <v>185465121</v>
      </c>
      <c r="U766" s="17">
        <v>45313</v>
      </c>
      <c r="V766" s="15" t="str">
        <f t="shared" si="33"/>
        <v>Complete</v>
      </c>
    </row>
    <row r="767" spans="1:22" ht="14.5" customHeight="1" x14ac:dyDescent="0.35">
      <c r="A767" s="18" t="s">
        <v>7760</v>
      </c>
      <c r="B767" s="18" t="s">
        <v>6715</v>
      </c>
      <c r="C767" s="18" t="s">
        <v>5127</v>
      </c>
      <c r="D767" s="18" t="s">
        <v>5128</v>
      </c>
      <c r="E767" s="18" t="s">
        <v>13</v>
      </c>
      <c r="F767" s="15" t="str">
        <f t="shared" si="34"/>
        <v>Male</v>
      </c>
      <c r="G767" s="18" t="s">
        <v>5129</v>
      </c>
      <c r="H767" s="18" t="s">
        <v>5130</v>
      </c>
      <c r="I767" s="18">
        <v>766</v>
      </c>
      <c r="J767" s="18">
        <v>766</v>
      </c>
      <c r="K767" s="18" t="s">
        <v>32</v>
      </c>
      <c r="L767" s="18" t="s">
        <v>5131</v>
      </c>
      <c r="M767" s="18" t="s">
        <v>5132</v>
      </c>
      <c r="N767" s="18" t="s">
        <v>25</v>
      </c>
      <c r="O767" s="18" t="s">
        <v>344</v>
      </c>
      <c r="P767" s="18" t="s">
        <v>5133</v>
      </c>
      <c r="Q767" s="22">
        <f t="shared" si="35"/>
        <v>513320000.00000006</v>
      </c>
      <c r="R767" s="18">
        <v>212.77</v>
      </c>
      <c r="S767" s="19">
        <v>-3.58</v>
      </c>
      <c r="T767" s="18">
        <v>128538376</v>
      </c>
      <c r="U767" s="20">
        <v>44146</v>
      </c>
      <c r="V767" s="18" t="str">
        <f t="shared" si="33"/>
        <v>Complete</v>
      </c>
    </row>
    <row r="768" spans="1:22" ht="14.5" customHeight="1" x14ac:dyDescent="0.35">
      <c r="A768" s="15" t="s">
        <v>7761</v>
      </c>
      <c r="B768" s="15" t="s">
        <v>7593</v>
      </c>
      <c r="C768" s="15" t="s">
        <v>5134</v>
      </c>
      <c r="D768" s="15" t="s">
        <v>5135</v>
      </c>
      <c r="E768" s="15" t="s">
        <v>13</v>
      </c>
      <c r="F768" s="15" t="str">
        <f t="shared" si="34"/>
        <v>Male</v>
      </c>
      <c r="G768" s="15" t="s">
        <v>5136</v>
      </c>
      <c r="H768" s="15" t="s">
        <v>5137</v>
      </c>
      <c r="I768" s="15">
        <v>767</v>
      </c>
      <c r="J768" s="15">
        <v>767</v>
      </c>
      <c r="K768" s="15" t="s">
        <v>32</v>
      </c>
      <c r="L768" s="15" t="s">
        <v>5138</v>
      </c>
      <c r="M768" s="15" t="s">
        <v>5139</v>
      </c>
      <c r="N768" s="15" t="s">
        <v>134</v>
      </c>
      <c r="O768" s="15" t="s">
        <v>173</v>
      </c>
      <c r="P768" s="15" t="s">
        <v>5140</v>
      </c>
      <c r="Q768" s="22">
        <f t="shared" si="35"/>
        <v>26980000000</v>
      </c>
      <c r="R768" s="15">
        <v>964.96</v>
      </c>
      <c r="S768" s="16">
        <v>-16.62</v>
      </c>
      <c r="T768" s="15">
        <v>46553778</v>
      </c>
      <c r="U768" s="17">
        <v>44158</v>
      </c>
      <c r="V768" s="15" t="str">
        <f t="shared" si="33"/>
        <v>Complete</v>
      </c>
    </row>
    <row r="769" spans="1:22" ht="14.5" customHeight="1" x14ac:dyDescent="0.35">
      <c r="A769" s="18" t="s">
        <v>7762</v>
      </c>
      <c r="B769" s="18" t="s">
        <v>7027</v>
      </c>
      <c r="C769" s="18" t="s">
        <v>5141</v>
      </c>
      <c r="D769" s="18" t="s">
        <v>5142</v>
      </c>
      <c r="E769" s="18" t="s">
        <v>104</v>
      </c>
      <c r="F769" s="15" t="str">
        <f t="shared" si="34"/>
        <v>Other</v>
      </c>
      <c r="G769" s="18" t="s">
        <v>5143</v>
      </c>
      <c r="H769" s="18" t="s">
        <v>5144</v>
      </c>
      <c r="I769" s="18">
        <v>768</v>
      </c>
      <c r="J769" s="18">
        <v>768</v>
      </c>
      <c r="K769" s="18" t="s">
        <v>32</v>
      </c>
      <c r="L769" s="18" t="s">
        <v>503</v>
      </c>
      <c r="M769" s="18" t="s">
        <v>504</v>
      </c>
      <c r="N769" s="18" t="s">
        <v>142</v>
      </c>
      <c r="O769" s="18" t="s">
        <v>143</v>
      </c>
      <c r="P769" s="18" t="s">
        <v>505</v>
      </c>
      <c r="Q769" s="22">
        <f t="shared" si="35"/>
        <v>441260000</v>
      </c>
      <c r="R769" s="18">
        <v>1200.68</v>
      </c>
      <c r="S769" s="19">
        <v>-1.68</v>
      </c>
      <c r="T769" s="18">
        <v>31626281</v>
      </c>
      <c r="U769" s="20">
        <v>46251</v>
      </c>
      <c r="V769" s="18" t="str">
        <f t="shared" si="33"/>
        <v>Complete</v>
      </c>
    </row>
    <row r="770" spans="1:22" ht="14.5" customHeight="1" x14ac:dyDescent="0.35">
      <c r="A770" s="15" t="s">
        <v>7763</v>
      </c>
      <c r="B770" s="15" t="s">
        <v>7764</v>
      </c>
      <c r="C770" s="15" t="s">
        <v>5145</v>
      </c>
      <c r="D770" s="15" t="s">
        <v>5146</v>
      </c>
      <c r="E770" s="15" t="s">
        <v>2</v>
      </c>
      <c r="F770" s="15" t="str">
        <f t="shared" si="34"/>
        <v>Female</v>
      </c>
      <c r="G770" s="15" t="s">
        <v>5147</v>
      </c>
      <c r="H770" s="15" t="s">
        <v>5148</v>
      </c>
      <c r="I770" s="15">
        <v>769</v>
      </c>
      <c r="J770" s="15">
        <v>769</v>
      </c>
      <c r="K770" s="15" t="s">
        <v>32</v>
      </c>
      <c r="L770" s="15" t="s">
        <v>5149</v>
      </c>
      <c r="M770" s="15" t="s">
        <v>5150</v>
      </c>
      <c r="N770" s="15" t="s">
        <v>99</v>
      </c>
      <c r="O770" s="15" t="s">
        <v>1498</v>
      </c>
      <c r="P770" s="15" t="s">
        <v>5151</v>
      </c>
      <c r="Q770" s="22">
        <f t="shared" si="35"/>
        <v>14340000000</v>
      </c>
      <c r="R770" s="15">
        <v>1377.52</v>
      </c>
      <c r="S770" s="16">
        <v>-7.9</v>
      </c>
      <c r="T770" s="15">
        <v>169317660</v>
      </c>
      <c r="U770" s="17">
        <v>45359</v>
      </c>
      <c r="V770" s="15" t="str">
        <f t="shared" ref="V770:V833" si="36">IF(OR(N:N="n/a", O:O="n/a", P:P="n/a"), "Missing", "Complete")</f>
        <v>Complete</v>
      </c>
    </row>
    <row r="771" spans="1:22" ht="14.5" customHeight="1" x14ac:dyDescent="0.35">
      <c r="A771" s="18" t="s">
        <v>7765</v>
      </c>
      <c r="B771" s="18" t="s">
        <v>6817</v>
      </c>
      <c r="C771" s="18" t="s">
        <v>5152</v>
      </c>
      <c r="D771" s="18" t="s">
        <v>5153</v>
      </c>
      <c r="E771" s="18" t="s">
        <v>13</v>
      </c>
      <c r="F771" s="15" t="str">
        <f t="shared" ref="F771:F834" si="37">IF(OR(E771="female", E771="male"), PROPER(E771), "Other")</f>
        <v>Male</v>
      </c>
      <c r="G771" s="18" t="s">
        <v>5154</v>
      </c>
      <c r="H771" s="18" t="s">
        <v>5155</v>
      </c>
      <c r="I771" s="18">
        <v>770</v>
      </c>
      <c r="J771" s="18">
        <v>770</v>
      </c>
      <c r="K771" s="18" t="s">
        <v>32</v>
      </c>
      <c r="L771" s="18" t="s">
        <v>5156</v>
      </c>
      <c r="M771" s="18" t="s">
        <v>5157</v>
      </c>
      <c r="N771" s="18" t="s">
        <v>48</v>
      </c>
      <c r="O771" s="18" t="s">
        <v>364</v>
      </c>
      <c r="P771" s="18" t="s">
        <v>5158</v>
      </c>
      <c r="Q771" s="22">
        <f t="shared" ref="Q771:Q834" si="38">IF(P771="n/a", 0, IF(RIGHT(P771, 1)="B", VALUE(MID(P771, 2, LEN(P771)-2)*1000000000), VALUE(MID(P771, 2, LEN(P771)-2)*1000000)))</f>
        <v>9350000000</v>
      </c>
      <c r="R771" s="18">
        <v>1318.27</v>
      </c>
      <c r="S771" s="19">
        <v>-3.32</v>
      </c>
      <c r="T771" s="18">
        <v>71812908</v>
      </c>
      <c r="U771" s="20">
        <v>45563</v>
      </c>
      <c r="V771" s="18" t="str">
        <f t="shared" si="36"/>
        <v>Complete</v>
      </c>
    </row>
    <row r="772" spans="1:22" ht="14.5" customHeight="1" x14ac:dyDescent="0.35">
      <c r="A772" s="15" t="s">
        <v>7766</v>
      </c>
      <c r="B772" s="15" t="s">
        <v>7393</v>
      </c>
      <c r="C772" s="15" t="s">
        <v>2056</v>
      </c>
      <c r="D772" s="15" t="s">
        <v>5159</v>
      </c>
      <c r="E772" s="15" t="s">
        <v>13</v>
      </c>
      <c r="F772" s="15" t="str">
        <f t="shared" si="37"/>
        <v>Male</v>
      </c>
      <c r="G772" s="15" t="s">
        <v>5160</v>
      </c>
      <c r="H772" s="15" t="s">
        <v>5161</v>
      </c>
      <c r="I772" s="15">
        <v>771</v>
      </c>
      <c r="J772" s="15">
        <v>771</v>
      </c>
      <c r="K772" s="15" t="s">
        <v>5</v>
      </c>
      <c r="L772" s="15" t="s">
        <v>5162</v>
      </c>
      <c r="M772" s="15" t="s">
        <v>5163</v>
      </c>
      <c r="N772" s="15" t="s">
        <v>66</v>
      </c>
      <c r="O772" s="15" t="s">
        <v>1082</v>
      </c>
      <c r="P772" s="15" t="s">
        <v>5164</v>
      </c>
      <c r="Q772" s="22">
        <f t="shared" si="38"/>
        <v>3110000000</v>
      </c>
      <c r="R772" s="15">
        <v>328.07</v>
      </c>
      <c r="S772" s="16">
        <v>17.5</v>
      </c>
      <c r="T772" s="15">
        <v>91009116</v>
      </c>
      <c r="U772" s="17">
        <v>44125</v>
      </c>
      <c r="V772" s="15" t="str">
        <f t="shared" si="36"/>
        <v>Complete</v>
      </c>
    </row>
    <row r="773" spans="1:22" ht="14.5" customHeight="1" x14ac:dyDescent="0.35">
      <c r="A773" s="18" t="s">
        <v>7767</v>
      </c>
      <c r="B773" s="18" t="s">
        <v>7768</v>
      </c>
      <c r="C773" s="18" t="s">
        <v>5165</v>
      </c>
      <c r="D773" s="18" t="s">
        <v>5166</v>
      </c>
      <c r="E773" s="18" t="s">
        <v>2</v>
      </c>
      <c r="F773" s="15" t="str">
        <f t="shared" si="37"/>
        <v>Female</v>
      </c>
      <c r="G773" s="18" t="s">
        <v>5167</v>
      </c>
      <c r="H773" s="18" t="s">
        <v>5168</v>
      </c>
      <c r="I773" s="18">
        <v>772</v>
      </c>
      <c r="J773" s="18">
        <v>772</v>
      </c>
      <c r="K773" s="18" t="s">
        <v>5</v>
      </c>
      <c r="L773" s="18" t="s">
        <v>5169</v>
      </c>
      <c r="M773" s="18" t="s">
        <v>5170</v>
      </c>
      <c r="N773" s="18" t="s">
        <v>8</v>
      </c>
      <c r="O773" s="18" t="s">
        <v>9</v>
      </c>
      <c r="P773" s="18" t="s">
        <v>5171</v>
      </c>
      <c r="Q773" s="22">
        <f t="shared" si="38"/>
        <v>73430000</v>
      </c>
      <c r="R773" s="18">
        <v>448.02</v>
      </c>
      <c r="S773" s="19">
        <v>-16.149999999999999</v>
      </c>
      <c r="T773" s="18">
        <v>127706798</v>
      </c>
      <c r="U773" s="20">
        <v>43983</v>
      </c>
      <c r="V773" s="18" t="str">
        <f t="shared" si="36"/>
        <v>Complete</v>
      </c>
    </row>
    <row r="774" spans="1:22" ht="14.5" customHeight="1" x14ac:dyDescent="0.35">
      <c r="A774" s="15" t="s">
        <v>7769</v>
      </c>
      <c r="B774" s="15" t="s">
        <v>6882</v>
      </c>
      <c r="C774" s="15" t="s">
        <v>3322</v>
      </c>
      <c r="D774" s="15" t="s">
        <v>5172</v>
      </c>
      <c r="E774" s="15" t="s">
        <v>1407</v>
      </c>
      <c r="F774" s="15" t="str">
        <f t="shared" si="37"/>
        <v>Other</v>
      </c>
      <c r="G774" s="15" t="s">
        <v>5173</v>
      </c>
      <c r="H774" s="15" t="s">
        <v>5174</v>
      </c>
      <c r="I774" s="15">
        <v>773</v>
      </c>
      <c r="J774" s="15">
        <v>773</v>
      </c>
      <c r="K774" s="15" t="s">
        <v>5</v>
      </c>
      <c r="L774" s="15" t="s">
        <v>5175</v>
      </c>
      <c r="M774" s="15" t="s">
        <v>5176</v>
      </c>
      <c r="N774" s="15" t="s">
        <v>8033</v>
      </c>
      <c r="O774" s="15" t="s">
        <v>8033</v>
      </c>
      <c r="P774" s="15" t="s">
        <v>8033</v>
      </c>
      <c r="Q774" s="22">
        <f t="shared" si="38"/>
        <v>0</v>
      </c>
      <c r="R774" s="15">
        <v>903.76</v>
      </c>
      <c r="S774" s="16">
        <v>0.68</v>
      </c>
      <c r="T774" s="15">
        <v>193201482</v>
      </c>
      <c r="U774" s="17">
        <v>45424</v>
      </c>
      <c r="V774" s="15" t="str">
        <f t="shared" si="36"/>
        <v>Missing</v>
      </c>
    </row>
    <row r="775" spans="1:22" ht="14.5" customHeight="1" x14ac:dyDescent="0.35">
      <c r="A775" s="18" t="s">
        <v>7770</v>
      </c>
      <c r="B775" s="18" t="s">
        <v>7547</v>
      </c>
      <c r="C775" s="18" t="s">
        <v>1833</v>
      </c>
      <c r="D775" s="18" t="s">
        <v>5177</v>
      </c>
      <c r="E775" s="18" t="s">
        <v>2</v>
      </c>
      <c r="F775" s="15" t="str">
        <f t="shared" si="37"/>
        <v>Female</v>
      </c>
      <c r="G775" s="18" t="s">
        <v>5178</v>
      </c>
      <c r="H775" s="18" t="s">
        <v>5179</v>
      </c>
      <c r="I775" s="18">
        <v>774</v>
      </c>
      <c r="J775" s="18">
        <v>774</v>
      </c>
      <c r="K775" s="18" t="s">
        <v>32</v>
      </c>
      <c r="L775" s="18" t="s">
        <v>5180</v>
      </c>
      <c r="M775" s="18" t="s">
        <v>5181</v>
      </c>
      <c r="N775" s="18" t="s">
        <v>8033</v>
      </c>
      <c r="O775" s="18" t="s">
        <v>8033</v>
      </c>
      <c r="P775" s="18" t="s">
        <v>5182</v>
      </c>
      <c r="Q775" s="22">
        <f t="shared" si="38"/>
        <v>180610000</v>
      </c>
      <c r="R775" s="18">
        <v>1656.9</v>
      </c>
      <c r="S775" s="19">
        <v>0.22</v>
      </c>
      <c r="T775" s="18">
        <v>126780131</v>
      </c>
      <c r="U775" s="20">
        <v>45310</v>
      </c>
      <c r="V775" s="18" t="str">
        <f t="shared" si="36"/>
        <v>Missing</v>
      </c>
    </row>
    <row r="776" spans="1:22" ht="14.5" customHeight="1" x14ac:dyDescent="0.35">
      <c r="A776" s="15" t="s">
        <v>7771</v>
      </c>
      <c r="B776" s="15" t="s">
        <v>6725</v>
      </c>
      <c r="C776" s="15" t="s">
        <v>5183</v>
      </c>
      <c r="D776" s="15" t="s">
        <v>5184</v>
      </c>
      <c r="E776" s="15" t="s">
        <v>1407</v>
      </c>
      <c r="F776" s="15" t="str">
        <f t="shared" si="37"/>
        <v>Other</v>
      </c>
      <c r="G776" s="15" t="s">
        <v>5185</v>
      </c>
      <c r="H776" s="15" t="s">
        <v>5186</v>
      </c>
      <c r="I776" s="15">
        <v>775</v>
      </c>
      <c r="J776" s="15">
        <v>775</v>
      </c>
      <c r="K776" s="15" t="s">
        <v>32</v>
      </c>
      <c r="L776" s="15" t="s">
        <v>5187</v>
      </c>
      <c r="M776" s="15" t="s">
        <v>2729</v>
      </c>
      <c r="N776" s="15" t="s">
        <v>48</v>
      </c>
      <c r="O776" s="15" t="s">
        <v>364</v>
      </c>
      <c r="P776" s="15" t="s">
        <v>8033</v>
      </c>
      <c r="Q776" s="22">
        <f t="shared" si="38"/>
        <v>0</v>
      </c>
      <c r="R776" s="15">
        <v>783.31</v>
      </c>
      <c r="S776" s="16">
        <v>-18.96</v>
      </c>
      <c r="T776" s="15">
        <v>181083188</v>
      </c>
      <c r="U776" s="17">
        <v>46221</v>
      </c>
      <c r="V776" s="15" t="str">
        <f t="shared" si="36"/>
        <v>Missing</v>
      </c>
    </row>
    <row r="777" spans="1:22" ht="14.5" customHeight="1" x14ac:dyDescent="0.35">
      <c r="A777" s="18" t="s">
        <v>7772</v>
      </c>
      <c r="B777" s="18" t="s">
        <v>7044</v>
      </c>
      <c r="C777" s="18" t="s">
        <v>5188</v>
      </c>
      <c r="D777" s="18" t="s">
        <v>5189</v>
      </c>
      <c r="E777" s="18" t="s">
        <v>13</v>
      </c>
      <c r="F777" s="15" t="str">
        <f t="shared" si="37"/>
        <v>Male</v>
      </c>
      <c r="G777" s="18" t="s">
        <v>5190</v>
      </c>
      <c r="H777" s="18" t="s">
        <v>5191</v>
      </c>
      <c r="I777" s="18">
        <v>776</v>
      </c>
      <c r="J777" s="18">
        <v>776</v>
      </c>
      <c r="K777" s="18" t="s">
        <v>32</v>
      </c>
      <c r="L777" s="18" t="s">
        <v>4422</v>
      </c>
      <c r="M777" s="18" t="s">
        <v>4423</v>
      </c>
      <c r="N777" s="18" t="s">
        <v>8033</v>
      </c>
      <c r="O777" s="18" t="s">
        <v>8033</v>
      </c>
      <c r="P777" s="18" t="s">
        <v>4424</v>
      </c>
      <c r="Q777" s="22">
        <f t="shared" si="38"/>
        <v>474830000</v>
      </c>
      <c r="R777" s="18">
        <v>265.20999999999998</v>
      </c>
      <c r="S777" s="19">
        <v>-7.43</v>
      </c>
      <c r="T777" s="18">
        <v>69272775</v>
      </c>
      <c r="U777" s="20">
        <v>44745</v>
      </c>
      <c r="V777" s="18" t="str">
        <f t="shared" si="36"/>
        <v>Missing</v>
      </c>
    </row>
    <row r="778" spans="1:22" ht="14.5" customHeight="1" x14ac:dyDescent="0.35">
      <c r="A778" s="15" t="s">
        <v>7773</v>
      </c>
      <c r="B778" s="15" t="s">
        <v>6929</v>
      </c>
      <c r="C778" s="15" t="s">
        <v>5192</v>
      </c>
      <c r="D778" s="15" t="s">
        <v>5193</v>
      </c>
      <c r="E778" s="15" t="s">
        <v>61</v>
      </c>
      <c r="F778" s="15" t="str">
        <f t="shared" si="37"/>
        <v>Other</v>
      </c>
      <c r="G778" s="15" t="s">
        <v>5194</v>
      </c>
      <c r="H778" s="15" t="s">
        <v>5195</v>
      </c>
      <c r="I778" s="15">
        <v>777</v>
      </c>
      <c r="J778" s="15">
        <v>777</v>
      </c>
      <c r="K778" s="15" t="s">
        <v>5</v>
      </c>
      <c r="L778" s="15" t="s">
        <v>5196</v>
      </c>
      <c r="M778" s="15" t="s">
        <v>5197</v>
      </c>
      <c r="N778" s="15" t="s">
        <v>117</v>
      </c>
      <c r="O778" s="15" t="s">
        <v>344</v>
      </c>
      <c r="P778" s="15" t="s">
        <v>5198</v>
      </c>
      <c r="Q778" s="22">
        <f t="shared" si="38"/>
        <v>16390000</v>
      </c>
      <c r="R778" s="15">
        <v>1230.3599999999999</v>
      </c>
      <c r="S778" s="16">
        <v>6.47</v>
      </c>
      <c r="T778" s="15">
        <v>137558711</v>
      </c>
      <c r="U778" s="17">
        <v>45041</v>
      </c>
      <c r="V778" s="15" t="str">
        <f t="shared" si="36"/>
        <v>Complete</v>
      </c>
    </row>
    <row r="779" spans="1:22" ht="14.5" customHeight="1" x14ac:dyDescent="0.35">
      <c r="A779" s="18" t="s">
        <v>7774</v>
      </c>
      <c r="B779" s="18" t="s">
        <v>7625</v>
      </c>
      <c r="C779" s="18" t="s">
        <v>5199</v>
      </c>
      <c r="D779" s="18" t="s">
        <v>5200</v>
      </c>
      <c r="E779" s="18" t="s">
        <v>13</v>
      </c>
      <c r="F779" s="15" t="str">
        <f t="shared" si="37"/>
        <v>Male</v>
      </c>
      <c r="G779" s="18" t="s">
        <v>5201</v>
      </c>
      <c r="H779" s="18" t="s">
        <v>5202</v>
      </c>
      <c r="I779" s="18">
        <v>778</v>
      </c>
      <c r="J779" s="18">
        <v>778</v>
      </c>
      <c r="K779" s="18" t="s">
        <v>32</v>
      </c>
      <c r="L779" s="18" t="s">
        <v>5203</v>
      </c>
      <c r="M779" s="18" t="s">
        <v>5204</v>
      </c>
      <c r="N779" s="18" t="s">
        <v>134</v>
      </c>
      <c r="O779" s="18" t="s">
        <v>2454</v>
      </c>
      <c r="P779" s="18" t="s">
        <v>2743</v>
      </c>
      <c r="Q779" s="22">
        <f t="shared" si="38"/>
        <v>2490000000</v>
      </c>
      <c r="R779" s="18">
        <v>1085.99</v>
      </c>
      <c r="S779" s="19">
        <v>-19.3</v>
      </c>
      <c r="T779" s="18">
        <v>128305303</v>
      </c>
      <c r="U779" s="20">
        <v>45796</v>
      </c>
      <c r="V779" s="18" t="str">
        <f t="shared" si="36"/>
        <v>Complete</v>
      </c>
    </row>
    <row r="780" spans="1:22" ht="14.5" customHeight="1" x14ac:dyDescent="0.35">
      <c r="A780" s="15" t="s">
        <v>7775</v>
      </c>
      <c r="B780" s="15" t="s">
        <v>7776</v>
      </c>
      <c r="C780" s="15" t="s">
        <v>2502</v>
      </c>
      <c r="D780" s="15" t="s">
        <v>5205</v>
      </c>
      <c r="E780" s="15" t="s">
        <v>13</v>
      </c>
      <c r="F780" s="15" t="str">
        <f t="shared" si="37"/>
        <v>Male</v>
      </c>
      <c r="G780" s="15" t="s">
        <v>5206</v>
      </c>
      <c r="H780" s="15" t="s">
        <v>5207</v>
      </c>
      <c r="I780" s="15">
        <v>779</v>
      </c>
      <c r="J780" s="15">
        <v>779</v>
      </c>
      <c r="K780" s="15" t="s">
        <v>5</v>
      </c>
      <c r="L780" s="15" t="s">
        <v>5208</v>
      </c>
      <c r="M780" s="15" t="s">
        <v>5209</v>
      </c>
      <c r="N780" s="15" t="s">
        <v>48</v>
      </c>
      <c r="O780" s="15" t="s">
        <v>57</v>
      </c>
      <c r="P780" s="15" t="s">
        <v>5210</v>
      </c>
      <c r="Q780" s="22">
        <f t="shared" si="38"/>
        <v>14370000000</v>
      </c>
      <c r="R780" s="15">
        <v>753.77</v>
      </c>
      <c r="S780" s="16">
        <v>17.11</v>
      </c>
      <c r="T780" s="15">
        <v>127250873</v>
      </c>
      <c r="U780" s="17">
        <v>45231</v>
      </c>
      <c r="V780" s="15" t="str">
        <f t="shared" si="36"/>
        <v>Complete</v>
      </c>
    </row>
    <row r="781" spans="1:22" ht="14.5" customHeight="1" x14ac:dyDescent="0.35">
      <c r="A781" s="18" t="s">
        <v>7777</v>
      </c>
      <c r="B781" s="18" t="s">
        <v>6760</v>
      </c>
      <c r="C781" s="18" t="s">
        <v>5211</v>
      </c>
      <c r="D781" s="18" t="s">
        <v>5212</v>
      </c>
      <c r="E781" s="18" t="s">
        <v>2</v>
      </c>
      <c r="F781" s="15" t="str">
        <f t="shared" si="37"/>
        <v>Female</v>
      </c>
      <c r="G781" s="18" t="s">
        <v>5213</v>
      </c>
      <c r="H781" s="18" t="s">
        <v>5214</v>
      </c>
      <c r="I781" s="18">
        <v>780</v>
      </c>
      <c r="J781" s="18">
        <v>780</v>
      </c>
      <c r="K781" s="18" t="s">
        <v>32</v>
      </c>
      <c r="L781" s="18" t="s">
        <v>5215</v>
      </c>
      <c r="M781" s="18" t="s">
        <v>5216</v>
      </c>
      <c r="N781" s="18" t="s">
        <v>189</v>
      </c>
      <c r="O781" s="18" t="s">
        <v>2114</v>
      </c>
      <c r="P781" s="18" t="s">
        <v>8033</v>
      </c>
      <c r="Q781" s="22">
        <f t="shared" si="38"/>
        <v>0</v>
      </c>
      <c r="R781" s="18">
        <v>352.75</v>
      </c>
      <c r="S781" s="19">
        <v>18.079999999999998</v>
      </c>
      <c r="T781" s="18">
        <v>192443961</v>
      </c>
      <c r="U781" s="20">
        <v>44603</v>
      </c>
      <c r="V781" s="18" t="str">
        <f t="shared" si="36"/>
        <v>Missing</v>
      </c>
    </row>
    <row r="782" spans="1:22" ht="14.5" customHeight="1" x14ac:dyDescent="0.35">
      <c r="A782" s="15" t="s">
        <v>7778</v>
      </c>
      <c r="B782" s="15" t="s">
        <v>6902</v>
      </c>
      <c r="C782" s="15" t="s">
        <v>5217</v>
      </c>
      <c r="D782" s="15" t="s">
        <v>5218</v>
      </c>
      <c r="E782" s="15" t="s">
        <v>13</v>
      </c>
      <c r="F782" s="15" t="str">
        <f t="shared" si="37"/>
        <v>Male</v>
      </c>
      <c r="G782" s="15" t="s">
        <v>5219</v>
      </c>
      <c r="H782" s="15" t="s">
        <v>5220</v>
      </c>
      <c r="I782" s="15">
        <v>781</v>
      </c>
      <c r="J782" s="15">
        <v>781</v>
      </c>
      <c r="K782" s="15" t="s">
        <v>32</v>
      </c>
      <c r="L782" s="15" t="s">
        <v>5221</v>
      </c>
      <c r="M782" s="15" t="s">
        <v>5222</v>
      </c>
      <c r="N782" s="15" t="s">
        <v>90</v>
      </c>
      <c r="O782" s="15" t="s">
        <v>2223</v>
      </c>
      <c r="P782" s="15" t="s">
        <v>5223</v>
      </c>
      <c r="Q782" s="22">
        <f t="shared" si="38"/>
        <v>2350000000</v>
      </c>
      <c r="R782" s="15">
        <v>1293.3499999999999</v>
      </c>
      <c r="S782" s="16">
        <v>-3.66</v>
      </c>
      <c r="T782" s="15">
        <v>118409783</v>
      </c>
      <c r="U782" s="17">
        <v>43917</v>
      </c>
      <c r="V782" s="15" t="str">
        <f t="shared" si="36"/>
        <v>Complete</v>
      </c>
    </row>
    <row r="783" spans="1:22" ht="14.5" customHeight="1" x14ac:dyDescent="0.35">
      <c r="A783" s="18" t="s">
        <v>7779</v>
      </c>
      <c r="B783" s="18" t="s">
        <v>6637</v>
      </c>
      <c r="C783" s="18" t="s">
        <v>5224</v>
      </c>
      <c r="D783" s="18" t="s">
        <v>5225</v>
      </c>
      <c r="E783" s="18" t="s">
        <v>2</v>
      </c>
      <c r="F783" s="15" t="str">
        <f t="shared" si="37"/>
        <v>Female</v>
      </c>
      <c r="G783" s="18" t="s">
        <v>5226</v>
      </c>
      <c r="H783" s="18" t="s">
        <v>5227</v>
      </c>
      <c r="I783" s="18">
        <v>782</v>
      </c>
      <c r="J783" s="18">
        <v>782</v>
      </c>
      <c r="K783" s="18" t="s">
        <v>5</v>
      </c>
      <c r="L783" s="18" t="s">
        <v>4287</v>
      </c>
      <c r="M783" s="18" t="s">
        <v>4288</v>
      </c>
      <c r="N783" s="18" t="s">
        <v>48</v>
      </c>
      <c r="O783" s="18" t="s">
        <v>4289</v>
      </c>
      <c r="P783" s="18" t="s">
        <v>4290</v>
      </c>
      <c r="Q783" s="22">
        <f t="shared" si="38"/>
        <v>554470000</v>
      </c>
      <c r="R783" s="18">
        <v>221.27</v>
      </c>
      <c r="S783" s="19">
        <v>-13.31</v>
      </c>
      <c r="T783" s="18">
        <v>116663972</v>
      </c>
      <c r="U783" s="20">
        <v>45738</v>
      </c>
      <c r="V783" s="18" t="str">
        <f t="shared" si="36"/>
        <v>Complete</v>
      </c>
    </row>
    <row r="784" spans="1:22" ht="14.5" customHeight="1" x14ac:dyDescent="0.35">
      <c r="A784" s="15" t="s">
        <v>7780</v>
      </c>
      <c r="B784" s="15" t="s">
        <v>6912</v>
      </c>
      <c r="C784" s="15" t="s">
        <v>5228</v>
      </c>
      <c r="D784" s="15" t="s">
        <v>5229</v>
      </c>
      <c r="E784" s="15" t="s">
        <v>13</v>
      </c>
      <c r="F784" s="15" t="str">
        <f t="shared" si="37"/>
        <v>Male</v>
      </c>
      <c r="G784" s="15" t="s">
        <v>5230</v>
      </c>
      <c r="H784" s="15" t="s">
        <v>5231</v>
      </c>
      <c r="I784" s="15">
        <v>783</v>
      </c>
      <c r="J784" s="15">
        <v>783</v>
      </c>
      <c r="K784" s="15" t="s">
        <v>32</v>
      </c>
      <c r="L784" s="15" t="s">
        <v>5232</v>
      </c>
      <c r="M784" s="15" t="s">
        <v>5233</v>
      </c>
      <c r="N784" s="15" t="s">
        <v>99</v>
      </c>
      <c r="O784" s="15" t="s">
        <v>1929</v>
      </c>
      <c r="P784" s="15" t="s">
        <v>5234</v>
      </c>
      <c r="Q784" s="22">
        <f t="shared" si="38"/>
        <v>3620000000</v>
      </c>
      <c r="R784" s="15">
        <v>1074.24</v>
      </c>
      <c r="S784" s="16">
        <v>15.44</v>
      </c>
      <c r="T784" s="15">
        <v>149088095</v>
      </c>
      <c r="U784" s="17">
        <v>45863</v>
      </c>
      <c r="V784" s="15" t="str">
        <f t="shared" si="36"/>
        <v>Complete</v>
      </c>
    </row>
    <row r="785" spans="1:22" ht="14.5" customHeight="1" x14ac:dyDescent="0.35">
      <c r="A785" s="18" t="s">
        <v>7781</v>
      </c>
      <c r="B785" s="18" t="s">
        <v>6657</v>
      </c>
      <c r="C785" s="18" t="s">
        <v>904</v>
      </c>
      <c r="D785" s="18" t="s">
        <v>5235</v>
      </c>
      <c r="E785" s="18" t="s">
        <v>13</v>
      </c>
      <c r="F785" s="15" t="str">
        <f t="shared" si="37"/>
        <v>Male</v>
      </c>
      <c r="G785" s="18" t="s">
        <v>5236</v>
      </c>
      <c r="H785" s="18" t="s">
        <v>5237</v>
      </c>
      <c r="I785" s="18">
        <v>784</v>
      </c>
      <c r="J785" s="18">
        <v>784</v>
      </c>
      <c r="K785" s="18" t="s">
        <v>5</v>
      </c>
      <c r="L785" s="18" t="s">
        <v>5238</v>
      </c>
      <c r="M785" s="18" t="s">
        <v>5239</v>
      </c>
      <c r="N785" s="18" t="s">
        <v>8</v>
      </c>
      <c r="O785" s="18" t="s">
        <v>5240</v>
      </c>
      <c r="P785" s="18" t="s">
        <v>5241</v>
      </c>
      <c r="Q785" s="22">
        <f t="shared" si="38"/>
        <v>650540000</v>
      </c>
      <c r="R785" s="18">
        <v>1307.52</v>
      </c>
      <c r="S785" s="19">
        <v>7.29</v>
      </c>
      <c r="T785" s="18">
        <v>110050616</v>
      </c>
      <c r="U785" s="20">
        <v>44043</v>
      </c>
      <c r="V785" s="18" t="str">
        <f t="shared" si="36"/>
        <v>Complete</v>
      </c>
    </row>
    <row r="786" spans="1:22" ht="14.5" customHeight="1" x14ac:dyDescent="0.35">
      <c r="A786" s="15" t="s">
        <v>7782</v>
      </c>
      <c r="B786" s="15" t="s">
        <v>7038</v>
      </c>
      <c r="C786" s="15" t="s">
        <v>5242</v>
      </c>
      <c r="D786" s="15" t="s">
        <v>5243</v>
      </c>
      <c r="E786" s="15" t="s">
        <v>52</v>
      </c>
      <c r="F786" s="15" t="str">
        <f t="shared" si="37"/>
        <v>Other</v>
      </c>
      <c r="G786" s="15" t="s">
        <v>5244</v>
      </c>
      <c r="H786" s="15" t="s">
        <v>5245</v>
      </c>
      <c r="I786" s="15">
        <v>785</v>
      </c>
      <c r="J786" s="15">
        <v>785</v>
      </c>
      <c r="K786" s="15" t="s">
        <v>5</v>
      </c>
      <c r="L786" s="15" t="s">
        <v>5246</v>
      </c>
      <c r="M786" s="15" t="s">
        <v>5247</v>
      </c>
      <c r="N786" s="15" t="s">
        <v>8</v>
      </c>
      <c r="O786" s="15" t="s">
        <v>840</v>
      </c>
      <c r="P786" s="15" t="s">
        <v>5248</v>
      </c>
      <c r="Q786" s="22">
        <f t="shared" si="38"/>
        <v>420470000</v>
      </c>
      <c r="R786" s="15">
        <v>497.19</v>
      </c>
      <c r="S786" s="16">
        <v>3.08</v>
      </c>
      <c r="T786" s="15">
        <v>159270158</v>
      </c>
      <c r="U786" s="17">
        <v>44475</v>
      </c>
      <c r="V786" s="15" t="str">
        <f t="shared" si="36"/>
        <v>Complete</v>
      </c>
    </row>
    <row r="787" spans="1:22" ht="14.5" customHeight="1" x14ac:dyDescent="0.35">
      <c r="A787" s="18" t="s">
        <v>7783</v>
      </c>
      <c r="B787" s="18" t="s">
        <v>7357</v>
      </c>
      <c r="C787" s="18" t="s">
        <v>5249</v>
      </c>
      <c r="D787" s="18" t="s">
        <v>5250</v>
      </c>
      <c r="E787" s="18" t="s">
        <v>13</v>
      </c>
      <c r="F787" s="15" t="str">
        <f t="shared" si="37"/>
        <v>Male</v>
      </c>
      <c r="G787" s="18" t="s">
        <v>5251</v>
      </c>
      <c r="H787" s="18" t="s">
        <v>5252</v>
      </c>
      <c r="I787" s="18">
        <v>786</v>
      </c>
      <c r="J787" s="18">
        <v>786</v>
      </c>
      <c r="K787" s="18" t="s">
        <v>32</v>
      </c>
      <c r="L787" s="18" t="s">
        <v>5253</v>
      </c>
      <c r="M787" s="18" t="s">
        <v>5254</v>
      </c>
      <c r="N787" s="18" t="s">
        <v>25</v>
      </c>
      <c r="O787" s="18" t="s">
        <v>8034</v>
      </c>
      <c r="P787" s="18" t="s">
        <v>2244</v>
      </c>
      <c r="Q787" s="22">
        <f t="shared" si="38"/>
        <v>1230000000</v>
      </c>
      <c r="R787" s="18">
        <v>1822.38</v>
      </c>
      <c r="S787" s="19">
        <v>16.48</v>
      </c>
      <c r="T787" s="18">
        <v>61370690</v>
      </c>
      <c r="U787" s="20">
        <v>44366</v>
      </c>
      <c r="V787" s="18" t="str">
        <f t="shared" si="36"/>
        <v>Complete</v>
      </c>
    </row>
    <row r="788" spans="1:22" ht="14.5" customHeight="1" x14ac:dyDescent="0.35">
      <c r="A788" s="15" t="s">
        <v>7784</v>
      </c>
      <c r="B788" s="15" t="s">
        <v>7785</v>
      </c>
      <c r="C788" s="15" t="s">
        <v>5255</v>
      </c>
      <c r="D788" s="15" t="s">
        <v>5256</v>
      </c>
      <c r="E788" s="15" t="s">
        <v>13</v>
      </c>
      <c r="F788" s="15" t="str">
        <f t="shared" si="37"/>
        <v>Male</v>
      </c>
      <c r="G788" s="15" t="s">
        <v>5257</v>
      </c>
      <c r="H788" s="15" t="s">
        <v>5258</v>
      </c>
      <c r="I788" s="15">
        <v>787</v>
      </c>
      <c r="J788" s="15">
        <v>787</v>
      </c>
      <c r="K788" s="15" t="s">
        <v>32</v>
      </c>
      <c r="L788" s="15" t="s">
        <v>5259</v>
      </c>
      <c r="M788" s="15" t="s">
        <v>5260</v>
      </c>
      <c r="N788" s="15" t="s">
        <v>8033</v>
      </c>
      <c r="O788" s="15" t="s">
        <v>8033</v>
      </c>
      <c r="P788" s="15" t="s">
        <v>5261</v>
      </c>
      <c r="Q788" s="22">
        <f t="shared" si="38"/>
        <v>1110000000</v>
      </c>
      <c r="R788" s="15">
        <v>603.64</v>
      </c>
      <c r="S788" s="16">
        <v>-4.57</v>
      </c>
      <c r="T788" s="15">
        <v>61221156</v>
      </c>
      <c r="U788" s="17">
        <v>46141</v>
      </c>
      <c r="V788" s="15" t="str">
        <f t="shared" si="36"/>
        <v>Missing</v>
      </c>
    </row>
    <row r="789" spans="1:22" ht="14.5" customHeight="1" x14ac:dyDescent="0.35">
      <c r="A789" s="18" t="s">
        <v>7786</v>
      </c>
      <c r="B789" s="18" t="s">
        <v>7348</v>
      </c>
      <c r="C789" s="18" t="s">
        <v>5262</v>
      </c>
      <c r="D789" s="18" t="s">
        <v>5263</v>
      </c>
      <c r="E789" s="18" t="s">
        <v>2</v>
      </c>
      <c r="F789" s="15" t="str">
        <f t="shared" si="37"/>
        <v>Female</v>
      </c>
      <c r="G789" s="18" t="s">
        <v>5264</v>
      </c>
      <c r="H789" s="18" t="s">
        <v>5265</v>
      </c>
      <c r="I789" s="18">
        <v>788</v>
      </c>
      <c r="J789" s="18">
        <v>788</v>
      </c>
      <c r="K789" s="18" t="s">
        <v>5</v>
      </c>
      <c r="L789" s="18" t="s">
        <v>5266</v>
      </c>
      <c r="M789" s="18" t="s">
        <v>5267</v>
      </c>
      <c r="N789" s="18" t="s">
        <v>134</v>
      </c>
      <c r="O789" s="18" t="s">
        <v>135</v>
      </c>
      <c r="P789" s="18" t="s">
        <v>5268</v>
      </c>
      <c r="Q789" s="22">
        <f t="shared" si="38"/>
        <v>10720000</v>
      </c>
      <c r="R789" s="18">
        <v>1435.63</v>
      </c>
      <c r="S789" s="19">
        <v>-14.41</v>
      </c>
      <c r="T789" s="18">
        <v>95021260</v>
      </c>
      <c r="U789" s="20">
        <v>46133</v>
      </c>
      <c r="V789" s="18" t="str">
        <f t="shared" si="36"/>
        <v>Complete</v>
      </c>
    </row>
    <row r="790" spans="1:22" ht="14.5" customHeight="1" x14ac:dyDescent="0.35">
      <c r="A790" s="15" t="s">
        <v>7787</v>
      </c>
      <c r="B790" s="15" t="s">
        <v>7788</v>
      </c>
      <c r="C790" s="15" t="s">
        <v>5269</v>
      </c>
      <c r="D790" s="15" t="s">
        <v>5270</v>
      </c>
      <c r="E790" s="15" t="s">
        <v>2</v>
      </c>
      <c r="F790" s="15" t="str">
        <f t="shared" si="37"/>
        <v>Female</v>
      </c>
      <c r="G790" s="15" t="s">
        <v>5271</v>
      </c>
      <c r="H790" s="15" t="s">
        <v>5272</v>
      </c>
      <c r="I790" s="15">
        <v>789</v>
      </c>
      <c r="J790" s="15">
        <v>789</v>
      </c>
      <c r="K790" s="15" t="s">
        <v>32</v>
      </c>
      <c r="L790" s="15" t="s">
        <v>5273</v>
      </c>
      <c r="M790" s="15" t="s">
        <v>5274</v>
      </c>
      <c r="N790" s="15" t="s">
        <v>48</v>
      </c>
      <c r="O790" s="15" t="s">
        <v>57</v>
      </c>
      <c r="P790" s="15" t="s">
        <v>5275</v>
      </c>
      <c r="Q790" s="22">
        <f t="shared" si="38"/>
        <v>2600000000</v>
      </c>
      <c r="R790" s="15">
        <v>1010.58</v>
      </c>
      <c r="S790" s="16">
        <v>1.22</v>
      </c>
      <c r="T790" s="15">
        <v>5916206</v>
      </c>
      <c r="U790" s="17">
        <v>45360</v>
      </c>
      <c r="V790" s="15" t="str">
        <f t="shared" si="36"/>
        <v>Complete</v>
      </c>
    </row>
    <row r="791" spans="1:22" ht="14.5" customHeight="1" x14ac:dyDescent="0.35">
      <c r="A791" s="18" t="s">
        <v>7789</v>
      </c>
      <c r="B791" s="18" t="s">
        <v>6845</v>
      </c>
      <c r="C791" s="18" t="s">
        <v>5276</v>
      </c>
      <c r="D791" s="18" t="s">
        <v>5277</v>
      </c>
      <c r="E791" s="18" t="s">
        <v>2</v>
      </c>
      <c r="F791" s="15" t="str">
        <f t="shared" si="37"/>
        <v>Female</v>
      </c>
      <c r="G791" s="18" t="s">
        <v>5278</v>
      </c>
      <c r="H791" s="18" t="s">
        <v>5279</v>
      </c>
      <c r="I791" s="18">
        <v>790</v>
      </c>
      <c r="J791" s="18">
        <v>790</v>
      </c>
      <c r="K791" s="18" t="s">
        <v>5</v>
      </c>
      <c r="L791" s="18" t="s">
        <v>5280</v>
      </c>
      <c r="M791" s="18" t="s">
        <v>5281</v>
      </c>
      <c r="N791" s="18" t="s">
        <v>8</v>
      </c>
      <c r="O791" s="18" t="s">
        <v>840</v>
      </c>
      <c r="P791" s="18" t="s">
        <v>5282</v>
      </c>
      <c r="Q791" s="22">
        <f t="shared" si="38"/>
        <v>155640000</v>
      </c>
      <c r="R791" s="18">
        <v>726.7</v>
      </c>
      <c r="S791" s="19">
        <v>-10.98</v>
      </c>
      <c r="T791" s="18">
        <v>49327291</v>
      </c>
      <c r="U791" s="20">
        <v>43971</v>
      </c>
      <c r="V791" s="18" t="str">
        <f t="shared" si="36"/>
        <v>Complete</v>
      </c>
    </row>
    <row r="792" spans="1:22" ht="14.5" customHeight="1" x14ac:dyDescent="0.35">
      <c r="A792" s="15" t="s">
        <v>7790</v>
      </c>
      <c r="B792" s="15" t="s">
        <v>7243</v>
      </c>
      <c r="C792" s="15" t="s">
        <v>5283</v>
      </c>
      <c r="D792" s="15" t="s">
        <v>5284</v>
      </c>
      <c r="E792" s="15" t="s">
        <v>2</v>
      </c>
      <c r="F792" s="15" t="str">
        <f t="shared" si="37"/>
        <v>Female</v>
      </c>
      <c r="G792" s="15" t="s">
        <v>5285</v>
      </c>
      <c r="H792" s="15" t="s">
        <v>5286</v>
      </c>
      <c r="I792" s="15">
        <v>791</v>
      </c>
      <c r="J792" s="15">
        <v>791</v>
      </c>
      <c r="K792" s="15" t="s">
        <v>32</v>
      </c>
      <c r="L792" s="15" t="s">
        <v>5287</v>
      </c>
      <c r="M792" s="15" t="s">
        <v>5288</v>
      </c>
      <c r="N792" s="15" t="s">
        <v>8033</v>
      </c>
      <c r="O792" s="15" t="s">
        <v>8033</v>
      </c>
      <c r="P792" s="15" t="s">
        <v>5289</v>
      </c>
      <c r="Q792" s="22">
        <f t="shared" si="38"/>
        <v>503270000</v>
      </c>
      <c r="R792" s="15">
        <v>1153.57</v>
      </c>
      <c r="S792" s="16">
        <v>-13.01</v>
      </c>
      <c r="T792" s="15">
        <v>132098055</v>
      </c>
      <c r="U792" s="17">
        <v>44783</v>
      </c>
      <c r="V792" s="15" t="str">
        <f t="shared" si="36"/>
        <v>Missing</v>
      </c>
    </row>
    <row r="793" spans="1:22" ht="14.5" customHeight="1" x14ac:dyDescent="0.35">
      <c r="A793" s="18" t="s">
        <v>7791</v>
      </c>
      <c r="B793" s="18" t="s">
        <v>6653</v>
      </c>
      <c r="C793" s="18" t="s">
        <v>5290</v>
      </c>
      <c r="D793" s="18" t="s">
        <v>5291</v>
      </c>
      <c r="E793" s="18" t="s">
        <v>13</v>
      </c>
      <c r="F793" s="15" t="str">
        <f t="shared" si="37"/>
        <v>Male</v>
      </c>
      <c r="G793" s="18" t="s">
        <v>5292</v>
      </c>
      <c r="H793" s="18" t="s">
        <v>5293</v>
      </c>
      <c r="I793" s="18">
        <v>792</v>
      </c>
      <c r="J793" s="18">
        <v>792</v>
      </c>
      <c r="K793" s="18" t="s">
        <v>32</v>
      </c>
      <c r="L793" s="18" t="s">
        <v>5294</v>
      </c>
      <c r="M793" s="18" t="s">
        <v>5295</v>
      </c>
      <c r="N793" s="18" t="s">
        <v>25</v>
      </c>
      <c r="O793" s="18" t="s">
        <v>5296</v>
      </c>
      <c r="P793" s="18" t="s">
        <v>5297</v>
      </c>
      <c r="Q793" s="22">
        <f t="shared" si="38"/>
        <v>7810000000</v>
      </c>
      <c r="R793" s="18">
        <v>452.49</v>
      </c>
      <c r="S793" s="19">
        <v>-13.08</v>
      </c>
      <c r="T793" s="18">
        <v>186777362</v>
      </c>
      <c r="U793" s="20">
        <v>46085</v>
      </c>
      <c r="V793" s="18" t="str">
        <f t="shared" si="36"/>
        <v>Complete</v>
      </c>
    </row>
    <row r="794" spans="1:22" ht="14.5" customHeight="1" x14ac:dyDescent="0.35">
      <c r="A794" s="15" t="s">
        <v>7792</v>
      </c>
      <c r="B794" s="15" t="s">
        <v>7654</v>
      </c>
      <c r="C794" s="15" t="s">
        <v>5298</v>
      </c>
      <c r="D794" s="15" t="s">
        <v>5299</v>
      </c>
      <c r="E794" s="15" t="s">
        <v>13</v>
      </c>
      <c r="F794" s="15" t="str">
        <f t="shared" si="37"/>
        <v>Male</v>
      </c>
      <c r="G794" s="15" t="s">
        <v>5300</v>
      </c>
      <c r="H794" s="15" t="s">
        <v>5301</v>
      </c>
      <c r="I794" s="15">
        <v>793</v>
      </c>
      <c r="J794" s="15">
        <v>793</v>
      </c>
      <c r="K794" s="15" t="s">
        <v>5</v>
      </c>
      <c r="L794" s="15" t="s">
        <v>5302</v>
      </c>
      <c r="M794" s="15" t="s">
        <v>5303</v>
      </c>
      <c r="N794" s="15" t="s">
        <v>66</v>
      </c>
      <c r="O794" s="15" t="s">
        <v>293</v>
      </c>
      <c r="P794" s="15" t="s">
        <v>5304</v>
      </c>
      <c r="Q794" s="22">
        <f t="shared" si="38"/>
        <v>12080000000</v>
      </c>
      <c r="R794" s="15">
        <v>742.09</v>
      </c>
      <c r="S794" s="16">
        <v>-8.59</v>
      </c>
      <c r="T794" s="15">
        <v>192067608</v>
      </c>
      <c r="U794" s="17">
        <v>45974</v>
      </c>
      <c r="V794" s="15" t="str">
        <f t="shared" si="36"/>
        <v>Complete</v>
      </c>
    </row>
    <row r="795" spans="1:22" ht="14.5" customHeight="1" x14ac:dyDescent="0.35">
      <c r="A795" s="18" t="s">
        <v>7793</v>
      </c>
      <c r="B795" s="18" t="s">
        <v>6925</v>
      </c>
      <c r="C795" s="18" t="s">
        <v>5305</v>
      </c>
      <c r="D795" s="18" t="s">
        <v>5306</v>
      </c>
      <c r="E795" s="18" t="s">
        <v>2</v>
      </c>
      <c r="F795" s="15" t="str">
        <f t="shared" si="37"/>
        <v>Female</v>
      </c>
      <c r="G795" s="18" t="s">
        <v>5307</v>
      </c>
      <c r="H795" s="18" t="s">
        <v>5308</v>
      </c>
      <c r="I795" s="18">
        <v>794</v>
      </c>
      <c r="J795" s="18">
        <v>794</v>
      </c>
      <c r="K795" s="18" t="s">
        <v>32</v>
      </c>
      <c r="L795" s="18" t="s">
        <v>929</v>
      </c>
      <c r="M795" s="18" t="s">
        <v>930</v>
      </c>
      <c r="N795" s="18" t="s">
        <v>90</v>
      </c>
      <c r="O795" s="18" t="s">
        <v>931</v>
      </c>
      <c r="P795" s="18" t="s">
        <v>826</v>
      </c>
      <c r="Q795" s="22">
        <f t="shared" si="38"/>
        <v>4820000000</v>
      </c>
      <c r="R795" s="18">
        <v>1930.85</v>
      </c>
      <c r="S795" s="19">
        <v>9.61</v>
      </c>
      <c r="T795" s="18">
        <v>144980722</v>
      </c>
      <c r="U795" s="20">
        <v>43898</v>
      </c>
      <c r="V795" s="18" t="str">
        <f t="shared" si="36"/>
        <v>Complete</v>
      </c>
    </row>
    <row r="796" spans="1:22" ht="14.5" customHeight="1" x14ac:dyDescent="0.35">
      <c r="A796" s="15" t="s">
        <v>7794</v>
      </c>
      <c r="B796" s="15" t="s">
        <v>7620</v>
      </c>
      <c r="C796" s="15" t="s">
        <v>5309</v>
      </c>
      <c r="D796" s="15" t="s">
        <v>5310</v>
      </c>
      <c r="E796" s="15" t="s">
        <v>161</v>
      </c>
      <c r="F796" s="15" t="str">
        <f t="shared" si="37"/>
        <v>Other</v>
      </c>
      <c r="G796" s="15" t="s">
        <v>5311</v>
      </c>
      <c r="H796" s="15" t="s">
        <v>5312</v>
      </c>
      <c r="I796" s="15">
        <v>795</v>
      </c>
      <c r="J796" s="15">
        <v>795</v>
      </c>
      <c r="K796" s="15" t="s">
        <v>5</v>
      </c>
      <c r="L796" s="15" t="s">
        <v>5313</v>
      </c>
      <c r="M796" s="15" t="s">
        <v>5314</v>
      </c>
      <c r="N796" s="15" t="s">
        <v>25</v>
      </c>
      <c r="O796" s="15" t="s">
        <v>308</v>
      </c>
      <c r="P796" s="15" t="s">
        <v>5315</v>
      </c>
      <c r="Q796" s="22">
        <f t="shared" si="38"/>
        <v>191030000</v>
      </c>
      <c r="R796" s="15">
        <v>628.95000000000005</v>
      </c>
      <c r="S796" s="16">
        <v>-3.59</v>
      </c>
      <c r="T796" s="15">
        <v>105000067</v>
      </c>
      <c r="U796" s="17">
        <v>44080</v>
      </c>
      <c r="V796" s="15" t="str">
        <f t="shared" si="36"/>
        <v>Complete</v>
      </c>
    </row>
    <row r="797" spans="1:22" ht="14.5" customHeight="1" x14ac:dyDescent="0.35">
      <c r="A797" s="18" t="s">
        <v>7795</v>
      </c>
      <c r="B797" s="18" t="s">
        <v>7587</v>
      </c>
      <c r="C797" s="18" t="s">
        <v>3466</v>
      </c>
      <c r="D797" s="18" t="s">
        <v>5316</v>
      </c>
      <c r="E797" s="18" t="s">
        <v>2</v>
      </c>
      <c r="F797" s="15" t="str">
        <f t="shared" si="37"/>
        <v>Female</v>
      </c>
      <c r="G797" s="18" t="s">
        <v>5317</v>
      </c>
      <c r="H797" s="18" t="s">
        <v>5318</v>
      </c>
      <c r="I797" s="18">
        <v>796</v>
      </c>
      <c r="J797" s="18">
        <v>796</v>
      </c>
      <c r="K797" s="18" t="s">
        <v>5</v>
      </c>
      <c r="L797" s="18" t="s">
        <v>5319</v>
      </c>
      <c r="M797" s="18" t="s">
        <v>5320</v>
      </c>
      <c r="N797" s="18" t="s">
        <v>8033</v>
      </c>
      <c r="O797" s="18" t="s">
        <v>8033</v>
      </c>
      <c r="P797" s="18" t="s">
        <v>5321</v>
      </c>
      <c r="Q797" s="22">
        <f t="shared" si="38"/>
        <v>25390000</v>
      </c>
      <c r="R797" s="18">
        <v>1841.03</v>
      </c>
      <c r="S797" s="19">
        <v>-15.17</v>
      </c>
      <c r="T797" s="18">
        <v>29840246</v>
      </c>
      <c r="U797" s="20">
        <v>43887</v>
      </c>
      <c r="V797" s="18" t="str">
        <f t="shared" si="36"/>
        <v>Missing</v>
      </c>
    </row>
    <row r="798" spans="1:22" ht="14.5" customHeight="1" x14ac:dyDescent="0.35">
      <c r="A798" s="15" t="s">
        <v>7796</v>
      </c>
      <c r="B798" s="15" t="s">
        <v>7797</v>
      </c>
      <c r="C798" s="15" t="s">
        <v>5322</v>
      </c>
      <c r="D798" s="15" t="s">
        <v>5323</v>
      </c>
      <c r="E798" s="15" t="s">
        <v>13</v>
      </c>
      <c r="F798" s="15" t="str">
        <f t="shared" si="37"/>
        <v>Male</v>
      </c>
      <c r="G798" s="15" t="s">
        <v>5324</v>
      </c>
      <c r="H798" s="15" t="s">
        <v>5325</v>
      </c>
      <c r="I798" s="15">
        <v>797</v>
      </c>
      <c r="J798" s="15">
        <v>797</v>
      </c>
      <c r="K798" s="15" t="s">
        <v>32</v>
      </c>
      <c r="L798" s="15" t="s">
        <v>2991</v>
      </c>
      <c r="M798" s="15" t="s">
        <v>2992</v>
      </c>
      <c r="N798" s="15" t="s">
        <v>8033</v>
      </c>
      <c r="O798" s="15" t="s">
        <v>8033</v>
      </c>
      <c r="P798" s="15" t="s">
        <v>8033</v>
      </c>
      <c r="Q798" s="22">
        <f t="shared" si="38"/>
        <v>0</v>
      </c>
      <c r="R798" s="15">
        <v>1318.08</v>
      </c>
      <c r="S798" s="16">
        <v>1.92</v>
      </c>
      <c r="T798" s="15">
        <v>137272262</v>
      </c>
      <c r="U798" s="17">
        <v>45299</v>
      </c>
      <c r="V798" s="15" t="str">
        <f t="shared" si="36"/>
        <v>Missing</v>
      </c>
    </row>
    <row r="799" spans="1:22" ht="14.5" customHeight="1" x14ac:dyDescent="0.35">
      <c r="A799" s="18" t="s">
        <v>7798</v>
      </c>
      <c r="B799" s="18" t="s">
        <v>6939</v>
      </c>
      <c r="C799" s="18" t="s">
        <v>5326</v>
      </c>
      <c r="D799" s="18" t="s">
        <v>5327</v>
      </c>
      <c r="E799" s="18" t="s">
        <v>13</v>
      </c>
      <c r="F799" s="15" t="str">
        <f t="shared" si="37"/>
        <v>Male</v>
      </c>
      <c r="G799" s="18" t="s">
        <v>5328</v>
      </c>
      <c r="H799" s="18" t="s">
        <v>5329</v>
      </c>
      <c r="I799" s="18">
        <v>798</v>
      </c>
      <c r="J799" s="18">
        <v>798</v>
      </c>
      <c r="K799" s="18" t="s">
        <v>32</v>
      </c>
      <c r="L799" s="18" t="s">
        <v>5330</v>
      </c>
      <c r="M799" s="18" t="s">
        <v>5331</v>
      </c>
      <c r="N799" s="18" t="s">
        <v>99</v>
      </c>
      <c r="O799" s="18" t="s">
        <v>109</v>
      </c>
      <c r="P799" s="18" t="s">
        <v>5332</v>
      </c>
      <c r="Q799" s="22">
        <f t="shared" si="38"/>
        <v>7490000000</v>
      </c>
      <c r="R799" s="18">
        <v>1520.89</v>
      </c>
      <c r="S799" s="19">
        <v>-19.22</v>
      </c>
      <c r="T799" s="18">
        <v>189273624</v>
      </c>
      <c r="U799" s="20">
        <v>43929</v>
      </c>
      <c r="V799" s="18" t="str">
        <f t="shared" si="36"/>
        <v>Complete</v>
      </c>
    </row>
    <row r="800" spans="1:22" ht="14.5" customHeight="1" x14ac:dyDescent="0.35">
      <c r="A800" s="15" t="s">
        <v>7799</v>
      </c>
      <c r="B800" s="15" t="s">
        <v>7216</v>
      </c>
      <c r="C800" s="15" t="s">
        <v>5333</v>
      </c>
      <c r="D800" s="15" t="s">
        <v>5334</v>
      </c>
      <c r="E800" s="15" t="s">
        <v>104</v>
      </c>
      <c r="F800" s="15" t="str">
        <f t="shared" si="37"/>
        <v>Other</v>
      </c>
      <c r="G800" s="15" t="s">
        <v>5335</v>
      </c>
      <c r="H800" s="15" t="s">
        <v>5336</v>
      </c>
      <c r="I800" s="15">
        <v>799</v>
      </c>
      <c r="J800" s="15">
        <v>799</v>
      </c>
      <c r="K800" s="15" t="s">
        <v>5</v>
      </c>
      <c r="L800" s="15" t="s">
        <v>5337</v>
      </c>
      <c r="M800" s="15" t="s">
        <v>5338</v>
      </c>
      <c r="N800" s="15" t="s">
        <v>8033</v>
      </c>
      <c r="O800" s="15" t="s">
        <v>8033</v>
      </c>
      <c r="P800" s="15" t="s">
        <v>5339</v>
      </c>
      <c r="Q800" s="22">
        <f t="shared" si="38"/>
        <v>3500000</v>
      </c>
      <c r="R800" s="15">
        <v>144.63999999999999</v>
      </c>
      <c r="S800" s="16">
        <v>-5.82</v>
      </c>
      <c r="T800" s="15">
        <v>96654690</v>
      </c>
      <c r="U800" s="17">
        <v>46010</v>
      </c>
      <c r="V800" s="15" t="str">
        <f t="shared" si="36"/>
        <v>Missing</v>
      </c>
    </row>
    <row r="801" spans="1:22" ht="14.5" customHeight="1" x14ac:dyDescent="0.35">
      <c r="A801" s="18" t="s">
        <v>7800</v>
      </c>
      <c r="B801" s="18" t="s">
        <v>7303</v>
      </c>
      <c r="C801" s="18" t="s">
        <v>5340</v>
      </c>
      <c r="D801" s="18" t="s">
        <v>5341</v>
      </c>
      <c r="E801" s="18" t="s">
        <v>2</v>
      </c>
      <c r="F801" s="15" t="str">
        <f t="shared" si="37"/>
        <v>Female</v>
      </c>
      <c r="G801" s="18" t="s">
        <v>5342</v>
      </c>
      <c r="H801" s="18" t="s">
        <v>5343</v>
      </c>
      <c r="I801" s="18">
        <v>800</v>
      </c>
      <c r="J801" s="18">
        <v>800</v>
      </c>
      <c r="K801" s="18" t="s">
        <v>32</v>
      </c>
      <c r="L801" s="18" t="s">
        <v>5344</v>
      </c>
      <c r="M801" s="18" t="s">
        <v>5345</v>
      </c>
      <c r="N801" s="18" t="s">
        <v>48</v>
      </c>
      <c r="O801" s="18" t="s">
        <v>364</v>
      </c>
      <c r="P801" s="18" t="s">
        <v>5346</v>
      </c>
      <c r="Q801" s="22">
        <f t="shared" si="38"/>
        <v>7930000000</v>
      </c>
      <c r="R801" s="18">
        <v>865.54</v>
      </c>
      <c r="S801" s="19">
        <v>5.7</v>
      </c>
      <c r="T801" s="18">
        <v>179799430</v>
      </c>
      <c r="U801" s="20">
        <v>45791</v>
      </c>
      <c r="V801" s="18" t="str">
        <f t="shared" si="36"/>
        <v>Complete</v>
      </c>
    </row>
    <row r="802" spans="1:22" ht="14.5" customHeight="1" x14ac:dyDescent="0.35">
      <c r="A802" s="15" t="s">
        <v>7801</v>
      </c>
      <c r="B802" s="15" t="s">
        <v>7094</v>
      </c>
      <c r="C802" s="15" t="s">
        <v>5347</v>
      </c>
      <c r="D802" s="15" t="s">
        <v>5348</v>
      </c>
      <c r="E802" s="15" t="s">
        <v>2</v>
      </c>
      <c r="F802" s="15" t="str">
        <f t="shared" si="37"/>
        <v>Female</v>
      </c>
      <c r="G802" s="15" t="s">
        <v>5349</v>
      </c>
      <c r="H802" s="15" t="s">
        <v>5350</v>
      </c>
      <c r="I802" s="15">
        <v>801</v>
      </c>
      <c r="J802" s="15">
        <v>801</v>
      </c>
      <c r="K802" s="15" t="s">
        <v>5</v>
      </c>
      <c r="L802" s="15" t="s">
        <v>3382</v>
      </c>
      <c r="M802" s="15" t="s">
        <v>3383</v>
      </c>
      <c r="N802" s="15" t="s">
        <v>8</v>
      </c>
      <c r="O802" s="15" t="s">
        <v>2468</v>
      </c>
      <c r="P802" s="15" t="s">
        <v>3384</v>
      </c>
      <c r="Q802" s="22">
        <f t="shared" si="38"/>
        <v>14160000000</v>
      </c>
      <c r="R802" s="15">
        <v>594.46</v>
      </c>
      <c r="S802" s="16">
        <v>-10.19</v>
      </c>
      <c r="T802" s="15">
        <v>162778870</v>
      </c>
      <c r="U802" s="17">
        <v>44152</v>
      </c>
      <c r="V802" s="15" t="str">
        <f t="shared" si="36"/>
        <v>Complete</v>
      </c>
    </row>
    <row r="803" spans="1:22" ht="14.5" customHeight="1" x14ac:dyDescent="0.35">
      <c r="A803" s="18" t="s">
        <v>7802</v>
      </c>
      <c r="B803" s="18" t="s">
        <v>6591</v>
      </c>
      <c r="C803" s="18" t="s">
        <v>5351</v>
      </c>
      <c r="D803" s="18" t="s">
        <v>5352</v>
      </c>
      <c r="E803" s="18" t="s">
        <v>2</v>
      </c>
      <c r="F803" s="15" t="str">
        <f t="shared" si="37"/>
        <v>Female</v>
      </c>
      <c r="G803" s="18" t="s">
        <v>5353</v>
      </c>
      <c r="H803" s="18" t="s">
        <v>5354</v>
      </c>
      <c r="I803" s="18">
        <v>802</v>
      </c>
      <c r="J803" s="18">
        <v>802</v>
      </c>
      <c r="K803" s="18" t="s">
        <v>32</v>
      </c>
      <c r="L803" s="18" t="s">
        <v>5355</v>
      </c>
      <c r="M803" s="18" t="s">
        <v>5356</v>
      </c>
      <c r="N803" s="18" t="s">
        <v>8033</v>
      </c>
      <c r="O803" s="18" t="s">
        <v>8033</v>
      </c>
      <c r="P803" s="18" t="s">
        <v>8033</v>
      </c>
      <c r="Q803" s="22">
        <f t="shared" si="38"/>
        <v>0</v>
      </c>
      <c r="R803" s="18">
        <v>1484.57</v>
      </c>
      <c r="S803" s="19">
        <v>-2.42</v>
      </c>
      <c r="T803" s="18">
        <v>19573183</v>
      </c>
      <c r="U803" s="20">
        <v>44847</v>
      </c>
      <c r="V803" s="18" t="str">
        <f t="shared" si="36"/>
        <v>Missing</v>
      </c>
    </row>
    <row r="804" spans="1:22" ht="14.5" customHeight="1" x14ac:dyDescent="0.35">
      <c r="A804" s="15" t="s">
        <v>7803</v>
      </c>
      <c r="B804" s="15" t="s">
        <v>6916</v>
      </c>
      <c r="C804" s="15" t="s">
        <v>5357</v>
      </c>
      <c r="D804" s="15" t="s">
        <v>5358</v>
      </c>
      <c r="E804" s="15" t="s">
        <v>2</v>
      </c>
      <c r="F804" s="15" t="str">
        <f t="shared" si="37"/>
        <v>Female</v>
      </c>
      <c r="G804" s="15" t="s">
        <v>5359</v>
      </c>
      <c r="H804" s="15" t="s">
        <v>5360</v>
      </c>
      <c r="I804" s="15">
        <v>803</v>
      </c>
      <c r="J804" s="15">
        <v>803</v>
      </c>
      <c r="K804" s="15" t="s">
        <v>5</v>
      </c>
      <c r="L804" s="15" t="s">
        <v>5361</v>
      </c>
      <c r="M804" s="15" t="s">
        <v>5362</v>
      </c>
      <c r="N804" s="15" t="s">
        <v>99</v>
      </c>
      <c r="O804" s="15" t="s">
        <v>1498</v>
      </c>
      <c r="P804" s="15" t="s">
        <v>5363</v>
      </c>
      <c r="Q804" s="22">
        <f t="shared" si="38"/>
        <v>154070000</v>
      </c>
      <c r="R804" s="15">
        <v>1971.44</v>
      </c>
      <c r="S804" s="16">
        <v>-8.84</v>
      </c>
      <c r="T804" s="15">
        <v>109048564</v>
      </c>
      <c r="U804" s="17">
        <v>45400</v>
      </c>
      <c r="V804" s="15" t="str">
        <f t="shared" si="36"/>
        <v>Complete</v>
      </c>
    </row>
    <row r="805" spans="1:22" ht="14.5" customHeight="1" x14ac:dyDescent="0.35">
      <c r="A805" s="18" t="s">
        <v>7804</v>
      </c>
      <c r="B805" s="18" t="s">
        <v>7439</v>
      </c>
      <c r="C805" s="18" t="s">
        <v>4506</v>
      </c>
      <c r="D805" s="18" t="s">
        <v>5364</v>
      </c>
      <c r="E805" s="18" t="s">
        <v>13</v>
      </c>
      <c r="F805" s="15" t="str">
        <f t="shared" si="37"/>
        <v>Male</v>
      </c>
      <c r="G805" s="18" t="s">
        <v>5365</v>
      </c>
      <c r="H805" s="18" t="s">
        <v>5366</v>
      </c>
      <c r="I805" s="18">
        <v>804</v>
      </c>
      <c r="J805" s="18">
        <v>804</v>
      </c>
      <c r="K805" s="18" t="s">
        <v>5</v>
      </c>
      <c r="L805" s="18" t="s">
        <v>5367</v>
      </c>
      <c r="M805" s="18" t="s">
        <v>5368</v>
      </c>
      <c r="N805" s="18" t="s">
        <v>48</v>
      </c>
      <c r="O805" s="18" t="s">
        <v>204</v>
      </c>
      <c r="P805" s="18" t="s">
        <v>5369</v>
      </c>
      <c r="Q805" s="22">
        <f t="shared" si="38"/>
        <v>475980000</v>
      </c>
      <c r="R805" s="18">
        <v>970.98</v>
      </c>
      <c r="S805" s="19">
        <v>17.239999999999998</v>
      </c>
      <c r="T805" s="18">
        <v>82703777</v>
      </c>
      <c r="U805" s="20">
        <v>46073</v>
      </c>
      <c r="V805" s="18" t="str">
        <f t="shared" si="36"/>
        <v>Complete</v>
      </c>
    </row>
    <row r="806" spans="1:22" ht="14.5" customHeight="1" x14ac:dyDescent="0.35">
      <c r="A806" s="15" t="s">
        <v>7805</v>
      </c>
      <c r="B806" s="15" t="s">
        <v>7444</v>
      </c>
      <c r="C806" s="15" t="s">
        <v>5370</v>
      </c>
      <c r="D806" s="15" t="s">
        <v>5371</v>
      </c>
      <c r="E806" s="15" t="s">
        <v>2</v>
      </c>
      <c r="F806" s="15" t="str">
        <f t="shared" si="37"/>
        <v>Female</v>
      </c>
      <c r="G806" s="15" t="s">
        <v>5372</v>
      </c>
      <c r="H806" s="15" t="s">
        <v>5373</v>
      </c>
      <c r="I806" s="15">
        <v>805</v>
      </c>
      <c r="J806" s="15">
        <v>805</v>
      </c>
      <c r="K806" s="15" t="s">
        <v>5</v>
      </c>
      <c r="L806" s="15" t="s">
        <v>5374</v>
      </c>
      <c r="M806" s="15" t="s">
        <v>5375</v>
      </c>
      <c r="N806" s="15" t="s">
        <v>8</v>
      </c>
      <c r="O806" s="15" t="s">
        <v>840</v>
      </c>
      <c r="P806" s="15" t="s">
        <v>5376</v>
      </c>
      <c r="Q806" s="22">
        <f t="shared" si="38"/>
        <v>121380000</v>
      </c>
      <c r="R806" s="15">
        <v>863.67</v>
      </c>
      <c r="S806" s="16">
        <v>-1.4</v>
      </c>
      <c r="T806" s="15">
        <v>99272902</v>
      </c>
      <c r="U806" s="17">
        <v>45267</v>
      </c>
      <c r="V806" s="15" t="str">
        <f t="shared" si="36"/>
        <v>Complete</v>
      </c>
    </row>
    <row r="807" spans="1:22" ht="14.5" customHeight="1" x14ac:dyDescent="0.35">
      <c r="A807" s="18" t="s">
        <v>7806</v>
      </c>
      <c r="B807" s="18" t="s">
        <v>6739</v>
      </c>
      <c r="C807" s="18" t="s">
        <v>896</v>
      </c>
      <c r="D807" s="18" t="s">
        <v>5377</v>
      </c>
      <c r="E807" s="18" t="s">
        <v>2</v>
      </c>
      <c r="F807" s="15" t="str">
        <f t="shared" si="37"/>
        <v>Female</v>
      </c>
      <c r="G807" s="18" t="s">
        <v>5378</v>
      </c>
      <c r="H807" s="18" t="s">
        <v>5379</v>
      </c>
      <c r="I807" s="18">
        <v>806</v>
      </c>
      <c r="J807" s="18">
        <v>806</v>
      </c>
      <c r="K807" s="18" t="s">
        <v>5</v>
      </c>
      <c r="L807" s="18" t="s">
        <v>5380</v>
      </c>
      <c r="M807" s="18" t="s">
        <v>5381</v>
      </c>
      <c r="N807" s="18" t="s">
        <v>25</v>
      </c>
      <c r="O807" s="18" t="s">
        <v>684</v>
      </c>
      <c r="P807" s="18" t="s">
        <v>5382</v>
      </c>
      <c r="Q807" s="22">
        <f t="shared" si="38"/>
        <v>61010000000</v>
      </c>
      <c r="R807" s="18">
        <v>1306.83</v>
      </c>
      <c r="S807" s="19">
        <v>-4.37</v>
      </c>
      <c r="T807" s="18">
        <v>104289787</v>
      </c>
      <c r="U807" s="20">
        <v>44050</v>
      </c>
      <c r="V807" s="18" t="str">
        <f t="shared" si="36"/>
        <v>Complete</v>
      </c>
    </row>
    <row r="808" spans="1:22" ht="14.5" customHeight="1" x14ac:dyDescent="0.35">
      <c r="A808" s="15" t="s">
        <v>7807</v>
      </c>
      <c r="B808" s="15" t="s">
        <v>7276</v>
      </c>
      <c r="C808" s="15" t="s">
        <v>5383</v>
      </c>
      <c r="D808" s="15" t="s">
        <v>5384</v>
      </c>
      <c r="E808" s="15" t="s">
        <v>13</v>
      </c>
      <c r="F808" s="15" t="str">
        <f t="shared" si="37"/>
        <v>Male</v>
      </c>
      <c r="G808" s="15" t="s">
        <v>5385</v>
      </c>
      <c r="H808" s="15" t="s">
        <v>5386</v>
      </c>
      <c r="I808" s="15">
        <v>807</v>
      </c>
      <c r="J808" s="15">
        <v>807</v>
      </c>
      <c r="K808" s="15" t="s">
        <v>32</v>
      </c>
      <c r="L808" s="15" t="s">
        <v>5387</v>
      </c>
      <c r="M808" s="15" t="s">
        <v>5388</v>
      </c>
      <c r="N808" s="15" t="s">
        <v>8033</v>
      </c>
      <c r="O808" s="15" t="s">
        <v>8033</v>
      </c>
      <c r="P808" s="15" t="s">
        <v>5389</v>
      </c>
      <c r="Q808" s="22">
        <f t="shared" si="38"/>
        <v>186310000</v>
      </c>
      <c r="R808" s="15">
        <v>799.63</v>
      </c>
      <c r="S808" s="16">
        <v>4.99</v>
      </c>
      <c r="T808" s="15">
        <v>107079098</v>
      </c>
      <c r="U808" s="17">
        <v>44745</v>
      </c>
      <c r="V808" s="15" t="str">
        <f t="shared" si="36"/>
        <v>Missing</v>
      </c>
    </row>
    <row r="809" spans="1:22" ht="14.5" customHeight="1" x14ac:dyDescent="0.35">
      <c r="A809" s="18" t="s">
        <v>7808</v>
      </c>
      <c r="B809" s="18" t="s">
        <v>7181</v>
      </c>
      <c r="C809" s="18" t="s">
        <v>5390</v>
      </c>
      <c r="D809" s="18" t="s">
        <v>5391</v>
      </c>
      <c r="E809" s="18" t="s">
        <v>13</v>
      </c>
      <c r="F809" s="15" t="str">
        <f t="shared" si="37"/>
        <v>Male</v>
      </c>
      <c r="G809" s="18" t="s">
        <v>5392</v>
      </c>
      <c r="H809" s="18" t="s">
        <v>5393</v>
      </c>
      <c r="I809" s="18">
        <v>808</v>
      </c>
      <c r="J809" s="18">
        <v>808</v>
      </c>
      <c r="K809" s="18" t="s">
        <v>32</v>
      </c>
      <c r="L809" s="18" t="s">
        <v>5394</v>
      </c>
      <c r="M809" s="18" t="s">
        <v>5395</v>
      </c>
      <c r="N809" s="18" t="s">
        <v>8033</v>
      </c>
      <c r="O809" s="18" t="s">
        <v>8033</v>
      </c>
      <c r="P809" s="18" t="s">
        <v>8033</v>
      </c>
      <c r="Q809" s="22">
        <f t="shared" si="38"/>
        <v>0</v>
      </c>
      <c r="R809" s="18">
        <v>217.39</v>
      </c>
      <c r="S809" s="19">
        <v>13.12</v>
      </c>
      <c r="T809" s="18">
        <v>58163787</v>
      </c>
      <c r="U809" s="20">
        <v>44851</v>
      </c>
      <c r="V809" s="18" t="str">
        <f t="shared" si="36"/>
        <v>Missing</v>
      </c>
    </row>
    <row r="810" spans="1:22" ht="14.5" customHeight="1" x14ac:dyDescent="0.35">
      <c r="A810" s="15" t="s">
        <v>7809</v>
      </c>
      <c r="B810" s="15" t="s">
        <v>6793</v>
      </c>
      <c r="C810" s="15" t="s">
        <v>5396</v>
      </c>
      <c r="D810" s="15" t="s">
        <v>5397</v>
      </c>
      <c r="E810" s="15" t="s">
        <v>13</v>
      </c>
      <c r="F810" s="15" t="str">
        <f t="shared" si="37"/>
        <v>Male</v>
      </c>
      <c r="G810" s="15" t="s">
        <v>5398</v>
      </c>
      <c r="H810" s="15" t="s">
        <v>5399</v>
      </c>
      <c r="I810" s="15">
        <v>809</v>
      </c>
      <c r="J810" s="15">
        <v>809</v>
      </c>
      <c r="K810" s="15" t="s">
        <v>5</v>
      </c>
      <c r="L810" s="15" t="s">
        <v>5400</v>
      </c>
      <c r="M810" s="15" t="s">
        <v>5401</v>
      </c>
      <c r="N810" s="15" t="s">
        <v>189</v>
      </c>
      <c r="O810" s="15" t="s">
        <v>776</v>
      </c>
      <c r="P810" s="15" t="s">
        <v>5402</v>
      </c>
      <c r="Q810" s="22">
        <f t="shared" si="38"/>
        <v>26030000</v>
      </c>
      <c r="R810" s="15">
        <v>211.97</v>
      </c>
      <c r="S810" s="16">
        <v>16.05</v>
      </c>
      <c r="T810" s="15">
        <v>69233070</v>
      </c>
      <c r="U810" s="17">
        <v>45305</v>
      </c>
      <c r="V810" s="15" t="str">
        <f t="shared" si="36"/>
        <v>Complete</v>
      </c>
    </row>
    <row r="811" spans="1:22" ht="14.5" customHeight="1" x14ac:dyDescent="0.35">
      <c r="A811" s="18" t="s">
        <v>7810</v>
      </c>
      <c r="B811" s="18" t="s">
        <v>7158</v>
      </c>
      <c r="C811" s="18" t="s">
        <v>5403</v>
      </c>
      <c r="D811" s="18" t="s">
        <v>5404</v>
      </c>
      <c r="E811" s="18" t="s">
        <v>2</v>
      </c>
      <c r="F811" s="15" t="str">
        <f t="shared" si="37"/>
        <v>Female</v>
      </c>
      <c r="G811" s="18" t="s">
        <v>5405</v>
      </c>
      <c r="H811" s="18" t="s">
        <v>5406</v>
      </c>
      <c r="I811" s="18">
        <v>810</v>
      </c>
      <c r="J811" s="18">
        <v>810</v>
      </c>
      <c r="K811" s="18" t="s">
        <v>32</v>
      </c>
      <c r="L811" s="18" t="s">
        <v>4357</v>
      </c>
      <c r="M811" s="18" t="s">
        <v>4358</v>
      </c>
      <c r="N811" s="18" t="s">
        <v>8033</v>
      </c>
      <c r="O811" s="18" t="s">
        <v>8033</v>
      </c>
      <c r="P811" s="18" t="s">
        <v>8033</v>
      </c>
      <c r="Q811" s="22">
        <f t="shared" si="38"/>
        <v>0</v>
      </c>
      <c r="R811" s="18">
        <v>1868.78</v>
      </c>
      <c r="S811" s="19">
        <v>-19.690000000000001</v>
      </c>
      <c r="T811" s="18">
        <v>160319136</v>
      </c>
      <c r="U811" s="20">
        <v>44106</v>
      </c>
      <c r="V811" s="18" t="str">
        <f t="shared" si="36"/>
        <v>Missing</v>
      </c>
    </row>
    <row r="812" spans="1:22" ht="14.5" customHeight="1" x14ac:dyDescent="0.35">
      <c r="A812" s="15" t="s">
        <v>7811</v>
      </c>
      <c r="B812" s="15" t="s">
        <v>6674</v>
      </c>
      <c r="C812" s="15" t="s">
        <v>5407</v>
      </c>
      <c r="D812" s="15" t="s">
        <v>5408</v>
      </c>
      <c r="E812" s="15" t="s">
        <v>2</v>
      </c>
      <c r="F812" s="15" t="str">
        <f t="shared" si="37"/>
        <v>Female</v>
      </c>
      <c r="G812" s="15" t="s">
        <v>5409</v>
      </c>
      <c r="H812" s="15" t="s">
        <v>5410</v>
      </c>
      <c r="I812" s="15">
        <v>811</v>
      </c>
      <c r="J812" s="15">
        <v>811</v>
      </c>
      <c r="K812" s="15" t="s">
        <v>32</v>
      </c>
      <c r="L812" s="15" t="s">
        <v>5411</v>
      </c>
      <c r="M812" s="15" t="s">
        <v>4358</v>
      </c>
      <c r="N812" s="15" t="s">
        <v>8033</v>
      </c>
      <c r="O812" s="15" t="s">
        <v>8033</v>
      </c>
      <c r="P812" s="15" t="s">
        <v>8033</v>
      </c>
      <c r="Q812" s="22">
        <f t="shared" si="38"/>
        <v>0</v>
      </c>
      <c r="R812" s="15">
        <v>122.25</v>
      </c>
      <c r="S812" s="16">
        <v>10.86</v>
      </c>
      <c r="T812" s="15">
        <v>78456800</v>
      </c>
      <c r="U812" s="17">
        <v>45137</v>
      </c>
      <c r="V812" s="15" t="str">
        <f t="shared" si="36"/>
        <v>Missing</v>
      </c>
    </row>
    <row r="813" spans="1:22" ht="14.5" customHeight="1" x14ac:dyDescent="0.35">
      <c r="A813" s="18" t="s">
        <v>7812</v>
      </c>
      <c r="B813" s="18" t="s">
        <v>6665</v>
      </c>
      <c r="C813" s="18" t="s">
        <v>5412</v>
      </c>
      <c r="D813" s="18" t="s">
        <v>5413</v>
      </c>
      <c r="E813" s="18" t="s">
        <v>2</v>
      </c>
      <c r="F813" s="15" t="str">
        <f t="shared" si="37"/>
        <v>Female</v>
      </c>
      <c r="G813" s="18" t="s">
        <v>5414</v>
      </c>
      <c r="H813" s="18" t="s">
        <v>5415</v>
      </c>
      <c r="I813" s="18">
        <v>812</v>
      </c>
      <c r="J813" s="18">
        <v>812</v>
      </c>
      <c r="K813" s="18" t="s">
        <v>5</v>
      </c>
      <c r="L813" s="18" t="s">
        <v>5416</v>
      </c>
      <c r="M813" s="18" t="s">
        <v>5417</v>
      </c>
      <c r="N813" s="18" t="s">
        <v>48</v>
      </c>
      <c r="O813" s="18" t="s">
        <v>57</v>
      </c>
      <c r="P813" s="18" t="s">
        <v>5418</v>
      </c>
      <c r="Q813" s="22">
        <f t="shared" si="38"/>
        <v>747140000</v>
      </c>
      <c r="R813" s="18">
        <v>1088.17</v>
      </c>
      <c r="S813" s="19">
        <v>-15.44</v>
      </c>
      <c r="T813" s="18">
        <v>184202118</v>
      </c>
      <c r="U813" s="20">
        <v>44673</v>
      </c>
      <c r="V813" s="18" t="str">
        <f t="shared" si="36"/>
        <v>Complete</v>
      </c>
    </row>
    <row r="814" spans="1:22" ht="14.5" customHeight="1" x14ac:dyDescent="0.35">
      <c r="A814" s="15" t="s">
        <v>7813</v>
      </c>
      <c r="B814" s="15" t="s">
        <v>7814</v>
      </c>
      <c r="C814" s="15" t="s">
        <v>5419</v>
      </c>
      <c r="D814" s="15" t="s">
        <v>5420</v>
      </c>
      <c r="E814" s="15" t="s">
        <v>2</v>
      </c>
      <c r="F814" s="15" t="str">
        <f t="shared" si="37"/>
        <v>Female</v>
      </c>
      <c r="G814" s="15" t="s">
        <v>5421</v>
      </c>
      <c r="H814" s="15" t="s">
        <v>5422</v>
      </c>
      <c r="I814" s="15">
        <v>813</v>
      </c>
      <c r="J814" s="15">
        <v>813</v>
      </c>
      <c r="K814" s="15" t="s">
        <v>32</v>
      </c>
      <c r="L814" s="15" t="s">
        <v>540</v>
      </c>
      <c r="M814" s="15" t="s">
        <v>541</v>
      </c>
      <c r="N814" s="15" t="s">
        <v>8033</v>
      </c>
      <c r="O814" s="15" t="s">
        <v>8033</v>
      </c>
      <c r="P814" s="15" t="s">
        <v>8033</v>
      </c>
      <c r="Q814" s="22">
        <f t="shared" si="38"/>
        <v>0</v>
      </c>
      <c r="R814" s="15">
        <v>116.57</v>
      </c>
      <c r="S814" s="16">
        <v>-13.84</v>
      </c>
      <c r="T814" s="15">
        <v>8058698</v>
      </c>
      <c r="U814" s="17">
        <v>46347</v>
      </c>
      <c r="V814" s="15" t="str">
        <f t="shared" si="36"/>
        <v>Missing</v>
      </c>
    </row>
    <row r="815" spans="1:22" ht="14.5" customHeight="1" x14ac:dyDescent="0.35">
      <c r="A815" s="18" t="s">
        <v>7815</v>
      </c>
      <c r="B815" s="18" t="s">
        <v>7259</v>
      </c>
      <c r="C815" s="18" t="s">
        <v>5423</v>
      </c>
      <c r="D815" s="18" t="s">
        <v>5424</v>
      </c>
      <c r="E815" s="18" t="s">
        <v>1407</v>
      </c>
      <c r="F815" s="15" t="str">
        <f t="shared" si="37"/>
        <v>Other</v>
      </c>
      <c r="G815" s="18" t="s">
        <v>5425</v>
      </c>
      <c r="H815" s="18" t="s">
        <v>5426</v>
      </c>
      <c r="I815" s="18">
        <v>814</v>
      </c>
      <c r="J815" s="18">
        <v>814</v>
      </c>
      <c r="K815" s="18" t="s">
        <v>32</v>
      </c>
      <c r="L815" s="18" t="s">
        <v>5427</v>
      </c>
      <c r="M815" s="18" t="s">
        <v>5428</v>
      </c>
      <c r="N815" s="18" t="s">
        <v>25</v>
      </c>
      <c r="O815" s="18" t="s">
        <v>2267</v>
      </c>
      <c r="P815" s="18" t="s">
        <v>5429</v>
      </c>
      <c r="Q815" s="22">
        <f t="shared" si="38"/>
        <v>2710000000</v>
      </c>
      <c r="R815" s="18">
        <v>1606.01</v>
      </c>
      <c r="S815" s="19">
        <v>19.36</v>
      </c>
      <c r="T815" s="18">
        <v>115653952</v>
      </c>
      <c r="U815" s="20">
        <v>46095</v>
      </c>
      <c r="V815" s="18" t="str">
        <f t="shared" si="36"/>
        <v>Complete</v>
      </c>
    </row>
    <row r="816" spans="1:22" ht="14.5" customHeight="1" x14ac:dyDescent="0.35">
      <c r="A816" s="15" t="s">
        <v>7816</v>
      </c>
      <c r="B816" s="15" t="s">
        <v>7111</v>
      </c>
      <c r="C816" s="15" t="s">
        <v>5430</v>
      </c>
      <c r="D816" s="15" t="s">
        <v>5431</v>
      </c>
      <c r="E816" s="15" t="s">
        <v>13</v>
      </c>
      <c r="F816" s="15" t="str">
        <f t="shared" si="37"/>
        <v>Male</v>
      </c>
      <c r="G816" s="15" t="s">
        <v>5432</v>
      </c>
      <c r="H816" s="15" t="s">
        <v>5433</v>
      </c>
      <c r="I816" s="15">
        <v>815</v>
      </c>
      <c r="J816" s="15">
        <v>815</v>
      </c>
      <c r="K816" s="15" t="s">
        <v>5</v>
      </c>
      <c r="L816" s="15" t="s">
        <v>5434</v>
      </c>
      <c r="M816" s="15" t="s">
        <v>5435</v>
      </c>
      <c r="N816" s="15" t="s">
        <v>8</v>
      </c>
      <c r="O816" s="15" t="s">
        <v>9</v>
      </c>
      <c r="P816" s="15" t="s">
        <v>5436</v>
      </c>
      <c r="Q816" s="22">
        <f t="shared" si="38"/>
        <v>38240000</v>
      </c>
      <c r="R816" s="15">
        <v>1653.65</v>
      </c>
      <c r="S816" s="16">
        <v>-19.38</v>
      </c>
      <c r="T816" s="15">
        <v>145093615</v>
      </c>
      <c r="U816" s="17">
        <v>44563</v>
      </c>
      <c r="V816" s="15" t="str">
        <f t="shared" si="36"/>
        <v>Complete</v>
      </c>
    </row>
    <row r="817" spans="1:22" ht="14.5" customHeight="1" x14ac:dyDescent="0.35">
      <c r="A817" s="18" t="s">
        <v>7817</v>
      </c>
      <c r="B817" s="18" t="s">
        <v>7266</v>
      </c>
      <c r="C817" s="18" t="s">
        <v>5437</v>
      </c>
      <c r="D817" s="18" t="s">
        <v>5438</v>
      </c>
      <c r="E817" s="18" t="s">
        <v>2</v>
      </c>
      <c r="F817" s="15" t="str">
        <f t="shared" si="37"/>
        <v>Female</v>
      </c>
      <c r="G817" s="18" t="s">
        <v>5439</v>
      </c>
      <c r="H817" s="18" t="s">
        <v>5440</v>
      </c>
      <c r="I817" s="18">
        <v>816</v>
      </c>
      <c r="J817" s="18">
        <v>816</v>
      </c>
      <c r="K817" s="18" t="s">
        <v>5</v>
      </c>
      <c r="L817" s="18" t="s">
        <v>5441</v>
      </c>
      <c r="M817" s="18" t="s">
        <v>5442</v>
      </c>
      <c r="N817" s="18" t="s">
        <v>25</v>
      </c>
      <c r="O817" s="18" t="s">
        <v>344</v>
      </c>
      <c r="P817" s="18" t="s">
        <v>5443</v>
      </c>
      <c r="Q817" s="22">
        <f t="shared" si="38"/>
        <v>4840000000</v>
      </c>
      <c r="R817" s="18">
        <v>1041.72</v>
      </c>
      <c r="S817" s="19">
        <v>-1.61</v>
      </c>
      <c r="T817" s="18">
        <v>101225766</v>
      </c>
      <c r="U817" s="20">
        <v>45401</v>
      </c>
      <c r="V817" s="18" t="str">
        <f t="shared" si="36"/>
        <v>Complete</v>
      </c>
    </row>
    <row r="818" spans="1:22" ht="14.5" customHeight="1" x14ac:dyDescent="0.35">
      <c r="A818" s="15" t="s">
        <v>7818</v>
      </c>
      <c r="B818" s="15" t="s">
        <v>6708</v>
      </c>
      <c r="C818" s="15" t="s">
        <v>5444</v>
      </c>
      <c r="D818" s="15" t="s">
        <v>5445</v>
      </c>
      <c r="E818" s="15" t="s">
        <v>13</v>
      </c>
      <c r="F818" s="15" t="str">
        <f t="shared" si="37"/>
        <v>Male</v>
      </c>
      <c r="G818" s="15" t="s">
        <v>5446</v>
      </c>
      <c r="H818" s="15" t="s">
        <v>5447</v>
      </c>
      <c r="I818" s="15">
        <v>817</v>
      </c>
      <c r="J818" s="15">
        <v>817</v>
      </c>
      <c r="K818" s="15" t="s">
        <v>5</v>
      </c>
      <c r="L818" s="15" t="s">
        <v>5448</v>
      </c>
      <c r="M818" s="15" t="s">
        <v>5449</v>
      </c>
      <c r="N818" s="15" t="s">
        <v>8033</v>
      </c>
      <c r="O818" s="15" t="s">
        <v>8033</v>
      </c>
      <c r="P818" s="15" t="s">
        <v>5450</v>
      </c>
      <c r="Q818" s="22">
        <f t="shared" si="38"/>
        <v>61170000</v>
      </c>
      <c r="R818" s="15">
        <v>38.47</v>
      </c>
      <c r="S818" s="16">
        <v>-8.39</v>
      </c>
      <c r="T818" s="15">
        <v>33953327</v>
      </c>
      <c r="U818" s="17">
        <v>45575</v>
      </c>
      <c r="V818" s="15" t="str">
        <f t="shared" si="36"/>
        <v>Missing</v>
      </c>
    </row>
    <row r="819" spans="1:22" ht="14.5" customHeight="1" x14ac:dyDescent="0.35">
      <c r="A819" s="18" t="s">
        <v>7819</v>
      </c>
      <c r="B819" s="18" t="s">
        <v>6729</v>
      </c>
      <c r="C819" s="18" t="s">
        <v>5451</v>
      </c>
      <c r="D819" s="18" t="s">
        <v>5452</v>
      </c>
      <c r="E819" s="18" t="s">
        <v>1407</v>
      </c>
      <c r="F819" s="15" t="str">
        <f t="shared" si="37"/>
        <v>Other</v>
      </c>
      <c r="G819" s="18" t="s">
        <v>5453</v>
      </c>
      <c r="H819" s="18" t="s">
        <v>5454</v>
      </c>
      <c r="I819" s="18">
        <v>818</v>
      </c>
      <c r="J819" s="18">
        <v>818</v>
      </c>
      <c r="K819" s="18" t="s">
        <v>5</v>
      </c>
      <c r="L819" s="18" t="s">
        <v>5455</v>
      </c>
      <c r="M819" s="18" t="s">
        <v>5456</v>
      </c>
      <c r="N819" s="18" t="s">
        <v>8</v>
      </c>
      <c r="O819" s="18" t="s">
        <v>2468</v>
      </c>
      <c r="P819" s="18" t="s">
        <v>5457</v>
      </c>
      <c r="Q819" s="22">
        <f t="shared" si="38"/>
        <v>95910000</v>
      </c>
      <c r="R819" s="18">
        <v>1086.32</v>
      </c>
      <c r="S819" s="19">
        <v>-12.6</v>
      </c>
      <c r="T819" s="18">
        <v>196173132</v>
      </c>
      <c r="U819" s="20">
        <v>44559</v>
      </c>
      <c r="V819" s="18" t="str">
        <f t="shared" si="36"/>
        <v>Complete</v>
      </c>
    </row>
    <row r="820" spans="1:22" ht="14.5" customHeight="1" x14ac:dyDescent="0.35">
      <c r="A820" s="15" t="s">
        <v>7820</v>
      </c>
      <c r="B820" s="15" t="s">
        <v>7291</v>
      </c>
      <c r="C820" s="15" t="s">
        <v>5458</v>
      </c>
      <c r="D820" s="15" t="s">
        <v>5459</v>
      </c>
      <c r="E820" s="15" t="s">
        <v>13</v>
      </c>
      <c r="F820" s="15" t="str">
        <f t="shared" si="37"/>
        <v>Male</v>
      </c>
      <c r="G820" s="15" t="s">
        <v>5460</v>
      </c>
      <c r="H820" s="15" t="s">
        <v>5461</v>
      </c>
      <c r="I820" s="15">
        <v>819</v>
      </c>
      <c r="J820" s="15">
        <v>819</v>
      </c>
      <c r="K820" s="15" t="s">
        <v>32</v>
      </c>
      <c r="L820" s="15" t="s">
        <v>5040</v>
      </c>
      <c r="M820" s="15" t="s">
        <v>5041</v>
      </c>
      <c r="N820" s="15" t="s">
        <v>25</v>
      </c>
      <c r="O820" s="15" t="s">
        <v>1181</v>
      </c>
      <c r="P820" s="15" t="s">
        <v>5042</v>
      </c>
      <c r="Q820" s="22">
        <f t="shared" si="38"/>
        <v>446680000</v>
      </c>
      <c r="R820" s="15">
        <v>1742.26</v>
      </c>
      <c r="S820" s="16">
        <v>-16.53</v>
      </c>
      <c r="T820" s="15">
        <v>141761616</v>
      </c>
      <c r="U820" s="17">
        <v>45167</v>
      </c>
      <c r="V820" s="15" t="str">
        <f t="shared" si="36"/>
        <v>Complete</v>
      </c>
    </row>
    <row r="821" spans="1:22" ht="14.5" customHeight="1" x14ac:dyDescent="0.35">
      <c r="A821" s="18" t="s">
        <v>7821</v>
      </c>
      <c r="B821" s="18" t="s">
        <v>7635</v>
      </c>
      <c r="C821" s="18" t="s">
        <v>5462</v>
      </c>
      <c r="D821" s="18" t="s">
        <v>5463</v>
      </c>
      <c r="E821" s="18" t="s">
        <v>13</v>
      </c>
      <c r="F821" s="15" t="str">
        <f t="shared" si="37"/>
        <v>Male</v>
      </c>
      <c r="G821" s="18" t="s">
        <v>5464</v>
      </c>
      <c r="H821" s="18" t="s">
        <v>5465</v>
      </c>
      <c r="I821" s="18">
        <v>820</v>
      </c>
      <c r="J821" s="18">
        <v>820</v>
      </c>
      <c r="K821" s="18" t="s">
        <v>5</v>
      </c>
      <c r="L821" s="18" t="s">
        <v>5466</v>
      </c>
      <c r="M821" s="18" t="s">
        <v>5467</v>
      </c>
      <c r="N821" s="18" t="s">
        <v>66</v>
      </c>
      <c r="O821" s="18" t="s">
        <v>422</v>
      </c>
      <c r="P821" s="18" t="s">
        <v>5468</v>
      </c>
      <c r="Q821" s="22">
        <f t="shared" si="38"/>
        <v>979590000</v>
      </c>
      <c r="R821" s="18">
        <v>1038.69</v>
      </c>
      <c r="S821" s="19">
        <v>-19.63</v>
      </c>
      <c r="T821" s="18">
        <v>69164409</v>
      </c>
      <c r="U821" s="20">
        <v>45415</v>
      </c>
      <c r="V821" s="18" t="str">
        <f t="shared" si="36"/>
        <v>Complete</v>
      </c>
    </row>
    <row r="822" spans="1:22" ht="14.5" customHeight="1" x14ac:dyDescent="0.35">
      <c r="A822" s="15" t="s">
        <v>7822</v>
      </c>
      <c r="B822" s="15" t="s">
        <v>7154</v>
      </c>
      <c r="C822" s="15" t="s">
        <v>5469</v>
      </c>
      <c r="D822" s="15" t="s">
        <v>5470</v>
      </c>
      <c r="E822" s="15" t="s">
        <v>2</v>
      </c>
      <c r="F822" s="15" t="str">
        <f t="shared" si="37"/>
        <v>Female</v>
      </c>
      <c r="G822" s="15" t="s">
        <v>5471</v>
      </c>
      <c r="H822" s="15" t="s">
        <v>5472</v>
      </c>
      <c r="I822" s="15">
        <v>821</v>
      </c>
      <c r="J822" s="15">
        <v>821</v>
      </c>
      <c r="K822" s="15" t="s">
        <v>32</v>
      </c>
      <c r="L822" s="15" t="s">
        <v>5473</v>
      </c>
      <c r="M822" s="15" t="s">
        <v>5474</v>
      </c>
      <c r="N822" s="15" t="s">
        <v>99</v>
      </c>
      <c r="O822" s="15" t="s">
        <v>100</v>
      </c>
      <c r="P822" s="15" t="s">
        <v>5475</v>
      </c>
      <c r="Q822" s="22">
        <f t="shared" si="38"/>
        <v>7870000000</v>
      </c>
      <c r="R822" s="15">
        <v>1833.95</v>
      </c>
      <c r="S822" s="16">
        <v>1.66</v>
      </c>
      <c r="T822" s="15">
        <v>152474132</v>
      </c>
      <c r="U822" s="17">
        <v>45367</v>
      </c>
      <c r="V822" s="15" t="str">
        <f t="shared" si="36"/>
        <v>Complete</v>
      </c>
    </row>
    <row r="823" spans="1:22" ht="14.5" customHeight="1" x14ac:dyDescent="0.35">
      <c r="A823" s="18" t="s">
        <v>7823</v>
      </c>
      <c r="B823" s="18" t="s">
        <v>6607</v>
      </c>
      <c r="C823" s="18" t="s">
        <v>5476</v>
      </c>
      <c r="D823" s="18" t="s">
        <v>5477</v>
      </c>
      <c r="E823" s="18" t="s">
        <v>13</v>
      </c>
      <c r="F823" s="15" t="str">
        <f t="shared" si="37"/>
        <v>Male</v>
      </c>
      <c r="G823" s="18" t="s">
        <v>5478</v>
      </c>
      <c r="H823" s="18" t="s">
        <v>5479</v>
      </c>
      <c r="I823" s="18">
        <v>822</v>
      </c>
      <c r="J823" s="18">
        <v>822</v>
      </c>
      <c r="K823" s="18" t="s">
        <v>5</v>
      </c>
      <c r="L823" s="18" t="s">
        <v>5480</v>
      </c>
      <c r="M823" s="18" t="s">
        <v>5481</v>
      </c>
      <c r="N823" s="18" t="s">
        <v>8033</v>
      </c>
      <c r="O823" s="18" t="s">
        <v>8033</v>
      </c>
      <c r="P823" s="18" t="s">
        <v>5482</v>
      </c>
      <c r="Q823" s="22">
        <f t="shared" si="38"/>
        <v>21580000</v>
      </c>
      <c r="R823" s="18">
        <v>295.05</v>
      </c>
      <c r="S823" s="19">
        <v>-13.71</v>
      </c>
      <c r="T823" s="18">
        <v>129680111</v>
      </c>
      <c r="U823" s="20">
        <v>43876</v>
      </c>
      <c r="V823" s="18" t="str">
        <f t="shared" si="36"/>
        <v>Missing</v>
      </c>
    </row>
    <row r="824" spans="1:22" ht="14.5" customHeight="1" x14ac:dyDescent="0.35">
      <c r="A824" s="15" t="s">
        <v>7824</v>
      </c>
      <c r="B824" s="15" t="s">
        <v>7587</v>
      </c>
      <c r="C824" s="15" t="s">
        <v>5483</v>
      </c>
      <c r="D824" s="15" t="s">
        <v>5484</v>
      </c>
      <c r="E824" s="15" t="s">
        <v>13</v>
      </c>
      <c r="F824" s="15" t="str">
        <f t="shared" si="37"/>
        <v>Male</v>
      </c>
      <c r="G824" s="15" t="s">
        <v>5485</v>
      </c>
      <c r="H824" s="15" t="s">
        <v>5486</v>
      </c>
      <c r="I824" s="15">
        <v>823</v>
      </c>
      <c r="J824" s="15">
        <v>823</v>
      </c>
      <c r="K824" s="15" t="s">
        <v>5</v>
      </c>
      <c r="L824" s="15" t="s">
        <v>5487</v>
      </c>
      <c r="M824" s="15" t="s">
        <v>5488</v>
      </c>
      <c r="N824" s="15" t="s">
        <v>48</v>
      </c>
      <c r="O824" s="15" t="s">
        <v>57</v>
      </c>
      <c r="P824" s="15" t="s">
        <v>5489</v>
      </c>
      <c r="Q824" s="22">
        <f t="shared" si="38"/>
        <v>204100000</v>
      </c>
      <c r="R824" s="15">
        <v>1350.51</v>
      </c>
      <c r="S824" s="16">
        <v>0.52</v>
      </c>
      <c r="T824" s="15">
        <v>72202401</v>
      </c>
      <c r="U824" s="17">
        <v>45575</v>
      </c>
      <c r="V824" s="15" t="str">
        <f t="shared" si="36"/>
        <v>Complete</v>
      </c>
    </row>
    <row r="825" spans="1:22" ht="14.5" customHeight="1" x14ac:dyDescent="0.35">
      <c r="A825" s="18" t="s">
        <v>7825</v>
      </c>
      <c r="B825" s="18" t="s">
        <v>7010</v>
      </c>
      <c r="C825" s="18" t="s">
        <v>5490</v>
      </c>
      <c r="D825" s="18" t="s">
        <v>5491</v>
      </c>
      <c r="E825" s="18" t="s">
        <v>2</v>
      </c>
      <c r="F825" s="15" t="str">
        <f t="shared" si="37"/>
        <v>Female</v>
      </c>
      <c r="G825" s="18" t="s">
        <v>5492</v>
      </c>
      <c r="H825" s="18" t="s">
        <v>5493</v>
      </c>
      <c r="I825" s="18">
        <v>824</v>
      </c>
      <c r="J825" s="18">
        <v>824</v>
      </c>
      <c r="K825" s="18" t="s">
        <v>32</v>
      </c>
      <c r="L825" s="18" t="s">
        <v>5494</v>
      </c>
      <c r="M825" s="18" t="s">
        <v>5495</v>
      </c>
      <c r="N825" s="18" t="s">
        <v>25</v>
      </c>
      <c r="O825" s="18" t="s">
        <v>684</v>
      </c>
      <c r="P825" s="18" t="s">
        <v>5496</v>
      </c>
      <c r="Q825" s="22">
        <f t="shared" si="38"/>
        <v>51800000000</v>
      </c>
      <c r="R825" s="18">
        <v>1017.45</v>
      </c>
      <c r="S825" s="19">
        <v>-16.739999999999998</v>
      </c>
      <c r="T825" s="18">
        <v>195335370</v>
      </c>
      <c r="U825" s="20">
        <v>44176</v>
      </c>
      <c r="V825" s="18" t="str">
        <f t="shared" si="36"/>
        <v>Complete</v>
      </c>
    </row>
    <row r="826" spans="1:22" ht="14.5" customHeight="1" x14ac:dyDescent="0.35">
      <c r="A826" s="15" t="s">
        <v>7826</v>
      </c>
      <c r="B826" s="15" t="s">
        <v>7697</v>
      </c>
      <c r="C826" s="15" t="s">
        <v>5497</v>
      </c>
      <c r="D826" s="15" t="s">
        <v>5498</v>
      </c>
      <c r="E826" s="15" t="s">
        <v>2</v>
      </c>
      <c r="F826" s="15" t="str">
        <f t="shared" si="37"/>
        <v>Female</v>
      </c>
      <c r="G826" s="15" t="s">
        <v>5499</v>
      </c>
      <c r="H826" s="15" t="s">
        <v>5500</v>
      </c>
      <c r="I826" s="15">
        <v>825</v>
      </c>
      <c r="J826" s="15">
        <v>825</v>
      </c>
      <c r="K826" s="15" t="s">
        <v>5</v>
      </c>
      <c r="L826" s="15" t="s">
        <v>5501</v>
      </c>
      <c r="M826" s="15" t="s">
        <v>5502</v>
      </c>
      <c r="N826" s="15" t="s">
        <v>134</v>
      </c>
      <c r="O826" s="15" t="s">
        <v>135</v>
      </c>
      <c r="P826" s="15" t="s">
        <v>5503</v>
      </c>
      <c r="Q826" s="22">
        <f t="shared" si="38"/>
        <v>203220000</v>
      </c>
      <c r="R826" s="15">
        <v>1352.66</v>
      </c>
      <c r="S826" s="16">
        <v>-1.81</v>
      </c>
      <c r="T826" s="15">
        <v>138377358</v>
      </c>
      <c r="U826" s="17">
        <v>46287</v>
      </c>
      <c r="V826" s="15" t="str">
        <f t="shared" si="36"/>
        <v>Complete</v>
      </c>
    </row>
    <row r="827" spans="1:22" ht="14.5" customHeight="1" x14ac:dyDescent="0.35">
      <c r="A827" s="18" t="s">
        <v>7827</v>
      </c>
      <c r="B827" s="18" t="s">
        <v>6702</v>
      </c>
      <c r="C827" s="18" t="s">
        <v>5504</v>
      </c>
      <c r="D827" s="18" t="s">
        <v>5505</v>
      </c>
      <c r="E827" s="18" t="s">
        <v>208</v>
      </c>
      <c r="F827" s="15" t="str">
        <f t="shared" si="37"/>
        <v>Other</v>
      </c>
      <c r="G827" s="18" t="s">
        <v>5506</v>
      </c>
      <c r="H827" s="18" t="s">
        <v>5507</v>
      </c>
      <c r="I827" s="18">
        <v>826</v>
      </c>
      <c r="J827" s="18">
        <v>826</v>
      </c>
      <c r="K827" s="18" t="s">
        <v>5</v>
      </c>
      <c r="L827" s="18" t="s">
        <v>5508</v>
      </c>
      <c r="M827" s="18" t="s">
        <v>5509</v>
      </c>
      <c r="N827" s="18" t="s">
        <v>8033</v>
      </c>
      <c r="O827" s="18" t="s">
        <v>8033</v>
      </c>
      <c r="P827" s="18" t="s">
        <v>5510</v>
      </c>
      <c r="Q827" s="22">
        <f t="shared" si="38"/>
        <v>383580000</v>
      </c>
      <c r="R827" s="18">
        <v>128.63999999999999</v>
      </c>
      <c r="S827" s="19">
        <v>-6.15</v>
      </c>
      <c r="T827" s="18">
        <v>195706053</v>
      </c>
      <c r="U827" s="20">
        <v>45966</v>
      </c>
      <c r="V827" s="18" t="str">
        <f t="shared" si="36"/>
        <v>Missing</v>
      </c>
    </row>
    <row r="828" spans="1:22" ht="14.5" customHeight="1" x14ac:dyDescent="0.35">
      <c r="A828" s="15" t="s">
        <v>7828</v>
      </c>
      <c r="B828" s="15" t="s">
        <v>7069</v>
      </c>
      <c r="C828" s="15" t="s">
        <v>5511</v>
      </c>
      <c r="D828" s="15" t="s">
        <v>5512</v>
      </c>
      <c r="E828" s="15" t="s">
        <v>208</v>
      </c>
      <c r="F828" s="15" t="str">
        <f t="shared" si="37"/>
        <v>Other</v>
      </c>
      <c r="G828" s="15" t="s">
        <v>5513</v>
      </c>
      <c r="H828" s="15" t="s">
        <v>5514</v>
      </c>
      <c r="I828" s="15">
        <v>827</v>
      </c>
      <c r="J828" s="15">
        <v>827</v>
      </c>
      <c r="K828" s="15" t="s">
        <v>5</v>
      </c>
      <c r="L828" s="15" t="s">
        <v>5515</v>
      </c>
      <c r="M828" s="15" t="s">
        <v>5516</v>
      </c>
      <c r="N828" s="15" t="s">
        <v>8</v>
      </c>
      <c r="O828" s="15" t="s">
        <v>9</v>
      </c>
      <c r="P828" s="15" t="s">
        <v>8033</v>
      </c>
      <c r="Q828" s="22">
        <f t="shared" si="38"/>
        <v>0</v>
      </c>
      <c r="R828" s="15">
        <v>347.43</v>
      </c>
      <c r="S828" s="16">
        <v>-1.0900000000000001</v>
      </c>
      <c r="T828" s="15">
        <v>68181179</v>
      </c>
      <c r="U828" s="17">
        <v>45705</v>
      </c>
      <c r="V828" s="15" t="str">
        <f t="shared" si="36"/>
        <v>Missing</v>
      </c>
    </row>
    <row r="829" spans="1:22" ht="14.5" customHeight="1" x14ac:dyDescent="0.35">
      <c r="A829" s="18" t="s">
        <v>7829</v>
      </c>
      <c r="B829" s="18" t="s">
        <v>7603</v>
      </c>
      <c r="C829" s="18" t="s">
        <v>5517</v>
      </c>
      <c r="D829" s="18" t="s">
        <v>5518</v>
      </c>
      <c r="E829" s="18" t="s">
        <v>2</v>
      </c>
      <c r="F829" s="15" t="str">
        <f t="shared" si="37"/>
        <v>Female</v>
      </c>
      <c r="G829" s="18" t="s">
        <v>5519</v>
      </c>
      <c r="H829" s="18" t="s">
        <v>5520</v>
      </c>
      <c r="I829" s="18">
        <v>828</v>
      </c>
      <c r="J829" s="18">
        <v>828</v>
      </c>
      <c r="K829" s="18" t="s">
        <v>5</v>
      </c>
      <c r="L829" s="18" t="s">
        <v>5521</v>
      </c>
      <c r="M829" s="18" t="s">
        <v>5522</v>
      </c>
      <c r="N829" s="18" t="s">
        <v>66</v>
      </c>
      <c r="O829" s="18" t="s">
        <v>422</v>
      </c>
      <c r="P829" s="18" t="s">
        <v>5523</v>
      </c>
      <c r="Q829" s="22">
        <f t="shared" si="38"/>
        <v>16059999999.999998</v>
      </c>
      <c r="R829" s="18">
        <v>91.54</v>
      </c>
      <c r="S829" s="19">
        <v>-10.029999999999999</v>
      </c>
      <c r="T829" s="18">
        <v>6474807</v>
      </c>
      <c r="U829" s="20">
        <v>46030</v>
      </c>
      <c r="V829" s="18" t="str">
        <f t="shared" si="36"/>
        <v>Complete</v>
      </c>
    </row>
    <row r="830" spans="1:22" ht="14.5" customHeight="1" x14ac:dyDescent="0.35">
      <c r="A830" s="15" t="s">
        <v>7830</v>
      </c>
      <c r="B830" s="15" t="s">
        <v>6758</v>
      </c>
      <c r="C830" s="15" t="s">
        <v>1492</v>
      </c>
      <c r="D830" s="15" t="s">
        <v>5524</v>
      </c>
      <c r="E830" s="15" t="s">
        <v>61</v>
      </c>
      <c r="F830" s="15" t="str">
        <f t="shared" si="37"/>
        <v>Other</v>
      </c>
      <c r="G830" s="15" t="s">
        <v>5525</v>
      </c>
      <c r="H830" s="15" t="s">
        <v>5526</v>
      </c>
      <c r="I830" s="15">
        <v>829</v>
      </c>
      <c r="J830" s="15">
        <v>829</v>
      </c>
      <c r="K830" s="15" t="s">
        <v>32</v>
      </c>
      <c r="L830" s="15" t="s">
        <v>5527</v>
      </c>
      <c r="M830" s="15" t="s">
        <v>5528</v>
      </c>
      <c r="N830" s="15" t="s">
        <v>134</v>
      </c>
      <c r="O830" s="15" t="s">
        <v>135</v>
      </c>
      <c r="P830" s="15" t="s">
        <v>5529</v>
      </c>
      <c r="Q830" s="22">
        <f t="shared" si="38"/>
        <v>39480000000</v>
      </c>
      <c r="R830" s="15">
        <v>798.77</v>
      </c>
      <c r="S830" s="16">
        <v>-9.4</v>
      </c>
      <c r="T830" s="15">
        <v>192746371</v>
      </c>
      <c r="U830" s="17">
        <v>46150</v>
      </c>
      <c r="V830" s="15" t="str">
        <f t="shared" si="36"/>
        <v>Complete</v>
      </c>
    </row>
    <row r="831" spans="1:22" ht="14.5" customHeight="1" x14ac:dyDescent="0.35">
      <c r="A831" s="18" t="s">
        <v>7831</v>
      </c>
      <c r="B831" s="18" t="s">
        <v>7562</v>
      </c>
      <c r="C831" s="18" t="s">
        <v>5530</v>
      </c>
      <c r="D831" s="18" t="s">
        <v>5531</v>
      </c>
      <c r="E831" s="18" t="s">
        <v>2</v>
      </c>
      <c r="F831" s="15" t="str">
        <f t="shared" si="37"/>
        <v>Female</v>
      </c>
      <c r="G831" s="18" t="s">
        <v>5532</v>
      </c>
      <c r="H831" s="18" t="s">
        <v>5533</v>
      </c>
      <c r="I831" s="18">
        <v>830</v>
      </c>
      <c r="J831" s="18">
        <v>830</v>
      </c>
      <c r="K831" s="18" t="s">
        <v>5</v>
      </c>
      <c r="L831" s="18" t="s">
        <v>5534</v>
      </c>
      <c r="M831" s="18" t="s">
        <v>5535</v>
      </c>
      <c r="N831" s="18" t="s">
        <v>99</v>
      </c>
      <c r="O831" s="18" t="s">
        <v>1577</v>
      </c>
      <c r="P831" s="18" t="s">
        <v>5536</v>
      </c>
      <c r="Q831" s="22">
        <f t="shared" si="38"/>
        <v>488080000</v>
      </c>
      <c r="R831" s="18">
        <v>1262.03</v>
      </c>
      <c r="S831" s="19">
        <v>8.44</v>
      </c>
      <c r="T831" s="18">
        <v>128980645</v>
      </c>
      <c r="U831" s="20">
        <v>44272</v>
      </c>
      <c r="V831" s="18" t="str">
        <f t="shared" si="36"/>
        <v>Complete</v>
      </c>
    </row>
    <row r="832" spans="1:22" ht="14.5" customHeight="1" x14ac:dyDescent="0.35">
      <c r="A832" s="15" t="s">
        <v>7832</v>
      </c>
      <c r="B832" s="15" t="s">
        <v>7001</v>
      </c>
      <c r="C832" s="15" t="s">
        <v>5537</v>
      </c>
      <c r="D832" s="15" t="s">
        <v>5538</v>
      </c>
      <c r="E832" s="15" t="s">
        <v>1407</v>
      </c>
      <c r="F832" s="15" t="str">
        <f t="shared" si="37"/>
        <v>Other</v>
      </c>
      <c r="G832" s="15" t="s">
        <v>5539</v>
      </c>
      <c r="H832" s="15" t="s">
        <v>5540</v>
      </c>
      <c r="I832" s="15">
        <v>831</v>
      </c>
      <c r="J832" s="15">
        <v>831</v>
      </c>
      <c r="K832" s="15" t="s">
        <v>32</v>
      </c>
      <c r="L832" s="15" t="s">
        <v>5541</v>
      </c>
      <c r="M832" s="15" t="s">
        <v>5542</v>
      </c>
      <c r="N832" s="15" t="s">
        <v>48</v>
      </c>
      <c r="O832" s="15" t="s">
        <v>57</v>
      </c>
      <c r="P832" s="15" t="s">
        <v>5164</v>
      </c>
      <c r="Q832" s="22">
        <f t="shared" si="38"/>
        <v>3110000000</v>
      </c>
      <c r="R832" s="15">
        <v>1451.88</v>
      </c>
      <c r="S832" s="16">
        <v>-0.35</v>
      </c>
      <c r="T832" s="15">
        <v>64449089</v>
      </c>
      <c r="U832" s="17">
        <v>44010</v>
      </c>
      <c r="V832" s="15" t="str">
        <f t="shared" si="36"/>
        <v>Complete</v>
      </c>
    </row>
    <row r="833" spans="1:22" ht="14.5" customHeight="1" x14ac:dyDescent="0.35">
      <c r="A833" s="18" t="s">
        <v>7833</v>
      </c>
      <c r="B833" s="18" t="s">
        <v>7342</v>
      </c>
      <c r="C833" s="18" t="s">
        <v>5543</v>
      </c>
      <c r="D833" s="18" t="s">
        <v>5544</v>
      </c>
      <c r="E833" s="18" t="s">
        <v>2</v>
      </c>
      <c r="F833" s="15" t="str">
        <f t="shared" si="37"/>
        <v>Female</v>
      </c>
      <c r="G833" s="18" t="s">
        <v>5545</v>
      </c>
      <c r="H833" s="18" t="s">
        <v>5546</v>
      </c>
      <c r="I833" s="18">
        <v>832</v>
      </c>
      <c r="J833" s="18">
        <v>832</v>
      </c>
      <c r="K833" s="18" t="s">
        <v>32</v>
      </c>
      <c r="L833" s="18" t="s">
        <v>5547</v>
      </c>
      <c r="M833" s="18" t="s">
        <v>5548</v>
      </c>
      <c r="N833" s="18" t="s">
        <v>8033</v>
      </c>
      <c r="O833" s="18" t="s">
        <v>8033</v>
      </c>
      <c r="P833" s="18" t="s">
        <v>3611</v>
      </c>
      <c r="Q833" s="22">
        <f t="shared" si="38"/>
        <v>1220000000</v>
      </c>
      <c r="R833" s="18">
        <v>1663.87</v>
      </c>
      <c r="S833" s="19">
        <v>-13.61</v>
      </c>
      <c r="T833" s="18">
        <v>166642107</v>
      </c>
      <c r="U833" s="20">
        <v>45650</v>
      </c>
      <c r="V833" s="18" t="str">
        <f t="shared" si="36"/>
        <v>Missing</v>
      </c>
    </row>
    <row r="834" spans="1:22" ht="14.5" customHeight="1" x14ac:dyDescent="0.35">
      <c r="A834" s="15" t="s">
        <v>7834</v>
      </c>
      <c r="B834" s="15" t="s">
        <v>7562</v>
      </c>
      <c r="C834" s="15" t="s">
        <v>5549</v>
      </c>
      <c r="D834" s="15" t="s">
        <v>5550</v>
      </c>
      <c r="E834" s="15" t="s">
        <v>1407</v>
      </c>
      <c r="F834" s="15" t="str">
        <f t="shared" si="37"/>
        <v>Other</v>
      </c>
      <c r="G834" s="15" t="s">
        <v>5551</v>
      </c>
      <c r="H834" s="15" t="s">
        <v>5552</v>
      </c>
      <c r="I834" s="15">
        <v>833</v>
      </c>
      <c r="J834" s="15">
        <v>833</v>
      </c>
      <c r="K834" s="15" t="s">
        <v>32</v>
      </c>
      <c r="L834" s="15" t="s">
        <v>5553</v>
      </c>
      <c r="M834" s="15" t="s">
        <v>5554</v>
      </c>
      <c r="N834" s="15" t="s">
        <v>8033</v>
      </c>
      <c r="O834" s="15" t="s">
        <v>8033</v>
      </c>
      <c r="P834" s="15" t="s">
        <v>5555</v>
      </c>
      <c r="Q834" s="22">
        <f t="shared" si="38"/>
        <v>84330000</v>
      </c>
      <c r="R834" s="15">
        <v>1177.97</v>
      </c>
      <c r="S834" s="16">
        <v>2.3199999999999998</v>
      </c>
      <c r="T834" s="15">
        <v>72730141</v>
      </c>
      <c r="U834" s="17">
        <v>45151</v>
      </c>
      <c r="V834" s="15" t="str">
        <f t="shared" ref="V834:V897" si="39">IF(OR(N:N="n/a", O:O="n/a", P:P="n/a"), "Missing", "Complete")</f>
        <v>Missing</v>
      </c>
    </row>
    <row r="835" spans="1:22" ht="14.5" customHeight="1" x14ac:dyDescent="0.35">
      <c r="A835" s="18" t="s">
        <v>7835</v>
      </c>
      <c r="B835" s="18" t="s">
        <v>7836</v>
      </c>
      <c r="C835" s="18" t="s">
        <v>5556</v>
      </c>
      <c r="D835" s="18" t="s">
        <v>5557</v>
      </c>
      <c r="E835" s="18" t="s">
        <v>13</v>
      </c>
      <c r="F835" s="15" t="str">
        <f t="shared" ref="F835:F898" si="40">IF(OR(E835="female", E835="male"), PROPER(E835), "Other")</f>
        <v>Male</v>
      </c>
      <c r="G835" s="18" t="s">
        <v>5558</v>
      </c>
      <c r="H835" s="18" t="s">
        <v>5559</v>
      </c>
      <c r="I835" s="18">
        <v>834</v>
      </c>
      <c r="J835" s="18">
        <v>834</v>
      </c>
      <c r="K835" s="18" t="s">
        <v>5</v>
      </c>
      <c r="L835" s="18" t="s">
        <v>5560</v>
      </c>
      <c r="M835" s="18" t="s">
        <v>5561</v>
      </c>
      <c r="N835" s="18" t="s">
        <v>90</v>
      </c>
      <c r="O835" s="18" t="s">
        <v>3203</v>
      </c>
      <c r="P835" s="18" t="s">
        <v>263</v>
      </c>
      <c r="Q835" s="22">
        <f t="shared" ref="Q835:Q898" si="41">IF(P835="n/a", 0, IF(RIGHT(P835, 1)="B", VALUE(MID(P835, 2, LEN(P835)-2)*1000000000), VALUE(MID(P835, 2, LEN(P835)-2)*1000000)))</f>
        <v>1590000000</v>
      </c>
      <c r="R835" s="18">
        <v>509.79</v>
      </c>
      <c r="S835" s="19">
        <v>18.440000000000001</v>
      </c>
      <c r="T835" s="18">
        <v>17418492</v>
      </c>
      <c r="U835" s="20">
        <v>45297</v>
      </c>
      <c r="V835" s="18" t="str">
        <f t="shared" si="39"/>
        <v>Complete</v>
      </c>
    </row>
    <row r="836" spans="1:22" ht="14.5" customHeight="1" x14ac:dyDescent="0.35">
      <c r="A836" s="15" t="s">
        <v>7837</v>
      </c>
      <c r="B836" s="15" t="s">
        <v>7838</v>
      </c>
      <c r="C836" s="15" t="s">
        <v>5562</v>
      </c>
      <c r="D836" s="15" t="s">
        <v>5563</v>
      </c>
      <c r="E836" s="15" t="s">
        <v>2</v>
      </c>
      <c r="F836" s="15" t="str">
        <f t="shared" si="40"/>
        <v>Female</v>
      </c>
      <c r="G836" s="15" t="s">
        <v>5564</v>
      </c>
      <c r="H836" s="15" t="s">
        <v>5565</v>
      </c>
      <c r="I836" s="15">
        <v>835</v>
      </c>
      <c r="J836" s="15">
        <v>835</v>
      </c>
      <c r="K836" s="15" t="s">
        <v>32</v>
      </c>
      <c r="L836" s="15" t="s">
        <v>5566</v>
      </c>
      <c r="M836" s="15" t="s">
        <v>5567</v>
      </c>
      <c r="N836" s="15" t="s">
        <v>189</v>
      </c>
      <c r="O836" s="15" t="s">
        <v>190</v>
      </c>
      <c r="P836" s="15" t="s">
        <v>5568</v>
      </c>
      <c r="Q836" s="22">
        <f t="shared" si="41"/>
        <v>8210000000.000001</v>
      </c>
      <c r="R836" s="15">
        <v>794.76</v>
      </c>
      <c r="S836" s="16">
        <v>17.170000000000002</v>
      </c>
      <c r="T836" s="15">
        <v>31024257</v>
      </c>
      <c r="U836" s="17">
        <v>43904</v>
      </c>
      <c r="V836" s="15" t="str">
        <f t="shared" si="39"/>
        <v>Complete</v>
      </c>
    </row>
    <row r="837" spans="1:22" ht="14.5" customHeight="1" x14ac:dyDescent="0.35">
      <c r="A837" s="18" t="s">
        <v>7839</v>
      </c>
      <c r="B837" s="18" t="s">
        <v>7840</v>
      </c>
      <c r="C837" s="18" t="s">
        <v>5569</v>
      </c>
      <c r="D837" s="18" t="s">
        <v>5570</v>
      </c>
      <c r="E837" s="18" t="s">
        <v>2</v>
      </c>
      <c r="F837" s="15" t="str">
        <f t="shared" si="40"/>
        <v>Female</v>
      </c>
      <c r="G837" s="18" t="s">
        <v>5571</v>
      </c>
      <c r="H837" s="18" t="s">
        <v>5572</v>
      </c>
      <c r="I837" s="18">
        <v>836</v>
      </c>
      <c r="J837" s="18">
        <v>836</v>
      </c>
      <c r="K837" s="18" t="s">
        <v>5</v>
      </c>
      <c r="L837" s="18" t="s">
        <v>5573</v>
      </c>
      <c r="M837" s="18" t="s">
        <v>5574</v>
      </c>
      <c r="N837" s="18" t="s">
        <v>8033</v>
      </c>
      <c r="O837" s="18" t="s">
        <v>8033</v>
      </c>
      <c r="P837" s="18" t="s">
        <v>5575</v>
      </c>
      <c r="Q837" s="22">
        <f t="shared" si="41"/>
        <v>1230000</v>
      </c>
      <c r="R837" s="18">
        <v>1732.83</v>
      </c>
      <c r="S837" s="19">
        <v>18.329999999999998</v>
      </c>
      <c r="T837" s="18">
        <v>192101900</v>
      </c>
      <c r="U837" s="20">
        <v>44276</v>
      </c>
      <c r="V837" s="18" t="str">
        <f t="shared" si="39"/>
        <v>Missing</v>
      </c>
    </row>
    <row r="838" spans="1:22" ht="14.5" customHeight="1" x14ac:dyDescent="0.35">
      <c r="A838" s="15" t="s">
        <v>7841</v>
      </c>
      <c r="B838" s="15" t="s">
        <v>7842</v>
      </c>
      <c r="C838" s="15" t="s">
        <v>5576</v>
      </c>
      <c r="D838" s="15" t="s">
        <v>5577</v>
      </c>
      <c r="E838" s="15" t="s">
        <v>13</v>
      </c>
      <c r="F838" s="15" t="str">
        <f t="shared" si="40"/>
        <v>Male</v>
      </c>
      <c r="G838" s="15" t="s">
        <v>5578</v>
      </c>
      <c r="H838" s="15" t="s">
        <v>5579</v>
      </c>
      <c r="I838" s="15">
        <v>837</v>
      </c>
      <c r="J838" s="15">
        <v>837</v>
      </c>
      <c r="K838" s="15" t="s">
        <v>32</v>
      </c>
      <c r="L838" s="15" t="s">
        <v>3960</v>
      </c>
      <c r="M838" s="15" t="s">
        <v>3961</v>
      </c>
      <c r="N838" s="15" t="s">
        <v>189</v>
      </c>
      <c r="O838" s="15" t="s">
        <v>613</v>
      </c>
      <c r="P838" s="15" t="s">
        <v>3962</v>
      </c>
      <c r="Q838" s="22">
        <f t="shared" si="41"/>
        <v>702120000</v>
      </c>
      <c r="R838" s="15">
        <v>1723.54</v>
      </c>
      <c r="S838" s="16">
        <v>-14.72</v>
      </c>
      <c r="T838" s="15">
        <v>826473</v>
      </c>
      <c r="U838" s="17">
        <v>43877</v>
      </c>
      <c r="V838" s="15" t="str">
        <f t="shared" si="39"/>
        <v>Complete</v>
      </c>
    </row>
    <row r="839" spans="1:22" ht="14.5" customHeight="1" x14ac:dyDescent="0.35">
      <c r="A839" s="18" t="s">
        <v>7843</v>
      </c>
      <c r="B839" s="18" t="s">
        <v>6832</v>
      </c>
      <c r="C839" s="18" t="s">
        <v>5580</v>
      </c>
      <c r="D839" s="18" t="s">
        <v>5581</v>
      </c>
      <c r="E839" s="18" t="s">
        <v>13</v>
      </c>
      <c r="F839" s="15" t="str">
        <f t="shared" si="40"/>
        <v>Male</v>
      </c>
      <c r="G839" s="18" t="s">
        <v>5582</v>
      </c>
      <c r="H839" s="18" t="s">
        <v>5583</v>
      </c>
      <c r="I839" s="18">
        <v>838</v>
      </c>
      <c r="J839" s="18">
        <v>838</v>
      </c>
      <c r="K839" s="18" t="s">
        <v>32</v>
      </c>
      <c r="L839" s="18" t="s">
        <v>5584</v>
      </c>
      <c r="M839" s="18" t="s">
        <v>5585</v>
      </c>
      <c r="N839" s="18" t="s">
        <v>142</v>
      </c>
      <c r="O839" s="18" t="s">
        <v>143</v>
      </c>
      <c r="P839" s="18" t="s">
        <v>5586</v>
      </c>
      <c r="Q839" s="22">
        <f t="shared" si="41"/>
        <v>61210000</v>
      </c>
      <c r="R839" s="18">
        <v>815.79</v>
      </c>
      <c r="S839" s="19">
        <v>-5.19</v>
      </c>
      <c r="T839" s="18">
        <v>161381844</v>
      </c>
      <c r="U839" s="20">
        <v>46157</v>
      </c>
      <c r="V839" s="18" t="str">
        <f t="shared" si="39"/>
        <v>Complete</v>
      </c>
    </row>
    <row r="840" spans="1:22" ht="14.5" customHeight="1" x14ac:dyDescent="0.35">
      <c r="A840" s="15" t="s">
        <v>7844</v>
      </c>
      <c r="B840" s="15" t="s">
        <v>7706</v>
      </c>
      <c r="C840" s="15" t="s">
        <v>1978</v>
      </c>
      <c r="D840" s="15" t="s">
        <v>5587</v>
      </c>
      <c r="E840" s="15" t="s">
        <v>13</v>
      </c>
      <c r="F840" s="15" t="str">
        <f t="shared" si="40"/>
        <v>Male</v>
      </c>
      <c r="G840" s="15" t="s">
        <v>5588</v>
      </c>
      <c r="H840" s="15" t="s">
        <v>5589</v>
      </c>
      <c r="I840" s="15">
        <v>839</v>
      </c>
      <c r="J840" s="15">
        <v>839</v>
      </c>
      <c r="K840" s="15" t="s">
        <v>5</v>
      </c>
      <c r="L840" s="15" t="s">
        <v>5590</v>
      </c>
      <c r="M840" s="15" t="s">
        <v>5591</v>
      </c>
      <c r="N840" s="15" t="s">
        <v>25</v>
      </c>
      <c r="O840" s="15" t="s">
        <v>126</v>
      </c>
      <c r="P840" s="15" t="s">
        <v>5592</v>
      </c>
      <c r="Q840" s="22">
        <f t="shared" si="41"/>
        <v>15840000</v>
      </c>
      <c r="R840" s="15">
        <v>1792.09</v>
      </c>
      <c r="S840" s="16">
        <v>11.5</v>
      </c>
      <c r="T840" s="15">
        <v>28804976</v>
      </c>
      <c r="U840" s="17">
        <v>44197</v>
      </c>
      <c r="V840" s="15" t="str">
        <f t="shared" si="39"/>
        <v>Complete</v>
      </c>
    </row>
    <row r="841" spans="1:22" ht="14.5" customHeight="1" x14ac:dyDescent="0.35">
      <c r="A841" s="18" t="s">
        <v>7845</v>
      </c>
      <c r="B841" s="18" t="s">
        <v>7083</v>
      </c>
      <c r="C841" s="18" t="s">
        <v>5593</v>
      </c>
      <c r="D841" s="18" t="s">
        <v>5594</v>
      </c>
      <c r="E841" s="18" t="s">
        <v>13</v>
      </c>
      <c r="F841" s="15" t="str">
        <f t="shared" si="40"/>
        <v>Male</v>
      </c>
      <c r="G841" s="18" t="s">
        <v>5595</v>
      </c>
      <c r="H841" s="18" t="s">
        <v>5596</v>
      </c>
      <c r="I841" s="18">
        <v>840</v>
      </c>
      <c r="J841" s="18">
        <v>840</v>
      </c>
      <c r="K841" s="18" t="s">
        <v>32</v>
      </c>
      <c r="L841" s="18" t="s">
        <v>5597</v>
      </c>
      <c r="M841" s="18" t="s">
        <v>5598</v>
      </c>
      <c r="N841" s="18" t="s">
        <v>25</v>
      </c>
      <c r="O841" s="18" t="s">
        <v>5599</v>
      </c>
      <c r="P841" s="18" t="s">
        <v>5600</v>
      </c>
      <c r="Q841" s="22">
        <f t="shared" si="41"/>
        <v>1000000000</v>
      </c>
      <c r="R841" s="18">
        <v>217.07</v>
      </c>
      <c r="S841" s="19">
        <v>16.55</v>
      </c>
      <c r="T841" s="18">
        <v>134358732</v>
      </c>
      <c r="U841" s="20">
        <v>44040</v>
      </c>
      <c r="V841" s="18" t="str">
        <f t="shared" si="39"/>
        <v>Complete</v>
      </c>
    </row>
    <row r="842" spans="1:22" ht="14.5" customHeight="1" x14ac:dyDescent="0.35">
      <c r="A842" s="15" t="s">
        <v>7846</v>
      </c>
      <c r="B842" s="15" t="s">
        <v>6875</v>
      </c>
      <c r="C842" s="15" t="s">
        <v>5601</v>
      </c>
      <c r="D842" s="15" t="s">
        <v>5602</v>
      </c>
      <c r="E842" s="15" t="s">
        <v>13</v>
      </c>
      <c r="F842" s="15" t="str">
        <f t="shared" si="40"/>
        <v>Male</v>
      </c>
      <c r="G842" s="15" t="s">
        <v>5603</v>
      </c>
      <c r="H842" s="15" t="s">
        <v>5604</v>
      </c>
      <c r="I842" s="15">
        <v>841</v>
      </c>
      <c r="J842" s="15">
        <v>841</v>
      </c>
      <c r="K842" s="15" t="s">
        <v>5</v>
      </c>
      <c r="L842" s="15" t="s">
        <v>2714</v>
      </c>
      <c r="M842" s="15" t="s">
        <v>2715</v>
      </c>
      <c r="N842" s="15" t="s">
        <v>48</v>
      </c>
      <c r="O842" s="15" t="s">
        <v>1632</v>
      </c>
      <c r="P842" s="15" t="s">
        <v>2716</v>
      </c>
      <c r="Q842" s="22">
        <f t="shared" si="41"/>
        <v>172020000</v>
      </c>
      <c r="R842" s="15">
        <v>870.49</v>
      </c>
      <c r="S842" s="16">
        <v>11.1</v>
      </c>
      <c r="T842" s="15">
        <v>198344344</v>
      </c>
      <c r="U842" s="17">
        <v>45215</v>
      </c>
      <c r="V842" s="15" t="str">
        <f t="shared" si="39"/>
        <v>Complete</v>
      </c>
    </row>
    <row r="843" spans="1:22" ht="14.5" customHeight="1" x14ac:dyDescent="0.35">
      <c r="A843" s="18" t="s">
        <v>7847</v>
      </c>
      <c r="B843" s="18" t="s">
        <v>7389</v>
      </c>
      <c r="C843" s="18" t="s">
        <v>5605</v>
      </c>
      <c r="D843" s="18" t="s">
        <v>5606</v>
      </c>
      <c r="E843" s="18" t="s">
        <v>13</v>
      </c>
      <c r="F843" s="15" t="str">
        <f t="shared" si="40"/>
        <v>Male</v>
      </c>
      <c r="G843" s="18" t="s">
        <v>5607</v>
      </c>
      <c r="H843" s="18" t="s">
        <v>5608</v>
      </c>
      <c r="I843" s="18">
        <v>842</v>
      </c>
      <c r="J843" s="18">
        <v>842</v>
      </c>
      <c r="K843" s="18" t="s">
        <v>5</v>
      </c>
      <c r="L843" s="18" t="s">
        <v>5609</v>
      </c>
      <c r="M843" s="18" t="s">
        <v>5610</v>
      </c>
      <c r="N843" s="18" t="s">
        <v>134</v>
      </c>
      <c r="O843" s="18" t="s">
        <v>2454</v>
      </c>
      <c r="P843" s="18" t="s">
        <v>5611</v>
      </c>
      <c r="Q843" s="22">
        <f t="shared" si="41"/>
        <v>380760000</v>
      </c>
      <c r="R843" s="18">
        <v>1138.17</v>
      </c>
      <c r="S843" s="19">
        <v>-19.39</v>
      </c>
      <c r="T843" s="18">
        <v>179353963</v>
      </c>
      <c r="U843" s="20">
        <v>46265</v>
      </c>
      <c r="V843" s="18" t="str">
        <f t="shared" si="39"/>
        <v>Complete</v>
      </c>
    </row>
    <row r="844" spans="1:22" ht="14.5" customHeight="1" x14ac:dyDescent="0.35">
      <c r="A844" s="15" t="s">
        <v>7848</v>
      </c>
      <c r="B844" s="15" t="s">
        <v>7179</v>
      </c>
      <c r="C844" s="15" t="s">
        <v>5612</v>
      </c>
      <c r="D844" s="15" t="s">
        <v>5613</v>
      </c>
      <c r="E844" s="15" t="s">
        <v>13</v>
      </c>
      <c r="F844" s="15" t="str">
        <f t="shared" si="40"/>
        <v>Male</v>
      </c>
      <c r="G844" s="15" t="s">
        <v>5614</v>
      </c>
      <c r="H844" s="15" t="s">
        <v>5615</v>
      </c>
      <c r="I844" s="15">
        <v>843</v>
      </c>
      <c r="J844" s="15">
        <v>843</v>
      </c>
      <c r="K844" s="15" t="s">
        <v>32</v>
      </c>
      <c r="L844" s="15" t="s">
        <v>4363</v>
      </c>
      <c r="M844" s="15" t="s">
        <v>4364</v>
      </c>
      <c r="N844" s="15" t="s">
        <v>48</v>
      </c>
      <c r="O844" s="15" t="s">
        <v>57</v>
      </c>
      <c r="P844" s="15" t="s">
        <v>8033</v>
      </c>
      <c r="Q844" s="22">
        <f t="shared" si="41"/>
        <v>0</v>
      </c>
      <c r="R844" s="15">
        <v>915.81</v>
      </c>
      <c r="S844" s="16">
        <v>14.51</v>
      </c>
      <c r="T844" s="15">
        <v>49388220</v>
      </c>
      <c r="U844" s="17">
        <v>44832</v>
      </c>
      <c r="V844" s="15" t="str">
        <f t="shared" si="39"/>
        <v>Missing</v>
      </c>
    </row>
    <row r="845" spans="1:22" ht="14.5" customHeight="1" x14ac:dyDescent="0.35">
      <c r="A845" s="18" t="s">
        <v>7849</v>
      </c>
      <c r="B845" s="18" t="s">
        <v>6835</v>
      </c>
      <c r="C845" s="18" t="s">
        <v>5616</v>
      </c>
      <c r="D845" s="18" t="s">
        <v>5617</v>
      </c>
      <c r="E845" s="18" t="s">
        <v>13</v>
      </c>
      <c r="F845" s="15" t="str">
        <f t="shared" si="40"/>
        <v>Male</v>
      </c>
      <c r="G845" s="18" t="s">
        <v>5618</v>
      </c>
      <c r="H845" s="18" t="s">
        <v>5619</v>
      </c>
      <c r="I845" s="18">
        <v>844</v>
      </c>
      <c r="J845" s="18">
        <v>844</v>
      </c>
      <c r="K845" s="18" t="s">
        <v>32</v>
      </c>
      <c r="L845" s="18" t="s">
        <v>5620</v>
      </c>
      <c r="M845" s="18" t="s">
        <v>5621</v>
      </c>
      <c r="N845" s="18" t="s">
        <v>8033</v>
      </c>
      <c r="O845" s="18" t="s">
        <v>8033</v>
      </c>
      <c r="P845" s="18" t="s">
        <v>8033</v>
      </c>
      <c r="Q845" s="22">
        <f t="shared" si="41"/>
        <v>0</v>
      </c>
      <c r="R845" s="18">
        <v>1903.83</v>
      </c>
      <c r="S845" s="19">
        <v>-5.75</v>
      </c>
      <c r="T845" s="18">
        <v>27504328</v>
      </c>
      <c r="U845" s="20">
        <v>45634</v>
      </c>
      <c r="V845" s="18" t="str">
        <f t="shared" si="39"/>
        <v>Missing</v>
      </c>
    </row>
    <row r="846" spans="1:22" ht="14.5" customHeight="1" x14ac:dyDescent="0.35">
      <c r="A846" s="15" t="s">
        <v>7850</v>
      </c>
      <c r="B846" s="15" t="s">
        <v>7040</v>
      </c>
      <c r="C846" s="15" t="s">
        <v>5622</v>
      </c>
      <c r="D846" s="15" t="s">
        <v>5623</v>
      </c>
      <c r="E846" s="15" t="s">
        <v>2</v>
      </c>
      <c r="F846" s="15" t="str">
        <f t="shared" si="40"/>
        <v>Female</v>
      </c>
      <c r="G846" s="15" t="s">
        <v>5624</v>
      </c>
      <c r="H846" s="15" t="s">
        <v>5625</v>
      </c>
      <c r="I846" s="15">
        <v>845</v>
      </c>
      <c r="J846" s="15">
        <v>845</v>
      </c>
      <c r="K846" s="15" t="s">
        <v>5</v>
      </c>
      <c r="L846" s="15" t="s">
        <v>5626</v>
      </c>
      <c r="M846" s="15" t="s">
        <v>5627</v>
      </c>
      <c r="N846" s="15" t="s">
        <v>323</v>
      </c>
      <c r="O846" s="15" t="s">
        <v>2267</v>
      </c>
      <c r="P846" s="15" t="s">
        <v>5628</v>
      </c>
      <c r="Q846" s="22">
        <f t="shared" si="41"/>
        <v>56680000</v>
      </c>
      <c r="R846" s="15">
        <v>183.61</v>
      </c>
      <c r="S846" s="16">
        <v>-12.94</v>
      </c>
      <c r="T846" s="15">
        <v>11371365</v>
      </c>
      <c r="U846" s="17">
        <v>46168</v>
      </c>
      <c r="V846" s="15" t="str">
        <f t="shared" si="39"/>
        <v>Complete</v>
      </c>
    </row>
    <row r="847" spans="1:22" ht="14.5" customHeight="1" x14ac:dyDescent="0.35">
      <c r="A847" s="18" t="s">
        <v>7851</v>
      </c>
      <c r="B847" s="18" t="s">
        <v>7620</v>
      </c>
      <c r="C847" s="18" t="s">
        <v>5629</v>
      </c>
      <c r="D847" s="18" t="s">
        <v>5630</v>
      </c>
      <c r="E847" s="18" t="s">
        <v>2</v>
      </c>
      <c r="F847" s="15" t="str">
        <f t="shared" si="40"/>
        <v>Female</v>
      </c>
      <c r="G847" s="18" t="s">
        <v>5631</v>
      </c>
      <c r="H847" s="18" t="s">
        <v>5632</v>
      </c>
      <c r="I847" s="18">
        <v>846</v>
      </c>
      <c r="J847" s="18">
        <v>846</v>
      </c>
      <c r="K847" s="18" t="s">
        <v>5</v>
      </c>
      <c r="L847" s="18" t="s">
        <v>5633</v>
      </c>
      <c r="M847" s="18" t="s">
        <v>5634</v>
      </c>
      <c r="N847" s="18" t="s">
        <v>66</v>
      </c>
      <c r="O847" s="18" t="s">
        <v>181</v>
      </c>
      <c r="P847" s="18" t="s">
        <v>5635</v>
      </c>
      <c r="Q847" s="22">
        <f t="shared" si="41"/>
        <v>434350000</v>
      </c>
      <c r="R847" s="18">
        <v>674.23</v>
      </c>
      <c r="S847" s="19">
        <v>-18.239999999999998</v>
      </c>
      <c r="T847" s="18">
        <v>40624881</v>
      </c>
      <c r="U847" s="20">
        <v>45873</v>
      </c>
      <c r="V847" s="18" t="str">
        <f t="shared" si="39"/>
        <v>Complete</v>
      </c>
    </row>
    <row r="848" spans="1:22" ht="14.5" customHeight="1" x14ac:dyDescent="0.35">
      <c r="A848" s="15" t="s">
        <v>7852</v>
      </c>
      <c r="B848" s="15" t="s">
        <v>6797</v>
      </c>
      <c r="C848" s="15" t="s">
        <v>5636</v>
      </c>
      <c r="D848" s="15" t="s">
        <v>5637</v>
      </c>
      <c r="E848" s="15" t="s">
        <v>2</v>
      </c>
      <c r="F848" s="15" t="str">
        <f t="shared" si="40"/>
        <v>Female</v>
      </c>
      <c r="G848" s="15" t="s">
        <v>5638</v>
      </c>
      <c r="H848" s="15" t="s">
        <v>5639</v>
      </c>
      <c r="I848" s="15">
        <v>847</v>
      </c>
      <c r="J848" s="15">
        <v>847</v>
      </c>
      <c r="K848" s="15" t="s">
        <v>32</v>
      </c>
      <c r="L848" s="15" t="s">
        <v>5640</v>
      </c>
      <c r="M848" s="15" t="s">
        <v>5641</v>
      </c>
      <c r="N848" s="15" t="s">
        <v>99</v>
      </c>
      <c r="O848" s="15" t="s">
        <v>3397</v>
      </c>
      <c r="P848" s="15" t="s">
        <v>5642</v>
      </c>
      <c r="Q848" s="22">
        <f t="shared" si="41"/>
        <v>3570000000</v>
      </c>
      <c r="R848" s="15">
        <v>1472.36</v>
      </c>
      <c r="S848" s="16">
        <v>12.14</v>
      </c>
      <c r="T848" s="15">
        <v>73795516</v>
      </c>
      <c r="U848" s="17">
        <v>45149</v>
      </c>
      <c r="V848" s="15" t="str">
        <f t="shared" si="39"/>
        <v>Complete</v>
      </c>
    </row>
    <row r="849" spans="1:22" ht="14.5" customHeight="1" x14ac:dyDescent="0.35">
      <c r="A849" s="18" t="s">
        <v>7853</v>
      </c>
      <c r="B849" s="18" t="s">
        <v>7854</v>
      </c>
      <c r="C849" s="18" t="s">
        <v>5643</v>
      </c>
      <c r="D849" s="18" t="s">
        <v>5644</v>
      </c>
      <c r="E849" s="18" t="s">
        <v>13</v>
      </c>
      <c r="F849" s="15" t="str">
        <f t="shared" si="40"/>
        <v>Male</v>
      </c>
      <c r="G849" s="18" t="s">
        <v>5645</v>
      </c>
      <c r="H849" s="18" t="s">
        <v>5646</v>
      </c>
      <c r="I849" s="18">
        <v>848</v>
      </c>
      <c r="J849" s="18">
        <v>848</v>
      </c>
      <c r="K849" s="18" t="s">
        <v>5</v>
      </c>
      <c r="L849" s="18" t="s">
        <v>5647</v>
      </c>
      <c r="M849" s="18" t="s">
        <v>5648</v>
      </c>
      <c r="N849" s="18" t="s">
        <v>66</v>
      </c>
      <c r="O849" s="18" t="s">
        <v>931</v>
      </c>
      <c r="P849" s="18" t="s">
        <v>5649</v>
      </c>
      <c r="Q849" s="22">
        <f t="shared" si="41"/>
        <v>23540000</v>
      </c>
      <c r="R849" s="18">
        <v>1363.97</v>
      </c>
      <c r="S849" s="19">
        <v>5.19</v>
      </c>
      <c r="T849" s="18">
        <v>49150672</v>
      </c>
      <c r="U849" s="20">
        <v>44310</v>
      </c>
      <c r="V849" s="18" t="str">
        <f t="shared" si="39"/>
        <v>Complete</v>
      </c>
    </row>
    <row r="850" spans="1:22" ht="14.5" customHeight="1" x14ac:dyDescent="0.35">
      <c r="A850" s="15" t="s">
        <v>7855</v>
      </c>
      <c r="B850" s="15" t="s">
        <v>6629</v>
      </c>
      <c r="C850" s="15" t="s">
        <v>5650</v>
      </c>
      <c r="D850" s="15" t="s">
        <v>5651</v>
      </c>
      <c r="E850" s="15" t="s">
        <v>2</v>
      </c>
      <c r="F850" s="15" t="str">
        <f t="shared" si="40"/>
        <v>Female</v>
      </c>
      <c r="G850" s="15" t="s">
        <v>5652</v>
      </c>
      <c r="H850" s="15" t="s">
        <v>5653</v>
      </c>
      <c r="I850" s="15">
        <v>849</v>
      </c>
      <c r="J850" s="15">
        <v>849</v>
      </c>
      <c r="K850" s="15" t="s">
        <v>5</v>
      </c>
      <c r="L850" s="15" t="s">
        <v>5654</v>
      </c>
      <c r="M850" s="15" t="s">
        <v>5655</v>
      </c>
      <c r="N850" s="15" t="s">
        <v>99</v>
      </c>
      <c r="O850" s="15" t="s">
        <v>380</v>
      </c>
      <c r="P850" s="15" t="s">
        <v>1069</v>
      </c>
      <c r="Q850" s="22">
        <f t="shared" si="41"/>
        <v>3900000000</v>
      </c>
      <c r="R850" s="15">
        <v>875.59</v>
      </c>
      <c r="S850" s="16">
        <v>-5.12</v>
      </c>
      <c r="T850" s="15">
        <v>163927118</v>
      </c>
      <c r="U850" s="17">
        <v>45318</v>
      </c>
      <c r="V850" s="15" t="str">
        <f t="shared" si="39"/>
        <v>Complete</v>
      </c>
    </row>
    <row r="851" spans="1:22" ht="14.5" customHeight="1" x14ac:dyDescent="0.35">
      <c r="A851" s="18" t="s">
        <v>7856</v>
      </c>
      <c r="B851" s="18" t="s">
        <v>7395</v>
      </c>
      <c r="C851" s="18" t="s">
        <v>5656</v>
      </c>
      <c r="D851" s="18" t="s">
        <v>5657</v>
      </c>
      <c r="E851" s="18" t="s">
        <v>13</v>
      </c>
      <c r="F851" s="15" t="str">
        <f t="shared" si="40"/>
        <v>Male</v>
      </c>
      <c r="G851" s="18" t="s">
        <v>5658</v>
      </c>
      <c r="H851" s="18" t="s">
        <v>5659</v>
      </c>
      <c r="I851" s="18">
        <v>850</v>
      </c>
      <c r="J851" s="18">
        <v>850</v>
      </c>
      <c r="K851" s="18" t="s">
        <v>32</v>
      </c>
      <c r="L851" s="18" t="s">
        <v>5660</v>
      </c>
      <c r="M851" s="18" t="s">
        <v>5661</v>
      </c>
      <c r="N851" s="18" t="s">
        <v>134</v>
      </c>
      <c r="O851" s="18" t="s">
        <v>135</v>
      </c>
      <c r="P851" s="18" t="s">
        <v>2605</v>
      </c>
      <c r="Q851" s="22">
        <f t="shared" si="41"/>
        <v>1350000000</v>
      </c>
      <c r="R851" s="18">
        <v>1230.55</v>
      </c>
      <c r="S851" s="19">
        <v>-17.079999999999998</v>
      </c>
      <c r="T851" s="18">
        <v>44945486</v>
      </c>
      <c r="U851" s="20">
        <v>45686</v>
      </c>
      <c r="V851" s="18" t="str">
        <f t="shared" si="39"/>
        <v>Complete</v>
      </c>
    </row>
    <row r="852" spans="1:22" ht="14.5" customHeight="1" x14ac:dyDescent="0.35">
      <c r="A852" s="15" t="s">
        <v>7857</v>
      </c>
      <c r="B852" s="15" t="s">
        <v>6841</v>
      </c>
      <c r="C852" s="15" t="s">
        <v>5662</v>
      </c>
      <c r="D852" s="15" t="s">
        <v>5663</v>
      </c>
      <c r="E852" s="15" t="s">
        <v>2</v>
      </c>
      <c r="F852" s="15" t="str">
        <f t="shared" si="40"/>
        <v>Female</v>
      </c>
      <c r="G852" s="15" t="s">
        <v>5664</v>
      </c>
      <c r="H852" s="15" t="s">
        <v>5665</v>
      </c>
      <c r="I852" s="15">
        <v>851</v>
      </c>
      <c r="J852" s="15">
        <v>851</v>
      </c>
      <c r="K852" s="15" t="s">
        <v>32</v>
      </c>
      <c r="L852" s="15" t="s">
        <v>5666</v>
      </c>
      <c r="M852" s="15" t="s">
        <v>5667</v>
      </c>
      <c r="N852" s="15" t="s">
        <v>25</v>
      </c>
      <c r="O852" s="15" t="s">
        <v>308</v>
      </c>
      <c r="P852" s="15" t="s">
        <v>5668</v>
      </c>
      <c r="Q852" s="22">
        <f t="shared" si="41"/>
        <v>1550000000</v>
      </c>
      <c r="R852" s="15">
        <v>363.38</v>
      </c>
      <c r="S852" s="16">
        <v>-14.88</v>
      </c>
      <c r="T852" s="15">
        <v>33577830</v>
      </c>
      <c r="U852" s="17">
        <v>45579</v>
      </c>
      <c r="V852" s="15" t="str">
        <f t="shared" si="39"/>
        <v>Complete</v>
      </c>
    </row>
    <row r="853" spans="1:22" ht="14.5" customHeight="1" x14ac:dyDescent="0.35">
      <c r="A853" s="18" t="s">
        <v>7858</v>
      </c>
      <c r="B853" s="18" t="s">
        <v>7859</v>
      </c>
      <c r="C853" s="18" t="s">
        <v>5669</v>
      </c>
      <c r="D853" s="18" t="s">
        <v>5670</v>
      </c>
      <c r="E853" s="18" t="s">
        <v>13</v>
      </c>
      <c r="F853" s="15" t="str">
        <f t="shared" si="40"/>
        <v>Male</v>
      </c>
      <c r="G853" s="18" t="s">
        <v>5671</v>
      </c>
      <c r="H853" s="18" t="s">
        <v>5672</v>
      </c>
      <c r="I853" s="18">
        <v>852</v>
      </c>
      <c r="J853" s="18">
        <v>852</v>
      </c>
      <c r="K853" s="18" t="s">
        <v>5</v>
      </c>
      <c r="L853" s="18" t="s">
        <v>5673</v>
      </c>
      <c r="M853" s="18" t="s">
        <v>5674</v>
      </c>
      <c r="N853" s="18" t="s">
        <v>8033</v>
      </c>
      <c r="O853" s="18" t="s">
        <v>8033</v>
      </c>
      <c r="P853" s="18" t="s">
        <v>5675</v>
      </c>
      <c r="Q853" s="22">
        <f t="shared" si="41"/>
        <v>1450000000</v>
      </c>
      <c r="R853" s="18">
        <v>374.12</v>
      </c>
      <c r="S853" s="19">
        <v>8.8699999999999992</v>
      </c>
      <c r="T853" s="18">
        <v>106416632</v>
      </c>
      <c r="U853" s="20">
        <v>44556</v>
      </c>
      <c r="V853" s="18" t="str">
        <f t="shared" si="39"/>
        <v>Missing</v>
      </c>
    </row>
    <row r="854" spans="1:22" ht="14.5" customHeight="1" x14ac:dyDescent="0.35">
      <c r="A854" s="15" t="s">
        <v>7860</v>
      </c>
      <c r="B854" s="15" t="s">
        <v>6595</v>
      </c>
      <c r="C854" s="15" t="s">
        <v>570</v>
      </c>
      <c r="D854" s="15" t="s">
        <v>5676</v>
      </c>
      <c r="E854" s="15" t="s">
        <v>13</v>
      </c>
      <c r="F854" s="15" t="str">
        <f t="shared" si="40"/>
        <v>Male</v>
      </c>
      <c r="G854" s="15" t="s">
        <v>5677</v>
      </c>
      <c r="H854" s="15" t="s">
        <v>5678</v>
      </c>
      <c r="I854" s="15">
        <v>853</v>
      </c>
      <c r="J854" s="15">
        <v>853</v>
      </c>
      <c r="K854" s="15" t="s">
        <v>5</v>
      </c>
      <c r="L854" s="15" t="s">
        <v>5679</v>
      </c>
      <c r="M854" s="15" t="s">
        <v>5680</v>
      </c>
      <c r="N854" s="15" t="s">
        <v>8</v>
      </c>
      <c r="O854" s="15" t="s">
        <v>18</v>
      </c>
      <c r="P854" s="15" t="s">
        <v>5681</v>
      </c>
      <c r="Q854" s="22">
        <f t="shared" si="41"/>
        <v>494010000</v>
      </c>
      <c r="R854" s="15">
        <v>373.3</v>
      </c>
      <c r="S854" s="16">
        <v>12.64</v>
      </c>
      <c r="T854" s="15">
        <v>94857848</v>
      </c>
      <c r="U854" s="17">
        <v>44327</v>
      </c>
      <c r="V854" s="15" t="str">
        <f t="shared" si="39"/>
        <v>Complete</v>
      </c>
    </row>
    <row r="855" spans="1:22" ht="14.5" customHeight="1" x14ac:dyDescent="0.35">
      <c r="A855" s="18" t="s">
        <v>7861</v>
      </c>
      <c r="B855" s="18" t="s">
        <v>6939</v>
      </c>
      <c r="C855" s="18" t="s">
        <v>5682</v>
      </c>
      <c r="D855" s="18" t="s">
        <v>5683</v>
      </c>
      <c r="E855" s="18" t="s">
        <v>13</v>
      </c>
      <c r="F855" s="15" t="str">
        <f t="shared" si="40"/>
        <v>Male</v>
      </c>
      <c r="G855" s="18" t="s">
        <v>5684</v>
      </c>
      <c r="H855" s="18" t="s">
        <v>5685</v>
      </c>
      <c r="I855" s="18">
        <v>854</v>
      </c>
      <c r="J855" s="18">
        <v>854</v>
      </c>
      <c r="K855" s="18" t="s">
        <v>32</v>
      </c>
      <c r="L855" s="18" t="s">
        <v>5686</v>
      </c>
      <c r="M855" s="18" t="s">
        <v>5687</v>
      </c>
      <c r="N855" s="18" t="s">
        <v>142</v>
      </c>
      <c r="O855" s="18" t="s">
        <v>143</v>
      </c>
      <c r="P855" s="18" t="s">
        <v>3656</v>
      </c>
      <c r="Q855" s="22">
        <f t="shared" si="41"/>
        <v>5040000000</v>
      </c>
      <c r="R855" s="18">
        <v>1565.39</v>
      </c>
      <c r="S855" s="19">
        <v>17.28</v>
      </c>
      <c r="T855" s="18">
        <v>135682758</v>
      </c>
      <c r="U855" s="20">
        <v>45127</v>
      </c>
      <c r="V855" s="18" t="str">
        <f t="shared" si="39"/>
        <v>Complete</v>
      </c>
    </row>
    <row r="856" spans="1:22" ht="14.5" customHeight="1" x14ac:dyDescent="0.35">
      <c r="A856" s="15" t="s">
        <v>7862</v>
      </c>
      <c r="B856" s="15" t="s">
        <v>7863</v>
      </c>
      <c r="C856" s="15" t="s">
        <v>5688</v>
      </c>
      <c r="D856" s="15" t="s">
        <v>5689</v>
      </c>
      <c r="E856" s="15" t="s">
        <v>13</v>
      </c>
      <c r="F856" s="15" t="str">
        <f t="shared" si="40"/>
        <v>Male</v>
      </c>
      <c r="G856" s="15" t="s">
        <v>5690</v>
      </c>
      <c r="H856" s="15" t="s">
        <v>5691</v>
      </c>
      <c r="I856" s="15">
        <v>855</v>
      </c>
      <c r="J856" s="15">
        <v>855</v>
      </c>
      <c r="K856" s="15" t="s">
        <v>5</v>
      </c>
      <c r="L856" s="15" t="s">
        <v>5692</v>
      </c>
      <c r="M856" s="15" t="s">
        <v>5693</v>
      </c>
      <c r="N856" s="15" t="s">
        <v>189</v>
      </c>
      <c r="O856" s="15" t="s">
        <v>190</v>
      </c>
      <c r="P856" s="15" t="s">
        <v>5694</v>
      </c>
      <c r="Q856" s="22">
        <f t="shared" si="41"/>
        <v>390460000</v>
      </c>
      <c r="R856" s="15">
        <v>1554.04</v>
      </c>
      <c r="S856" s="16">
        <v>-15.92</v>
      </c>
      <c r="T856" s="15">
        <v>152045147</v>
      </c>
      <c r="U856" s="17">
        <v>44825</v>
      </c>
      <c r="V856" s="15" t="str">
        <f t="shared" si="39"/>
        <v>Complete</v>
      </c>
    </row>
    <row r="857" spans="1:22" ht="14.5" customHeight="1" x14ac:dyDescent="0.35">
      <c r="A857" s="18" t="s">
        <v>7864</v>
      </c>
      <c r="B857" s="18" t="s">
        <v>7278</v>
      </c>
      <c r="C857" s="18" t="s">
        <v>5695</v>
      </c>
      <c r="D857" s="18" t="s">
        <v>5696</v>
      </c>
      <c r="E857" s="18" t="s">
        <v>13</v>
      </c>
      <c r="F857" s="15" t="str">
        <f t="shared" si="40"/>
        <v>Male</v>
      </c>
      <c r="G857" s="18" t="s">
        <v>5697</v>
      </c>
      <c r="H857" s="18" t="s">
        <v>5698</v>
      </c>
      <c r="I857" s="18">
        <v>856</v>
      </c>
      <c r="J857" s="18">
        <v>856</v>
      </c>
      <c r="K857" s="18" t="s">
        <v>32</v>
      </c>
      <c r="L857" s="18" t="s">
        <v>5699</v>
      </c>
      <c r="M857" s="18" t="s">
        <v>5700</v>
      </c>
      <c r="N857" s="18" t="s">
        <v>8033</v>
      </c>
      <c r="O857" s="18" t="s">
        <v>8033</v>
      </c>
      <c r="P857" s="18" t="s">
        <v>8033</v>
      </c>
      <c r="Q857" s="22">
        <f t="shared" si="41"/>
        <v>0</v>
      </c>
      <c r="R857" s="18">
        <v>704.81</v>
      </c>
      <c r="S857" s="19">
        <v>9.14</v>
      </c>
      <c r="T857" s="18">
        <v>141924326</v>
      </c>
      <c r="U857" s="20">
        <v>44587</v>
      </c>
      <c r="V857" s="18" t="str">
        <f t="shared" si="39"/>
        <v>Missing</v>
      </c>
    </row>
    <row r="858" spans="1:22" ht="14.5" customHeight="1" x14ac:dyDescent="0.35">
      <c r="A858" s="15" t="s">
        <v>7865</v>
      </c>
      <c r="B858" s="15" t="s">
        <v>7866</v>
      </c>
      <c r="C858" s="15" t="s">
        <v>5701</v>
      </c>
      <c r="D858" s="15" t="s">
        <v>5702</v>
      </c>
      <c r="E858" s="15" t="s">
        <v>61</v>
      </c>
      <c r="F858" s="15" t="str">
        <f t="shared" si="40"/>
        <v>Other</v>
      </c>
      <c r="G858" s="15" t="s">
        <v>5703</v>
      </c>
      <c r="H858" s="15" t="s">
        <v>5704</v>
      </c>
      <c r="I858" s="15">
        <v>857</v>
      </c>
      <c r="J858" s="15">
        <v>857</v>
      </c>
      <c r="K858" s="15" t="s">
        <v>5</v>
      </c>
      <c r="L858" s="15" t="s">
        <v>5705</v>
      </c>
      <c r="M858" s="15" t="s">
        <v>5706</v>
      </c>
      <c r="N858" s="15" t="s">
        <v>8</v>
      </c>
      <c r="O858" s="15" t="s">
        <v>600</v>
      </c>
      <c r="P858" s="15" t="s">
        <v>5707</v>
      </c>
      <c r="Q858" s="22">
        <f t="shared" si="41"/>
        <v>143510000</v>
      </c>
      <c r="R858" s="15">
        <v>280.06</v>
      </c>
      <c r="S858" s="16">
        <v>-6.8</v>
      </c>
      <c r="T858" s="15">
        <v>20586395</v>
      </c>
      <c r="U858" s="17">
        <v>44240</v>
      </c>
      <c r="V858" s="15" t="str">
        <f t="shared" si="39"/>
        <v>Complete</v>
      </c>
    </row>
    <row r="859" spans="1:22" ht="14.5" customHeight="1" x14ac:dyDescent="0.35">
      <c r="A859" s="18" t="s">
        <v>7867</v>
      </c>
      <c r="B859" s="18" t="s">
        <v>7868</v>
      </c>
      <c r="C859" s="18" t="s">
        <v>5708</v>
      </c>
      <c r="D859" s="18" t="s">
        <v>5709</v>
      </c>
      <c r="E859" s="18" t="s">
        <v>13</v>
      </c>
      <c r="F859" s="15" t="str">
        <f t="shared" si="40"/>
        <v>Male</v>
      </c>
      <c r="G859" s="18" t="s">
        <v>5710</v>
      </c>
      <c r="H859" s="18" t="s">
        <v>5711</v>
      </c>
      <c r="I859" s="18">
        <v>858</v>
      </c>
      <c r="J859" s="18">
        <v>858</v>
      </c>
      <c r="K859" s="18" t="s">
        <v>5</v>
      </c>
      <c r="L859" s="18" t="s">
        <v>5712</v>
      </c>
      <c r="M859" s="18" t="s">
        <v>5713</v>
      </c>
      <c r="N859" s="18" t="s">
        <v>99</v>
      </c>
      <c r="O859" s="18" t="s">
        <v>2814</v>
      </c>
      <c r="P859" s="18" t="s">
        <v>5714</v>
      </c>
      <c r="Q859" s="22">
        <f t="shared" si="41"/>
        <v>177280000</v>
      </c>
      <c r="R859" s="18">
        <v>713.04</v>
      </c>
      <c r="S859" s="19">
        <v>-17.18</v>
      </c>
      <c r="T859" s="18">
        <v>193555028</v>
      </c>
      <c r="U859" s="20">
        <v>43837</v>
      </c>
      <c r="V859" s="18" t="str">
        <f t="shared" si="39"/>
        <v>Complete</v>
      </c>
    </row>
    <row r="860" spans="1:22" ht="14.5" customHeight="1" x14ac:dyDescent="0.35">
      <c r="A860" s="15" t="s">
        <v>7869</v>
      </c>
      <c r="B860" s="15" t="s">
        <v>7202</v>
      </c>
      <c r="C860" s="15" t="s">
        <v>806</v>
      </c>
      <c r="D860" s="15" t="s">
        <v>5715</v>
      </c>
      <c r="E860" s="15" t="s">
        <v>13</v>
      </c>
      <c r="F860" s="15" t="str">
        <f t="shared" si="40"/>
        <v>Male</v>
      </c>
      <c r="G860" s="15" t="s">
        <v>5716</v>
      </c>
      <c r="H860" s="15" t="s">
        <v>5717</v>
      </c>
      <c r="I860" s="15">
        <v>859</v>
      </c>
      <c r="J860" s="15">
        <v>859</v>
      </c>
      <c r="K860" s="15" t="s">
        <v>32</v>
      </c>
      <c r="L860" s="15" t="s">
        <v>2957</v>
      </c>
      <c r="M860" s="15" t="s">
        <v>2958</v>
      </c>
      <c r="N860" s="15" t="s">
        <v>90</v>
      </c>
      <c r="O860" s="15" t="s">
        <v>1261</v>
      </c>
      <c r="P860" s="15" t="s">
        <v>2959</v>
      </c>
      <c r="Q860" s="22">
        <f t="shared" si="41"/>
        <v>13000000000</v>
      </c>
      <c r="R860" s="15">
        <v>431.15</v>
      </c>
      <c r="S860" s="16">
        <v>-12.22</v>
      </c>
      <c r="T860" s="15">
        <v>79222164</v>
      </c>
      <c r="U860" s="17">
        <v>44029</v>
      </c>
      <c r="V860" s="15" t="str">
        <f t="shared" si="39"/>
        <v>Complete</v>
      </c>
    </row>
    <row r="861" spans="1:22" ht="14.5" customHeight="1" x14ac:dyDescent="0.35">
      <c r="A861" s="18" t="s">
        <v>7870</v>
      </c>
      <c r="B861" s="18" t="s">
        <v>6997</v>
      </c>
      <c r="C861" s="18" t="s">
        <v>5718</v>
      </c>
      <c r="D861" s="18" t="s">
        <v>5719</v>
      </c>
      <c r="E861" s="18" t="s">
        <v>2</v>
      </c>
      <c r="F861" s="15" t="str">
        <f t="shared" si="40"/>
        <v>Female</v>
      </c>
      <c r="G861" s="18" t="s">
        <v>5720</v>
      </c>
      <c r="H861" s="18" t="s">
        <v>5721</v>
      </c>
      <c r="I861" s="18">
        <v>860</v>
      </c>
      <c r="J861" s="18">
        <v>860</v>
      </c>
      <c r="K861" s="18" t="s">
        <v>32</v>
      </c>
      <c r="L861" s="18" t="s">
        <v>5722</v>
      </c>
      <c r="M861" s="18" t="s">
        <v>5723</v>
      </c>
      <c r="N861" s="18" t="s">
        <v>189</v>
      </c>
      <c r="O861" s="18" t="s">
        <v>190</v>
      </c>
      <c r="P861" s="18" t="s">
        <v>685</v>
      </c>
      <c r="Q861" s="22">
        <f t="shared" si="41"/>
        <v>1920000000</v>
      </c>
      <c r="R861" s="18">
        <v>1303.8599999999999</v>
      </c>
      <c r="S861" s="19">
        <v>-2.4500000000000002</v>
      </c>
      <c r="T861" s="18">
        <v>102200843</v>
      </c>
      <c r="U861" s="20">
        <v>45728</v>
      </c>
      <c r="V861" s="18" t="str">
        <f t="shared" si="39"/>
        <v>Complete</v>
      </c>
    </row>
    <row r="862" spans="1:22" ht="14.5" customHeight="1" x14ac:dyDescent="0.35">
      <c r="A862" s="15" t="s">
        <v>7871</v>
      </c>
      <c r="B862" s="15" t="s">
        <v>7224</v>
      </c>
      <c r="C862" s="15" t="s">
        <v>5724</v>
      </c>
      <c r="D862" s="15" t="s">
        <v>5725</v>
      </c>
      <c r="E862" s="15" t="s">
        <v>13</v>
      </c>
      <c r="F862" s="15" t="str">
        <f t="shared" si="40"/>
        <v>Male</v>
      </c>
      <c r="G862" s="15" t="s">
        <v>5726</v>
      </c>
      <c r="H862" s="15" t="s">
        <v>5727</v>
      </c>
      <c r="I862" s="15">
        <v>861</v>
      </c>
      <c r="J862" s="15">
        <v>861</v>
      </c>
      <c r="K862" s="15" t="s">
        <v>5</v>
      </c>
      <c r="L862" s="15" t="s">
        <v>5728</v>
      </c>
      <c r="M862" s="15" t="s">
        <v>5729</v>
      </c>
      <c r="N862" s="15" t="s">
        <v>48</v>
      </c>
      <c r="O862" s="15" t="s">
        <v>49</v>
      </c>
      <c r="P862" s="15" t="s">
        <v>5730</v>
      </c>
      <c r="Q862" s="22">
        <f t="shared" si="41"/>
        <v>12150000000</v>
      </c>
      <c r="R862" s="15">
        <v>1960.97</v>
      </c>
      <c r="S862" s="16">
        <v>13.26</v>
      </c>
      <c r="T862" s="15">
        <v>9262415</v>
      </c>
      <c r="U862" s="17">
        <v>44986</v>
      </c>
      <c r="V862" s="15" t="str">
        <f t="shared" si="39"/>
        <v>Complete</v>
      </c>
    </row>
    <row r="863" spans="1:22" ht="14.5" customHeight="1" x14ac:dyDescent="0.35">
      <c r="A863" s="18" t="s">
        <v>7872</v>
      </c>
      <c r="B863" s="18" t="s">
        <v>7873</v>
      </c>
      <c r="C863" s="18" t="s">
        <v>5731</v>
      </c>
      <c r="D863" s="18" t="s">
        <v>5732</v>
      </c>
      <c r="E863" s="18" t="s">
        <v>2</v>
      </c>
      <c r="F863" s="15" t="str">
        <f t="shared" si="40"/>
        <v>Female</v>
      </c>
      <c r="G863" s="18" t="s">
        <v>5733</v>
      </c>
      <c r="H863" s="18" t="s">
        <v>5734</v>
      </c>
      <c r="I863" s="18">
        <v>862</v>
      </c>
      <c r="J863" s="18">
        <v>862</v>
      </c>
      <c r="K863" s="18" t="s">
        <v>32</v>
      </c>
      <c r="L863" s="18" t="s">
        <v>5735</v>
      </c>
      <c r="M863" s="18" t="s">
        <v>5736</v>
      </c>
      <c r="N863" s="18" t="s">
        <v>48</v>
      </c>
      <c r="O863" s="18" t="s">
        <v>1632</v>
      </c>
      <c r="P863" s="18" t="s">
        <v>5737</v>
      </c>
      <c r="Q863" s="22">
        <f t="shared" si="41"/>
        <v>1010000000</v>
      </c>
      <c r="R863" s="18">
        <v>1989.62</v>
      </c>
      <c r="S863" s="19">
        <v>4.9800000000000004</v>
      </c>
      <c r="T863" s="18">
        <v>159608070</v>
      </c>
      <c r="U863" s="20">
        <v>44194</v>
      </c>
      <c r="V863" s="18" t="str">
        <f t="shared" si="39"/>
        <v>Complete</v>
      </c>
    </row>
    <row r="864" spans="1:22" ht="14.5" customHeight="1" x14ac:dyDescent="0.35">
      <c r="A864" s="15" t="s">
        <v>7874</v>
      </c>
      <c r="B864" s="15" t="s">
        <v>7059</v>
      </c>
      <c r="C864" s="15" t="s">
        <v>5738</v>
      </c>
      <c r="D864" s="15" t="s">
        <v>5739</v>
      </c>
      <c r="E864" s="15" t="s">
        <v>13</v>
      </c>
      <c r="F864" s="15" t="str">
        <f t="shared" si="40"/>
        <v>Male</v>
      </c>
      <c r="G864" s="15" t="s">
        <v>5740</v>
      </c>
      <c r="H864" s="15" t="s">
        <v>5741</v>
      </c>
      <c r="I864" s="15">
        <v>863</v>
      </c>
      <c r="J864" s="15">
        <v>863</v>
      </c>
      <c r="K864" s="15" t="s">
        <v>32</v>
      </c>
      <c r="L864" s="15" t="s">
        <v>5742</v>
      </c>
      <c r="M864" s="15" t="s">
        <v>5743</v>
      </c>
      <c r="N864" s="15" t="s">
        <v>8033</v>
      </c>
      <c r="O864" s="15" t="s">
        <v>8033</v>
      </c>
      <c r="P864" s="15" t="s">
        <v>8033</v>
      </c>
      <c r="Q864" s="22">
        <f t="shared" si="41"/>
        <v>0</v>
      </c>
      <c r="R864" s="15">
        <v>1632.92</v>
      </c>
      <c r="S864" s="16">
        <v>-15.77</v>
      </c>
      <c r="T864" s="15">
        <v>175711804</v>
      </c>
      <c r="U864" s="17">
        <v>45277</v>
      </c>
      <c r="V864" s="15" t="str">
        <f t="shared" si="39"/>
        <v>Missing</v>
      </c>
    </row>
    <row r="865" spans="1:22" ht="14.5" customHeight="1" x14ac:dyDescent="0.35">
      <c r="A865" s="18" t="s">
        <v>7875</v>
      </c>
      <c r="B865" s="18" t="s">
        <v>6984</v>
      </c>
      <c r="C865" s="18" t="s">
        <v>5744</v>
      </c>
      <c r="D865" s="18" t="s">
        <v>5745</v>
      </c>
      <c r="E865" s="18" t="s">
        <v>2</v>
      </c>
      <c r="F865" s="15" t="str">
        <f t="shared" si="40"/>
        <v>Female</v>
      </c>
      <c r="G865" s="18" t="s">
        <v>5746</v>
      </c>
      <c r="H865" s="18" t="s">
        <v>5747</v>
      </c>
      <c r="I865" s="18">
        <v>864</v>
      </c>
      <c r="J865" s="18">
        <v>864</v>
      </c>
      <c r="K865" s="18" t="s">
        <v>32</v>
      </c>
      <c r="L865" s="18" t="s">
        <v>5748</v>
      </c>
      <c r="M865" s="18" t="s">
        <v>5749</v>
      </c>
      <c r="N865" s="18" t="s">
        <v>25</v>
      </c>
      <c r="O865" s="18" t="s">
        <v>2267</v>
      </c>
      <c r="P865" s="18" t="s">
        <v>2584</v>
      </c>
      <c r="Q865" s="22">
        <f t="shared" si="41"/>
        <v>6470000000</v>
      </c>
      <c r="R865" s="18">
        <v>639.78</v>
      </c>
      <c r="S865" s="19">
        <v>10.029999999999999</v>
      </c>
      <c r="T865" s="18">
        <v>115077564</v>
      </c>
      <c r="U865" s="20">
        <v>44414</v>
      </c>
      <c r="V865" s="18" t="str">
        <f t="shared" si="39"/>
        <v>Complete</v>
      </c>
    </row>
    <row r="866" spans="1:22" ht="14.5" customHeight="1" x14ac:dyDescent="0.35">
      <c r="A866" s="15" t="s">
        <v>7876</v>
      </c>
      <c r="B866" s="15" t="s">
        <v>7287</v>
      </c>
      <c r="C866" s="15" t="s">
        <v>5750</v>
      </c>
      <c r="D866" s="15" t="s">
        <v>5751</v>
      </c>
      <c r="E866" s="15" t="s">
        <v>2</v>
      </c>
      <c r="F866" s="15" t="str">
        <f t="shared" si="40"/>
        <v>Female</v>
      </c>
      <c r="G866" s="15" t="s">
        <v>5752</v>
      </c>
      <c r="H866" s="15" t="s">
        <v>5753</v>
      </c>
      <c r="I866" s="15">
        <v>865</v>
      </c>
      <c r="J866" s="15">
        <v>865</v>
      </c>
      <c r="K866" s="15" t="s">
        <v>32</v>
      </c>
      <c r="L866" s="15" t="s">
        <v>5754</v>
      </c>
      <c r="M866" s="15" t="s">
        <v>4300</v>
      </c>
      <c r="N866" s="15" t="s">
        <v>8033</v>
      </c>
      <c r="O866" s="15" t="s">
        <v>8033</v>
      </c>
      <c r="P866" s="15" t="s">
        <v>8033</v>
      </c>
      <c r="Q866" s="22">
        <f t="shared" si="41"/>
        <v>0</v>
      </c>
      <c r="R866" s="15">
        <v>494.06</v>
      </c>
      <c r="S866" s="16">
        <v>-12.93</v>
      </c>
      <c r="T866" s="15">
        <v>170563065</v>
      </c>
      <c r="U866" s="17">
        <v>44161</v>
      </c>
      <c r="V866" s="15" t="str">
        <f t="shared" si="39"/>
        <v>Missing</v>
      </c>
    </row>
    <row r="867" spans="1:22" ht="14.5" customHeight="1" x14ac:dyDescent="0.35">
      <c r="A867" s="18" t="s">
        <v>7877</v>
      </c>
      <c r="B867" s="18" t="s">
        <v>6949</v>
      </c>
      <c r="C867" s="18" t="s">
        <v>5755</v>
      </c>
      <c r="D867" s="18" t="s">
        <v>3400</v>
      </c>
      <c r="E867" s="18" t="s">
        <v>2</v>
      </c>
      <c r="F867" s="15" t="str">
        <f t="shared" si="40"/>
        <v>Female</v>
      </c>
      <c r="G867" s="18" t="s">
        <v>5756</v>
      </c>
      <c r="H867" s="18" t="s">
        <v>5757</v>
      </c>
      <c r="I867" s="18">
        <v>866</v>
      </c>
      <c r="J867" s="18">
        <v>866</v>
      </c>
      <c r="K867" s="18" t="s">
        <v>32</v>
      </c>
      <c r="L867" s="18" t="s">
        <v>5758</v>
      </c>
      <c r="M867" s="18" t="s">
        <v>5759</v>
      </c>
      <c r="N867" s="18" t="s">
        <v>8033</v>
      </c>
      <c r="O867" s="18" t="s">
        <v>8033</v>
      </c>
      <c r="P867" s="18" t="s">
        <v>5760</v>
      </c>
      <c r="Q867" s="22">
        <f t="shared" si="41"/>
        <v>222220000</v>
      </c>
      <c r="R867" s="18">
        <v>262.47000000000003</v>
      </c>
      <c r="S867" s="19">
        <v>11.19</v>
      </c>
      <c r="T867" s="18">
        <v>21306884</v>
      </c>
      <c r="U867" s="20">
        <v>45632</v>
      </c>
      <c r="V867" s="18" t="str">
        <f t="shared" si="39"/>
        <v>Missing</v>
      </c>
    </row>
    <row r="868" spans="1:22" ht="14.5" customHeight="1" x14ac:dyDescent="0.35">
      <c r="A868" s="15" t="s">
        <v>7878</v>
      </c>
      <c r="B868" s="15" t="s">
        <v>7185</v>
      </c>
      <c r="C868" s="15" t="s">
        <v>2408</v>
      </c>
      <c r="D868" s="15" t="s">
        <v>5761</v>
      </c>
      <c r="E868" s="15" t="s">
        <v>161</v>
      </c>
      <c r="F868" s="15" t="str">
        <f t="shared" si="40"/>
        <v>Other</v>
      </c>
      <c r="G868" s="15" t="s">
        <v>5762</v>
      </c>
      <c r="H868" s="15" t="s">
        <v>5763</v>
      </c>
      <c r="I868" s="15">
        <v>867</v>
      </c>
      <c r="J868" s="15">
        <v>867</v>
      </c>
      <c r="K868" s="15" t="s">
        <v>5</v>
      </c>
      <c r="L868" s="15" t="s">
        <v>5764</v>
      </c>
      <c r="M868" s="15" t="s">
        <v>5765</v>
      </c>
      <c r="N868" s="15" t="s">
        <v>8</v>
      </c>
      <c r="O868" s="15" t="s">
        <v>840</v>
      </c>
      <c r="P868" s="15" t="s">
        <v>5766</v>
      </c>
      <c r="Q868" s="22">
        <f t="shared" si="41"/>
        <v>29240000</v>
      </c>
      <c r="R868" s="15">
        <v>282.5</v>
      </c>
      <c r="S868" s="16">
        <v>6.99</v>
      </c>
      <c r="T868" s="15">
        <v>8262791</v>
      </c>
      <c r="U868" s="17">
        <v>45446</v>
      </c>
      <c r="V868" s="15" t="str">
        <f t="shared" si="39"/>
        <v>Complete</v>
      </c>
    </row>
    <row r="869" spans="1:22" ht="14.5" customHeight="1" x14ac:dyDescent="0.35">
      <c r="A869" s="18" t="s">
        <v>7879</v>
      </c>
      <c r="B869" s="18" t="s">
        <v>7227</v>
      </c>
      <c r="C869" s="18" t="s">
        <v>5767</v>
      </c>
      <c r="D869" s="18" t="s">
        <v>5768</v>
      </c>
      <c r="E869" s="18" t="s">
        <v>2</v>
      </c>
      <c r="F869" s="15" t="str">
        <f t="shared" si="40"/>
        <v>Female</v>
      </c>
      <c r="G869" s="18" t="s">
        <v>5769</v>
      </c>
      <c r="H869" s="18" t="s">
        <v>5770</v>
      </c>
      <c r="I869" s="18">
        <v>868</v>
      </c>
      <c r="J869" s="18">
        <v>868</v>
      </c>
      <c r="K869" s="18" t="s">
        <v>5</v>
      </c>
      <c r="L869" s="18" t="s">
        <v>5771</v>
      </c>
      <c r="M869" s="18" t="s">
        <v>5772</v>
      </c>
      <c r="N869" s="18" t="s">
        <v>8033</v>
      </c>
      <c r="O869" s="18" t="s">
        <v>8033</v>
      </c>
      <c r="P869" s="18" t="s">
        <v>5773</v>
      </c>
      <c r="Q869" s="22">
        <f t="shared" si="41"/>
        <v>54380000</v>
      </c>
      <c r="R869" s="18">
        <v>675.06</v>
      </c>
      <c r="S869" s="19">
        <v>-14.86</v>
      </c>
      <c r="T869" s="18">
        <v>67075423</v>
      </c>
      <c r="U869" s="20">
        <v>44150</v>
      </c>
      <c r="V869" s="18" t="str">
        <f t="shared" si="39"/>
        <v>Missing</v>
      </c>
    </row>
    <row r="870" spans="1:22" ht="14.5" customHeight="1" x14ac:dyDescent="0.35">
      <c r="A870" s="15" t="s">
        <v>7880</v>
      </c>
      <c r="B870" s="15" t="s">
        <v>7276</v>
      </c>
      <c r="C870" s="15" t="s">
        <v>813</v>
      </c>
      <c r="D870" s="15" t="s">
        <v>5774</v>
      </c>
      <c r="E870" s="15" t="s">
        <v>13</v>
      </c>
      <c r="F870" s="15" t="str">
        <f t="shared" si="40"/>
        <v>Male</v>
      </c>
      <c r="G870" s="15" t="s">
        <v>5775</v>
      </c>
      <c r="H870" s="15" t="s">
        <v>5776</v>
      </c>
      <c r="I870" s="15">
        <v>869</v>
      </c>
      <c r="J870" s="15">
        <v>869</v>
      </c>
      <c r="K870" s="15" t="s">
        <v>5</v>
      </c>
      <c r="L870" s="15" t="s">
        <v>5777</v>
      </c>
      <c r="M870" s="15" t="s">
        <v>5778</v>
      </c>
      <c r="N870" s="15" t="s">
        <v>66</v>
      </c>
      <c r="O870" s="15" t="s">
        <v>422</v>
      </c>
      <c r="P870" s="15" t="s">
        <v>5779</v>
      </c>
      <c r="Q870" s="22">
        <f t="shared" si="41"/>
        <v>5550000000</v>
      </c>
      <c r="R870" s="15">
        <v>547.35</v>
      </c>
      <c r="S870" s="16">
        <v>4.1100000000000003</v>
      </c>
      <c r="T870" s="15">
        <v>185629195</v>
      </c>
      <c r="U870" s="17">
        <v>44996</v>
      </c>
      <c r="V870" s="15" t="str">
        <f t="shared" si="39"/>
        <v>Complete</v>
      </c>
    </row>
    <row r="871" spans="1:22" ht="14.5" customHeight="1" x14ac:dyDescent="0.35">
      <c r="A871" s="18" t="s">
        <v>7881</v>
      </c>
      <c r="B871" s="18" t="s">
        <v>7298</v>
      </c>
      <c r="C871" s="18" t="s">
        <v>5780</v>
      </c>
      <c r="D871" s="18" t="s">
        <v>5781</v>
      </c>
      <c r="E871" s="18" t="s">
        <v>2</v>
      </c>
      <c r="F871" s="15" t="str">
        <f t="shared" si="40"/>
        <v>Female</v>
      </c>
      <c r="G871" s="18" t="s">
        <v>5782</v>
      </c>
      <c r="H871" s="18" t="s">
        <v>5783</v>
      </c>
      <c r="I871" s="18">
        <v>870</v>
      </c>
      <c r="J871" s="18">
        <v>870</v>
      </c>
      <c r="K871" s="18" t="s">
        <v>5</v>
      </c>
      <c r="L871" s="18" t="s">
        <v>5784</v>
      </c>
      <c r="M871" s="18" t="s">
        <v>5785</v>
      </c>
      <c r="N871" s="18" t="s">
        <v>66</v>
      </c>
      <c r="O871" s="18" t="s">
        <v>181</v>
      </c>
      <c r="P871" s="18" t="s">
        <v>5786</v>
      </c>
      <c r="Q871" s="22">
        <f t="shared" si="41"/>
        <v>99100000</v>
      </c>
      <c r="R871" s="18">
        <v>516.02</v>
      </c>
      <c r="S871" s="19">
        <v>15.99</v>
      </c>
      <c r="T871" s="18">
        <v>157735280</v>
      </c>
      <c r="U871" s="20">
        <v>46015</v>
      </c>
      <c r="V871" s="18" t="str">
        <f t="shared" si="39"/>
        <v>Complete</v>
      </c>
    </row>
    <row r="872" spans="1:22" ht="14.5" customHeight="1" x14ac:dyDescent="0.35">
      <c r="A872" s="15" t="s">
        <v>7882</v>
      </c>
      <c r="B872" s="15" t="s">
        <v>6992</v>
      </c>
      <c r="C872" s="15" t="s">
        <v>5787</v>
      </c>
      <c r="D872" s="15" t="s">
        <v>5788</v>
      </c>
      <c r="E872" s="15" t="s">
        <v>13</v>
      </c>
      <c r="F872" s="15" t="str">
        <f t="shared" si="40"/>
        <v>Male</v>
      </c>
      <c r="G872" s="15" t="s">
        <v>5789</v>
      </c>
      <c r="H872" s="15" t="s">
        <v>5790</v>
      </c>
      <c r="I872" s="15">
        <v>871</v>
      </c>
      <c r="J872" s="15">
        <v>871</v>
      </c>
      <c r="K872" s="15" t="s">
        <v>5</v>
      </c>
      <c r="L872" s="15" t="s">
        <v>5791</v>
      </c>
      <c r="M872" s="15" t="s">
        <v>5792</v>
      </c>
      <c r="N872" s="15" t="s">
        <v>66</v>
      </c>
      <c r="O872" s="15" t="s">
        <v>422</v>
      </c>
      <c r="P872" s="15" t="s">
        <v>5793</v>
      </c>
      <c r="Q872" s="22">
        <f t="shared" si="41"/>
        <v>1190000000</v>
      </c>
      <c r="R872" s="15">
        <v>1004.37</v>
      </c>
      <c r="S872" s="16">
        <v>-15.76</v>
      </c>
      <c r="T872" s="15">
        <v>152696845</v>
      </c>
      <c r="U872" s="17">
        <v>45719</v>
      </c>
      <c r="V872" s="15" t="str">
        <f t="shared" si="39"/>
        <v>Complete</v>
      </c>
    </row>
    <row r="873" spans="1:22" ht="14.5" customHeight="1" x14ac:dyDescent="0.35">
      <c r="A873" s="18" t="s">
        <v>7883</v>
      </c>
      <c r="B873" s="18" t="s">
        <v>7884</v>
      </c>
      <c r="C873" s="18" t="s">
        <v>5794</v>
      </c>
      <c r="D873" s="18" t="s">
        <v>5795</v>
      </c>
      <c r="E873" s="18" t="s">
        <v>2</v>
      </c>
      <c r="F873" s="15" t="str">
        <f t="shared" si="40"/>
        <v>Female</v>
      </c>
      <c r="G873" s="18" t="s">
        <v>5796</v>
      </c>
      <c r="H873" s="18" t="s">
        <v>5797</v>
      </c>
      <c r="I873" s="18">
        <v>872</v>
      </c>
      <c r="J873" s="18">
        <v>872</v>
      </c>
      <c r="K873" s="18" t="s">
        <v>32</v>
      </c>
      <c r="L873" s="18" t="s">
        <v>5798</v>
      </c>
      <c r="M873" s="18" t="s">
        <v>5799</v>
      </c>
      <c r="N873" s="18" t="s">
        <v>142</v>
      </c>
      <c r="O873" s="18" t="s">
        <v>143</v>
      </c>
      <c r="P873" s="18" t="s">
        <v>5800</v>
      </c>
      <c r="Q873" s="22">
        <f t="shared" si="41"/>
        <v>158420000</v>
      </c>
      <c r="R873" s="18">
        <v>1638.78</v>
      </c>
      <c r="S873" s="19">
        <v>-8.3800000000000008</v>
      </c>
      <c r="T873" s="18">
        <v>101081091</v>
      </c>
      <c r="U873" s="20">
        <v>46273</v>
      </c>
      <c r="V873" s="18" t="str">
        <f t="shared" si="39"/>
        <v>Complete</v>
      </c>
    </row>
    <row r="874" spans="1:22" ht="14.5" customHeight="1" x14ac:dyDescent="0.35">
      <c r="A874" s="15" t="s">
        <v>7885</v>
      </c>
      <c r="B874" s="15" t="s">
        <v>7542</v>
      </c>
      <c r="C874" s="15" t="s">
        <v>5801</v>
      </c>
      <c r="D874" s="15" t="s">
        <v>5802</v>
      </c>
      <c r="E874" s="15" t="s">
        <v>13</v>
      </c>
      <c r="F874" s="15" t="str">
        <f t="shared" si="40"/>
        <v>Male</v>
      </c>
      <c r="G874" s="15" t="s">
        <v>5803</v>
      </c>
      <c r="H874" s="15" t="s">
        <v>5804</v>
      </c>
      <c r="I874" s="15">
        <v>873</v>
      </c>
      <c r="J874" s="15">
        <v>873</v>
      </c>
      <c r="K874" s="15" t="s">
        <v>32</v>
      </c>
      <c r="L874" s="15" t="s">
        <v>5805</v>
      </c>
      <c r="M874" s="15" t="s">
        <v>5806</v>
      </c>
      <c r="N874" s="15" t="s">
        <v>134</v>
      </c>
      <c r="O874" s="15" t="s">
        <v>173</v>
      </c>
      <c r="P874" s="15" t="s">
        <v>5807</v>
      </c>
      <c r="Q874" s="22">
        <f t="shared" si="41"/>
        <v>24600000000</v>
      </c>
      <c r="R874" s="15">
        <v>208.83</v>
      </c>
      <c r="S874" s="16">
        <v>2.4700000000000002</v>
      </c>
      <c r="T874" s="15">
        <v>20901070</v>
      </c>
      <c r="U874" s="17">
        <v>45445</v>
      </c>
      <c r="V874" s="15" t="str">
        <f t="shared" si="39"/>
        <v>Complete</v>
      </c>
    </row>
    <row r="875" spans="1:22" ht="14.5" customHeight="1" x14ac:dyDescent="0.35">
      <c r="A875" s="18" t="s">
        <v>7886</v>
      </c>
      <c r="B875" s="18" t="s">
        <v>6773</v>
      </c>
      <c r="C875" s="18" t="s">
        <v>5808</v>
      </c>
      <c r="D875" s="18" t="s">
        <v>5809</v>
      </c>
      <c r="E875" s="18" t="s">
        <v>13</v>
      </c>
      <c r="F875" s="15" t="str">
        <f t="shared" si="40"/>
        <v>Male</v>
      </c>
      <c r="G875" s="18" t="s">
        <v>5810</v>
      </c>
      <c r="H875" s="18" t="s">
        <v>5811</v>
      </c>
      <c r="I875" s="18">
        <v>874</v>
      </c>
      <c r="J875" s="18">
        <v>874</v>
      </c>
      <c r="K875" s="18" t="s">
        <v>32</v>
      </c>
      <c r="L875" s="18" t="s">
        <v>5812</v>
      </c>
      <c r="M875" s="18" t="s">
        <v>5813</v>
      </c>
      <c r="N875" s="18" t="s">
        <v>99</v>
      </c>
      <c r="O875" s="18" t="s">
        <v>100</v>
      </c>
      <c r="P875" s="18" t="s">
        <v>5814</v>
      </c>
      <c r="Q875" s="22">
        <f t="shared" si="41"/>
        <v>497060000</v>
      </c>
      <c r="R875" s="18">
        <v>807.54</v>
      </c>
      <c r="S875" s="19">
        <v>-14.18</v>
      </c>
      <c r="T875" s="18">
        <v>64625198</v>
      </c>
      <c r="U875" s="20">
        <v>44527</v>
      </c>
      <c r="V875" s="18" t="str">
        <f t="shared" si="39"/>
        <v>Complete</v>
      </c>
    </row>
    <row r="876" spans="1:22" ht="14.5" customHeight="1" x14ac:dyDescent="0.35">
      <c r="A876" s="15" t="s">
        <v>7887</v>
      </c>
      <c r="B876" s="15" t="s">
        <v>7888</v>
      </c>
      <c r="C876" s="15" t="s">
        <v>5815</v>
      </c>
      <c r="D876" s="15" t="s">
        <v>5816</v>
      </c>
      <c r="E876" s="15" t="s">
        <v>13</v>
      </c>
      <c r="F876" s="15" t="str">
        <f t="shared" si="40"/>
        <v>Male</v>
      </c>
      <c r="G876" s="15" t="s">
        <v>5817</v>
      </c>
      <c r="H876" s="15" t="s">
        <v>5818</v>
      </c>
      <c r="I876" s="15">
        <v>875</v>
      </c>
      <c r="J876" s="15">
        <v>875</v>
      </c>
      <c r="K876" s="15" t="s">
        <v>32</v>
      </c>
      <c r="L876" s="15" t="s">
        <v>5819</v>
      </c>
      <c r="M876" s="15" t="s">
        <v>5820</v>
      </c>
      <c r="N876" s="15" t="s">
        <v>189</v>
      </c>
      <c r="O876" s="15" t="s">
        <v>1269</v>
      </c>
      <c r="P876" s="15" t="s">
        <v>4833</v>
      </c>
      <c r="Q876" s="22">
        <f t="shared" si="41"/>
        <v>5100000000</v>
      </c>
      <c r="R876" s="15">
        <v>1041.3900000000001</v>
      </c>
      <c r="S876" s="16">
        <v>6.73</v>
      </c>
      <c r="T876" s="15">
        <v>117448272</v>
      </c>
      <c r="U876" s="17">
        <v>45329</v>
      </c>
      <c r="V876" s="15" t="str">
        <f t="shared" si="39"/>
        <v>Complete</v>
      </c>
    </row>
    <row r="877" spans="1:22" ht="14.5" customHeight="1" x14ac:dyDescent="0.35">
      <c r="A877" s="18" t="s">
        <v>7889</v>
      </c>
      <c r="B877" s="18" t="s">
        <v>7890</v>
      </c>
      <c r="C877" s="18" t="s">
        <v>2863</v>
      </c>
      <c r="D877" s="18" t="s">
        <v>5821</v>
      </c>
      <c r="E877" s="18" t="s">
        <v>2</v>
      </c>
      <c r="F877" s="15" t="str">
        <f t="shared" si="40"/>
        <v>Female</v>
      </c>
      <c r="G877" s="18" t="s">
        <v>5822</v>
      </c>
      <c r="H877" s="18" t="s">
        <v>5823</v>
      </c>
      <c r="I877" s="18">
        <v>876</v>
      </c>
      <c r="J877" s="18">
        <v>876</v>
      </c>
      <c r="K877" s="18" t="s">
        <v>5</v>
      </c>
      <c r="L877" s="18" t="s">
        <v>5824</v>
      </c>
      <c r="M877" s="18" t="s">
        <v>2134</v>
      </c>
      <c r="N877" s="18" t="s">
        <v>90</v>
      </c>
      <c r="O877" s="18" t="s">
        <v>562</v>
      </c>
      <c r="P877" s="18" t="s">
        <v>5825</v>
      </c>
      <c r="Q877" s="22">
        <f t="shared" si="41"/>
        <v>40160000</v>
      </c>
      <c r="R877" s="18">
        <v>861.45</v>
      </c>
      <c r="S877" s="19">
        <v>-3.41</v>
      </c>
      <c r="T877" s="18">
        <v>118623540</v>
      </c>
      <c r="U877" s="20">
        <v>45344</v>
      </c>
      <c r="V877" s="18" t="str">
        <f t="shared" si="39"/>
        <v>Complete</v>
      </c>
    </row>
    <row r="878" spans="1:22" ht="14.5" customHeight="1" x14ac:dyDescent="0.35">
      <c r="A878" s="15" t="s">
        <v>7891</v>
      </c>
      <c r="B878" s="15" t="s">
        <v>7892</v>
      </c>
      <c r="C878" s="15" t="s">
        <v>3466</v>
      </c>
      <c r="D878" s="15" t="s">
        <v>5826</v>
      </c>
      <c r="E878" s="15" t="s">
        <v>2</v>
      </c>
      <c r="F878" s="15" t="str">
        <f t="shared" si="40"/>
        <v>Female</v>
      </c>
      <c r="G878" s="15" t="s">
        <v>5827</v>
      </c>
      <c r="H878" s="15" t="s">
        <v>5828</v>
      </c>
      <c r="I878" s="15">
        <v>877</v>
      </c>
      <c r="J878" s="15">
        <v>877</v>
      </c>
      <c r="K878" s="15" t="s">
        <v>32</v>
      </c>
      <c r="L878" s="15" t="s">
        <v>5829</v>
      </c>
      <c r="M878" s="15" t="s">
        <v>5830</v>
      </c>
      <c r="N878" s="15" t="s">
        <v>1291</v>
      </c>
      <c r="O878" s="15" t="s">
        <v>1921</v>
      </c>
      <c r="P878" s="15" t="s">
        <v>5831</v>
      </c>
      <c r="Q878" s="22">
        <f t="shared" si="41"/>
        <v>6060000000</v>
      </c>
      <c r="R878" s="15">
        <v>1180.04</v>
      </c>
      <c r="S878" s="16">
        <v>11.82</v>
      </c>
      <c r="T878" s="15">
        <v>113253888</v>
      </c>
      <c r="U878" s="17">
        <v>46187</v>
      </c>
      <c r="V878" s="15" t="str">
        <f t="shared" si="39"/>
        <v>Complete</v>
      </c>
    </row>
    <row r="879" spans="1:22" ht="14.5" customHeight="1" x14ac:dyDescent="0.35">
      <c r="A879" s="18" t="s">
        <v>7893</v>
      </c>
      <c r="B879" s="18" t="s">
        <v>6923</v>
      </c>
      <c r="C879" s="18" t="s">
        <v>5832</v>
      </c>
      <c r="D879" s="18" t="s">
        <v>5833</v>
      </c>
      <c r="E879" s="18" t="s">
        <v>13</v>
      </c>
      <c r="F879" s="15" t="str">
        <f t="shared" si="40"/>
        <v>Male</v>
      </c>
      <c r="G879" s="18" t="s">
        <v>5834</v>
      </c>
      <c r="H879" s="18" t="s">
        <v>5835</v>
      </c>
      <c r="I879" s="18">
        <v>878</v>
      </c>
      <c r="J879" s="18">
        <v>878</v>
      </c>
      <c r="K879" s="18" t="s">
        <v>5</v>
      </c>
      <c r="L879" s="18" t="s">
        <v>5836</v>
      </c>
      <c r="M879" s="18" t="s">
        <v>5837</v>
      </c>
      <c r="N879" s="18" t="s">
        <v>8</v>
      </c>
      <c r="O879" s="18" t="s">
        <v>9</v>
      </c>
      <c r="P879" s="18" t="s">
        <v>5838</v>
      </c>
      <c r="Q879" s="22">
        <f t="shared" si="41"/>
        <v>52530000</v>
      </c>
      <c r="R879" s="18">
        <v>1241.6400000000001</v>
      </c>
      <c r="S879" s="19">
        <v>17.93</v>
      </c>
      <c r="T879" s="18">
        <v>136368142</v>
      </c>
      <c r="U879" s="20">
        <v>46100</v>
      </c>
      <c r="V879" s="18" t="str">
        <f t="shared" si="39"/>
        <v>Complete</v>
      </c>
    </row>
    <row r="880" spans="1:22" ht="14.5" customHeight="1" x14ac:dyDescent="0.35">
      <c r="A880" s="15" t="s">
        <v>7894</v>
      </c>
      <c r="B880" s="15" t="s">
        <v>7518</v>
      </c>
      <c r="C880" s="15" t="s">
        <v>5839</v>
      </c>
      <c r="D880" s="15" t="s">
        <v>5840</v>
      </c>
      <c r="E880" s="15" t="s">
        <v>13</v>
      </c>
      <c r="F880" s="15" t="str">
        <f t="shared" si="40"/>
        <v>Male</v>
      </c>
      <c r="G880" s="15" t="s">
        <v>5841</v>
      </c>
      <c r="H880" s="15" t="s">
        <v>5842</v>
      </c>
      <c r="I880" s="15">
        <v>879</v>
      </c>
      <c r="J880" s="15">
        <v>879</v>
      </c>
      <c r="K880" s="15" t="s">
        <v>32</v>
      </c>
      <c r="L880" s="15" t="s">
        <v>5843</v>
      </c>
      <c r="M880" s="15" t="s">
        <v>5844</v>
      </c>
      <c r="N880" s="15" t="s">
        <v>66</v>
      </c>
      <c r="O880" s="15" t="s">
        <v>181</v>
      </c>
      <c r="P880" s="15" t="s">
        <v>5845</v>
      </c>
      <c r="Q880" s="22">
        <f t="shared" si="41"/>
        <v>47310000</v>
      </c>
      <c r="R880" s="15">
        <v>900.28</v>
      </c>
      <c r="S880" s="16">
        <v>14.22</v>
      </c>
      <c r="T880" s="15">
        <v>108267078</v>
      </c>
      <c r="U880" s="17">
        <v>45206</v>
      </c>
      <c r="V880" s="15" t="str">
        <f t="shared" si="39"/>
        <v>Complete</v>
      </c>
    </row>
    <row r="881" spans="1:22" ht="14.5" customHeight="1" x14ac:dyDescent="0.35">
      <c r="A881" s="18" t="s">
        <v>7895</v>
      </c>
      <c r="B881" s="18" t="s">
        <v>6951</v>
      </c>
      <c r="C881" s="18" t="s">
        <v>5846</v>
      </c>
      <c r="D881" s="18" t="s">
        <v>5847</v>
      </c>
      <c r="E881" s="18" t="s">
        <v>13</v>
      </c>
      <c r="F881" s="15" t="str">
        <f t="shared" si="40"/>
        <v>Male</v>
      </c>
      <c r="G881" s="18" t="s">
        <v>5848</v>
      </c>
      <c r="H881" s="18" t="s">
        <v>5849</v>
      </c>
      <c r="I881" s="18">
        <v>880</v>
      </c>
      <c r="J881" s="18">
        <v>880</v>
      </c>
      <c r="K881" s="18" t="s">
        <v>32</v>
      </c>
      <c r="L881" s="18" t="s">
        <v>5850</v>
      </c>
      <c r="M881" s="18" t="s">
        <v>5851</v>
      </c>
      <c r="N881" s="18" t="s">
        <v>117</v>
      </c>
      <c r="O881" s="18" t="s">
        <v>118</v>
      </c>
      <c r="P881" s="18" t="s">
        <v>5852</v>
      </c>
      <c r="Q881" s="22">
        <f t="shared" si="41"/>
        <v>10850000000</v>
      </c>
      <c r="R881" s="18">
        <v>369.64</v>
      </c>
      <c r="S881" s="19">
        <v>9.64</v>
      </c>
      <c r="T881" s="18">
        <v>179504647</v>
      </c>
      <c r="U881" s="20">
        <v>46337</v>
      </c>
      <c r="V881" s="18" t="str">
        <f t="shared" si="39"/>
        <v>Complete</v>
      </c>
    </row>
    <row r="882" spans="1:22" ht="14.5" customHeight="1" x14ac:dyDescent="0.35">
      <c r="A882" s="15" t="s">
        <v>7896</v>
      </c>
      <c r="B882" s="15" t="s">
        <v>7897</v>
      </c>
      <c r="C882" s="15" t="s">
        <v>5853</v>
      </c>
      <c r="D882" s="15" t="s">
        <v>5854</v>
      </c>
      <c r="E882" s="15" t="s">
        <v>13</v>
      </c>
      <c r="F882" s="15" t="str">
        <f t="shared" si="40"/>
        <v>Male</v>
      </c>
      <c r="G882" s="15" t="s">
        <v>5855</v>
      </c>
      <c r="H882" s="15" t="s">
        <v>5856</v>
      </c>
      <c r="I882" s="15">
        <v>881</v>
      </c>
      <c r="J882" s="15">
        <v>881</v>
      </c>
      <c r="K882" s="15" t="s">
        <v>32</v>
      </c>
      <c r="L882" s="15" t="s">
        <v>5857</v>
      </c>
      <c r="M882" s="15" t="s">
        <v>5858</v>
      </c>
      <c r="N882" s="15" t="s">
        <v>48</v>
      </c>
      <c r="O882" s="15" t="s">
        <v>4289</v>
      </c>
      <c r="P882" s="15" t="s">
        <v>5859</v>
      </c>
      <c r="Q882" s="22">
        <f t="shared" si="41"/>
        <v>10590000000</v>
      </c>
      <c r="R882" s="15">
        <v>1302.28</v>
      </c>
      <c r="S882" s="16">
        <v>17.37</v>
      </c>
      <c r="T882" s="15">
        <v>189727041</v>
      </c>
      <c r="U882" s="17">
        <v>44542</v>
      </c>
      <c r="V882" s="15" t="str">
        <f t="shared" si="39"/>
        <v>Complete</v>
      </c>
    </row>
    <row r="883" spans="1:22" ht="14.5" customHeight="1" x14ac:dyDescent="0.35">
      <c r="A883" s="18" t="s">
        <v>7898</v>
      </c>
      <c r="B883" s="18" t="s">
        <v>7609</v>
      </c>
      <c r="C883" s="18" t="s">
        <v>5860</v>
      </c>
      <c r="D883" s="18" t="s">
        <v>5861</v>
      </c>
      <c r="E883" s="18" t="s">
        <v>208</v>
      </c>
      <c r="F883" s="15" t="str">
        <f t="shared" si="40"/>
        <v>Other</v>
      </c>
      <c r="G883" s="18" t="s">
        <v>5862</v>
      </c>
      <c r="H883" s="18" t="s">
        <v>5863</v>
      </c>
      <c r="I883" s="18">
        <v>882</v>
      </c>
      <c r="J883" s="18">
        <v>882</v>
      </c>
      <c r="K883" s="18" t="s">
        <v>32</v>
      </c>
      <c r="L883" s="18" t="s">
        <v>5864</v>
      </c>
      <c r="M883" s="18" t="s">
        <v>5865</v>
      </c>
      <c r="N883" s="18" t="s">
        <v>99</v>
      </c>
      <c r="O883" s="18" t="s">
        <v>3397</v>
      </c>
      <c r="P883" s="18" t="s">
        <v>5866</v>
      </c>
      <c r="Q883" s="22">
        <f t="shared" si="41"/>
        <v>25260000000</v>
      </c>
      <c r="R883" s="18">
        <v>700.7</v>
      </c>
      <c r="S883" s="19">
        <v>16.03</v>
      </c>
      <c r="T883" s="18">
        <v>66754782</v>
      </c>
      <c r="U883" s="20">
        <v>45737</v>
      </c>
      <c r="V883" s="18" t="str">
        <f t="shared" si="39"/>
        <v>Complete</v>
      </c>
    </row>
    <row r="884" spans="1:22" ht="14.5" customHeight="1" x14ac:dyDescent="0.35">
      <c r="A884" s="15" t="s">
        <v>7899</v>
      </c>
      <c r="B884" s="15" t="s">
        <v>7257</v>
      </c>
      <c r="C884" s="15" t="s">
        <v>5867</v>
      </c>
      <c r="D884" s="15" t="s">
        <v>5868</v>
      </c>
      <c r="E884" s="15" t="s">
        <v>2</v>
      </c>
      <c r="F884" s="15" t="str">
        <f t="shared" si="40"/>
        <v>Female</v>
      </c>
      <c r="G884" s="15" t="s">
        <v>5869</v>
      </c>
      <c r="H884" s="15" t="s">
        <v>5870</v>
      </c>
      <c r="I884" s="15">
        <v>883</v>
      </c>
      <c r="J884" s="15">
        <v>883</v>
      </c>
      <c r="K884" s="15" t="s">
        <v>32</v>
      </c>
      <c r="L884" s="15" t="s">
        <v>5871</v>
      </c>
      <c r="M884" s="15" t="s">
        <v>5872</v>
      </c>
      <c r="N884" s="15" t="s">
        <v>8033</v>
      </c>
      <c r="O884" s="15" t="s">
        <v>8033</v>
      </c>
      <c r="P884" s="15" t="s">
        <v>8033</v>
      </c>
      <c r="Q884" s="22">
        <f t="shared" si="41"/>
        <v>0</v>
      </c>
      <c r="R884" s="15">
        <v>1381.25</v>
      </c>
      <c r="S884" s="16">
        <v>3.3</v>
      </c>
      <c r="T884" s="15">
        <v>6426845</v>
      </c>
      <c r="U884" s="17">
        <v>45358</v>
      </c>
      <c r="V884" s="15" t="str">
        <f t="shared" si="39"/>
        <v>Missing</v>
      </c>
    </row>
    <row r="885" spans="1:22" ht="14.5" customHeight="1" x14ac:dyDescent="0.35">
      <c r="A885" s="18" t="s">
        <v>7900</v>
      </c>
      <c r="B885" s="18" t="s">
        <v>7901</v>
      </c>
      <c r="C885" s="18" t="s">
        <v>5873</v>
      </c>
      <c r="D885" s="18" t="s">
        <v>5874</v>
      </c>
      <c r="E885" s="18" t="s">
        <v>13</v>
      </c>
      <c r="F885" s="15" t="str">
        <f t="shared" si="40"/>
        <v>Male</v>
      </c>
      <c r="G885" s="18" t="s">
        <v>5875</v>
      </c>
      <c r="H885" s="18" t="s">
        <v>5876</v>
      </c>
      <c r="I885" s="18">
        <v>884</v>
      </c>
      <c r="J885" s="18">
        <v>884</v>
      </c>
      <c r="K885" s="18" t="s">
        <v>5</v>
      </c>
      <c r="L885" s="18" t="s">
        <v>5877</v>
      </c>
      <c r="M885" s="18" t="s">
        <v>5878</v>
      </c>
      <c r="N885" s="18" t="s">
        <v>66</v>
      </c>
      <c r="O885" s="18" t="s">
        <v>5879</v>
      </c>
      <c r="P885" s="18" t="s">
        <v>5880</v>
      </c>
      <c r="Q885" s="22">
        <f t="shared" si="41"/>
        <v>117470000</v>
      </c>
      <c r="R885" s="18">
        <v>1341.22</v>
      </c>
      <c r="S885" s="19">
        <v>-0.22</v>
      </c>
      <c r="T885" s="18">
        <v>31768594</v>
      </c>
      <c r="U885" s="20">
        <v>46030</v>
      </c>
      <c r="V885" s="18" t="str">
        <f t="shared" si="39"/>
        <v>Complete</v>
      </c>
    </row>
    <row r="886" spans="1:22" ht="14.5" customHeight="1" x14ac:dyDescent="0.35">
      <c r="A886" s="15" t="s">
        <v>7902</v>
      </c>
      <c r="B886" s="15" t="s">
        <v>6672</v>
      </c>
      <c r="C886" s="15" t="s">
        <v>5881</v>
      </c>
      <c r="D886" s="15" t="s">
        <v>5882</v>
      </c>
      <c r="E886" s="15" t="s">
        <v>2</v>
      </c>
      <c r="F886" s="15" t="str">
        <f t="shared" si="40"/>
        <v>Female</v>
      </c>
      <c r="G886" s="15" t="s">
        <v>5883</v>
      </c>
      <c r="H886" s="15" t="s">
        <v>5884</v>
      </c>
      <c r="I886" s="15">
        <v>885</v>
      </c>
      <c r="J886" s="15">
        <v>885</v>
      </c>
      <c r="K886" s="15" t="s">
        <v>32</v>
      </c>
      <c r="L886" s="15" t="s">
        <v>5885</v>
      </c>
      <c r="M886" s="15" t="s">
        <v>5886</v>
      </c>
      <c r="N886" s="15" t="s">
        <v>66</v>
      </c>
      <c r="O886" s="15" t="s">
        <v>293</v>
      </c>
      <c r="P886" s="15" t="s">
        <v>5887</v>
      </c>
      <c r="Q886" s="22">
        <f t="shared" si="41"/>
        <v>788230000</v>
      </c>
      <c r="R886" s="15">
        <v>1612.04</v>
      </c>
      <c r="S886" s="16">
        <v>-7.24</v>
      </c>
      <c r="T886" s="15">
        <v>161870393</v>
      </c>
      <c r="U886" s="17">
        <v>45912</v>
      </c>
      <c r="V886" s="15" t="str">
        <f t="shared" si="39"/>
        <v>Complete</v>
      </c>
    </row>
    <row r="887" spans="1:22" ht="14.5" customHeight="1" x14ac:dyDescent="0.35">
      <c r="A887" s="18" t="s">
        <v>7903</v>
      </c>
      <c r="B887" s="18" t="s">
        <v>6639</v>
      </c>
      <c r="C887" s="18" t="s">
        <v>5888</v>
      </c>
      <c r="D887" s="18" t="s">
        <v>5889</v>
      </c>
      <c r="E887" s="18" t="s">
        <v>2</v>
      </c>
      <c r="F887" s="15" t="str">
        <f t="shared" si="40"/>
        <v>Female</v>
      </c>
      <c r="G887" s="18" t="s">
        <v>5890</v>
      </c>
      <c r="H887" s="18" t="s">
        <v>5891</v>
      </c>
      <c r="I887" s="18">
        <v>886</v>
      </c>
      <c r="J887" s="18">
        <v>886</v>
      </c>
      <c r="K887" s="18" t="s">
        <v>5</v>
      </c>
      <c r="L887" s="18" t="s">
        <v>5892</v>
      </c>
      <c r="M887" s="18" t="s">
        <v>5893</v>
      </c>
      <c r="N887" s="18" t="s">
        <v>8</v>
      </c>
      <c r="O887" s="18" t="s">
        <v>9</v>
      </c>
      <c r="P887" s="18" t="s">
        <v>5894</v>
      </c>
      <c r="Q887" s="22">
        <f t="shared" si="41"/>
        <v>59230000</v>
      </c>
      <c r="R887" s="18">
        <v>1385.53</v>
      </c>
      <c r="S887" s="19">
        <v>-12.94</v>
      </c>
      <c r="T887" s="18">
        <v>59189495</v>
      </c>
      <c r="U887" s="20">
        <v>45450</v>
      </c>
      <c r="V887" s="18" t="str">
        <f t="shared" si="39"/>
        <v>Complete</v>
      </c>
    </row>
    <row r="888" spans="1:22" ht="14.5" customHeight="1" x14ac:dyDescent="0.35">
      <c r="A888" s="15" t="s">
        <v>7904</v>
      </c>
      <c r="B888" s="15" t="s">
        <v>7229</v>
      </c>
      <c r="C888" s="15" t="s">
        <v>5895</v>
      </c>
      <c r="D888" s="15" t="s">
        <v>5896</v>
      </c>
      <c r="E888" s="15" t="s">
        <v>13</v>
      </c>
      <c r="F888" s="15" t="str">
        <f t="shared" si="40"/>
        <v>Male</v>
      </c>
      <c r="G888" s="15" t="s">
        <v>5897</v>
      </c>
      <c r="H888" s="15" t="s">
        <v>5898</v>
      </c>
      <c r="I888" s="15">
        <v>887</v>
      </c>
      <c r="J888" s="15">
        <v>887</v>
      </c>
      <c r="K888" s="15" t="s">
        <v>32</v>
      </c>
      <c r="L888" s="15" t="s">
        <v>886</v>
      </c>
      <c r="M888" s="15" t="s">
        <v>887</v>
      </c>
      <c r="N888" s="15" t="s">
        <v>134</v>
      </c>
      <c r="O888" s="15" t="s">
        <v>728</v>
      </c>
      <c r="P888" s="15" t="s">
        <v>888</v>
      </c>
      <c r="Q888" s="22">
        <f t="shared" si="41"/>
        <v>1830000000</v>
      </c>
      <c r="R888" s="15">
        <v>1327.37</v>
      </c>
      <c r="S888" s="16">
        <v>13.73</v>
      </c>
      <c r="T888" s="15">
        <v>158376047</v>
      </c>
      <c r="U888" s="17">
        <v>45839</v>
      </c>
      <c r="V888" s="15" t="str">
        <f t="shared" si="39"/>
        <v>Complete</v>
      </c>
    </row>
    <row r="889" spans="1:22" ht="14.5" customHeight="1" x14ac:dyDescent="0.35">
      <c r="A889" s="18" t="s">
        <v>7905</v>
      </c>
      <c r="B889" s="18" t="s">
        <v>7906</v>
      </c>
      <c r="C889" s="18" t="s">
        <v>5899</v>
      </c>
      <c r="D889" s="18" t="s">
        <v>5900</v>
      </c>
      <c r="E889" s="18" t="s">
        <v>2</v>
      </c>
      <c r="F889" s="15" t="str">
        <f t="shared" si="40"/>
        <v>Female</v>
      </c>
      <c r="G889" s="18" t="s">
        <v>5901</v>
      </c>
      <c r="H889" s="18" t="s">
        <v>5902</v>
      </c>
      <c r="I889" s="18">
        <v>888</v>
      </c>
      <c r="J889" s="18">
        <v>888</v>
      </c>
      <c r="K889" s="18" t="s">
        <v>32</v>
      </c>
      <c r="L889" s="18" t="s">
        <v>5903</v>
      </c>
      <c r="M889" s="18" t="s">
        <v>5904</v>
      </c>
      <c r="N889" s="18" t="s">
        <v>8033</v>
      </c>
      <c r="O889" s="18" t="s">
        <v>8033</v>
      </c>
      <c r="P889" s="18" t="s">
        <v>5905</v>
      </c>
      <c r="Q889" s="22">
        <f t="shared" si="41"/>
        <v>180010000</v>
      </c>
      <c r="R889" s="18">
        <v>1736.83</v>
      </c>
      <c r="S889" s="19">
        <v>10.11</v>
      </c>
      <c r="T889" s="18">
        <v>42752180</v>
      </c>
      <c r="U889" s="20">
        <v>44188</v>
      </c>
      <c r="V889" s="18" t="str">
        <f t="shared" si="39"/>
        <v>Missing</v>
      </c>
    </row>
    <row r="890" spans="1:22" ht="14.5" customHeight="1" x14ac:dyDescent="0.35">
      <c r="A890" s="15" t="s">
        <v>7907</v>
      </c>
      <c r="B890" s="15" t="s">
        <v>7788</v>
      </c>
      <c r="C890" s="15" t="s">
        <v>5906</v>
      </c>
      <c r="D890" s="15" t="s">
        <v>5907</v>
      </c>
      <c r="E890" s="15" t="s">
        <v>2</v>
      </c>
      <c r="F890" s="15" t="str">
        <f t="shared" si="40"/>
        <v>Female</v>
      </c>
      <c r="G890" s="15" t="s">
        <v>5908</v>
      </c>
      <c r="H890" s="15" t="s">
        <v>5909</v>
      </c>
      <c r="I890" s="15">
        <v>889</v>
      </c>
      <c r="J890" s="15">
        <v>889</v>
      </c>
      <c r="K890" s="15" t="s">
        <v>5</v>
      </c>
      <c r="L890" s="15" t="s">
        <v>5910</v>
      </c>
      <c r="M890" s="15" t="s">
        <v>5911</v>
      </c>
      <c r="N890" s="15" t="s">
        <v>25</v>
      </c>
      <c r="O890" s="15" t="s">
        <v>1181</v>
      </c>
      <c r="P890" s="15" t="s">
        <v>5912</v>
      </c>
      <c r="Q890" s="22">
        <f t="shared" si="41"/>
        <v>121470000</v>
      </c>
      <c r="R890" s="15">
        <v>225.62</v>
      </c>
      <c r="S890" s="16">
        <v>10.7</v>
      </c>
      <c r="T890" s="15">
        <v>164136831</v>
      </c>
      <c r="U890" s="17">
        <v>44281</v>
      </c>
      <c r="V890" s="15" t="str">
        <f t="shared" si="39"/>
        <v>Complete</v>
      </c>
    </row>
    <row r="891" spans="1:22" ht="14.5" customHeight="1" x14ac:dyDescent="0.35">
      <c r="A891" s="18" t="s">
        <v>7908</v>
      </c>
      <c r="B891" s="18" t="s">
        <v>7419</v>
      </c>
      <c r="C891" s="18" t="s">
        <v>5913</v>
      </c>
      <c r="D891" s="18" t="s">
        <v>5914</v>
      </c>
      <c r="E891" s="18" t="s">
        <v>13</v>
      </c>
      <c r="F891" s="15" t="str">
        <f t="shared" si="40"/>
        <v>Male</v>
      </c>
      <c r="G891" s="18" t="s">
        <v>5915</v>
      </c>
      <c r="H891" s="18" t="s">
        <v>5916</v>
      </c>
      <c r="I891" s="18">
        <v>890</v>
      </c>
      <c r="J891" s="18">
        <v>890</v>
      </c>
      <c r="K891" s="18" t="s">
        <v>5</v>
      </c>
      <c r="L891" s="18" t="s">
        <v>942</v>
      </c>
      <c r="M891" s="18" t="s">
        <v>943</v>
      </c>
      <c r="N891" s="18" t="s">
        <v>323</v>
      </c>
      <c r="O891" s="18" t="s">
        <v>944</v>
      </c>
      <c r="P891" s="18" t="s">
        <v>945</v>
      </c>
      <c r="Q891" s="22">
        <f t="shared" si="41"/>
        <v>71760000</v>
      </c>
      <c r="R891" s="18">
        <v>1736.1</v>
      </c>
      <c r="S891" s="19">
        <v>19.399999999999999</v>
      </c>
      <c r="T891" s="18">
        <v>58872444</v>
      </c>
      <c r="U891" s="20">
        <v>46100</v>
      </c>
      <c r="V891" s="18" t="str">
        <f t="shared" si="39"/>
        <v>Complete</v>
      </c>
    </row>
    <row r="892" spans="1:22" ht="14.5" customHeight="1" x14ac:dyDescent="0.35">
      <c r="A892" s="15" t="s">
        <v>7909</v>
      </c>
      <c r="B892" s="15" t="s">
        <v>6611</v>
      </c>
      <c r="C892" s="15" t="s">
        <v>5917</v>
      </c>
      <c r="D892" s="15" t="s">
        <v>5918</v>
      </c>
      <c r="E892" s="15" t="s">
        <v>2</v>
      </c>
      <c r="F892" s="15" t="str">
        <f t="shared" si="40"/>
        <v>Female</v>
      </c>
      <c r="G892" s="15" t="s">
        <v>5919</v>
      </c>
      <c r="H892" s="15" t="s">
        <v>5920</v>
      </c>
      <c r="I892" s="15">
        <v>891</v>
      </c>
      <c r="J892" s="15">
        <v>891</v>
      </c>
      <c r="K892" s="15" t="s">
        <v>32</v>
      </c>
      <c r="L892" s="15" t="s">
        <v>5921</v>
      </c>
      <c r="M892" s="15" t="s">
        <v>5922</v>
      </c>
      <c r="N892" s="15" t="s">
        <v>8033</v>
      </c>
      <c r="O892" s="15" t="s">
        <v>8033</v>
      </c>
      <c r="P892" s="15" t="s">
        <v>8033</v>
      </c>
      <c r="Q892" s="22">
        <f t="shared" si="41"/>
        <v>0</v>
      </c>
      <c r="R892" s="15">
        <v>507.37</v>
      </c>
      <c r="S892" s="16">
        <v>12.64</v>
      </c>
      <c r="T892" s="15">
        <v>32229571</v>
      </c>
      <c r="U892" s="17">
        <v>44942</v>
      </c>
      <c r="V892" s="15" t="str">
        <f t="shared" si="39"/>
        <v>Missing</v>
      </c>
    </row>
    <row r="893" spans="1:22" ht="14.5" customHeight="1" x14ac:dyDescent="0.35">
      <c r="A893" s="18" t="s">
        <v>7910</v>
      </c>
      <c r="B893" s="18" t="s">
        <v>7342</v>
      </c>
      <c r="C893" s="18" t="s">
        <v>5923</v>
      </c>
      <c r="D893" s="18" t="s">
        <v>5924</v>
      </c>
      <c r="E893" s="18" t="s">
        <v>2</v>
      </c>
      <c r="F893" s="15" t="str">
        <f t="shared" si="40"/>
        <v>Female</v>
      </c>
      <c r="G893" s="18" t="s">
        <v>5925</v>
      </c>
      <c r="H893" s="18" t="s">
        <v>5926</v>
      </c>
      <c r="I893" s="18">
        <v>892</v>
      </c>
      <c r="J893" s="18">
        <v>892</v>
      </c>
      <c r="K893" s="18" t="s">
        <v>5</v>
      </c>
      <c r="L893" s="18" t="s">
        <v>5927</v>
      </c>
      <c r="M893" s="18" t="s">
        <v>5928</v>
      </c>
      <c r="N893" s="18" t="s">
        <v>48</v>
      </c>
      <c r="O893" s="18" t="s">
        <v>4165</v>
      </c>
      <c r="P893" s="18" t="s">
        <v>5929</v>
      </c>
      <c r="Q893" s="22">
        <f t="shared" si="41"/>
        <v>139320000</v>
      </c>
      <c r="R893" s="18">
        <v>1942.87</v>
      </c>
      <c r="S893" s="19">
        <v>-13.38</v>
      </c>
      <c r="T893" s="18">
        <v>67896446</v>
      </c>
      <c r="U893" s="20">
        <v>44187</v>
      </c>
      <c r="V893" s="18" t="str">
        <f t="shared" si="39"/>
        <v>Complete</v>
      </c>
    </row>
    <row r="894" spans="1:22" ht="14.5" customHeight="1" x14ac:dyDescent="0.35">
      <c r="A894" s="15" t="s">
        <v>7911</v>
      </c>
      <c r="B894" s="15" t="s">
        <v>7148</v>
      </c>
      <c r="C894" s="15" t="s">
        <v>5930</v>
      </c>
      <c r="D894" s="15" t="s">
        <v>5931</v>
      </c>
      <c r="E894" s="15" t="s">
        <v>1407</v>
      </c>
      <c r="F894" s="15" t="str">
        <f t="shared" si="40"/>
        <v>Other</v>
      </c>
      <c r="G894" s="15" t="s">
        <v>5932</v>
      </c>
      <c r="H894" s="15" t="s">
        <v>5933</v>
      </c>
      <c r="I894" s="15">
        <v>893</v>
      </c>
      <c r="J894" s="15">
        <v>893</v>
      </c>
      <c r="K894" s="15" t="s">
        <v>32</v>
      </c>
      <c r="L894" s="15" t="s">
        <v>5934</v>
      </c>
      <c r="M894" s="15" t="s">
        <v>5935</v>
      </c>
      <c r="N894" s="15" t="s">
        <v>48</v>
      </c>
      <c r="O894" s="15" t="s">
        <v>49</v>
      </c>
      <c r="P894" s="15" t="s">
        <v>263</v>
      </c>
      <c r="Q894" s="22">
        <f t="shared" si="41"/>
        <v>1590000000</v>
      </c>
      <c r="R894" s="15">
        <v>638.09</v>
      </c>
      <c r="S894" s="16">
        <v>4.96</v>
      </c>
      <c r="T894" s="15">
        <v>163084809</v>
      </c>
      <c r="U894" s="17">
        <v>45913</v>
      </c>
      <c r="V894" s="15" t="str">
        <f t="shared" si="39"/>
        <v>Complete</v>
      </c>
    </row>
    <row r="895" spans="1:22" ht="14.5" customHeight="1" x14ac:dyDescent="0.35">
      <c r="A895" s="18" t="s">
        <v>7912</v>
      </c>
      <c r="B895" s="18" t="s">
        <v>7537</v>
      </c>
      <c r="C895" s="18" t="s">
        <v>5936</v>
      </c>
      <c r="D895" s="18" t="s">
        <v>5937</v>
      </c>
      <c r="E895" s="18" t="s">
        <v>13</v>
      </c>
      <c r="F895" s="15" t="str">
        <f t="shared" si="40"/>
        <v>Male</v>
      </c>
      <c r="G895" s="18" t="s">
        <v>5938</v>
      </c>
      <c r="H895" s="18" t="s">
        <v>5939</v>
      </c>
      <c r="I895" s="18">
        <v>894</v>
      </c>
      <c r="J895" s="18">
        <v>894</v>
      </c>
      <c r="K895" s="18" t="s">
        <v>32</v>
      </c>
      <c r="L895" s="18" t="s">
        <v>5940</v>
      </c>
      <c r="M895" s="18" t="s">
        <v>5941</v>
      </c>
      <c r="N895" s="18" t="s">
        <v>99</v>
      </c>
      <c r="O895" s="18" t="s">
        <v>151</v>
      </c>
      <c r="P895" s="18" t="s">
        <v>5942</v>
      </c>
      <c r="Q895" s="22">
        <f t="shared" si="41"/>
        <v>580970000</v>
      </c>
      <c r="R895" s="18">
        <v>1659</v>
      </c>
      <c r="S895" s="19">
        <v>11.6</v>
      </c>
      <c r="T895" s="18">
        <v>190821298</v>
      </c>
      <c r="U895" s="20">
        <v>45152</v>
      </c>
      <c r="V895" s="18" t="str">
        <f t="shared" si="39"/>
        <v>Complete</v>
      </c>
    </row>
    <row r="896" spans="1:22" ht="14.5" customHeight="1" x14ac:dyDescent="0.35">
      <c r="A896" s="15" t="s">
        <v>7913</v>
      </c>
      <c r="B896" s="15" t="s">
        <v>7914</v>
      </c>
      <c r="C896" s="15" t="s">
        <v>5943</v>
      </c>
      <c r="D896" s="15" t="s">
        <v>5944</v>
      </c>
      <c r="E896" s="15" t="s">
        <v>2</v>
      </c>
      <c r="F896" s="15" t="str">
        <f t="shared" si="40"/>
        <v>Female</v>
      </c>
      <c r="G896" s="15" t="s">
        <v>5945</v>
      </c>
      <c r="H896" s="15" t="s">
        <v>5946</v>
      </c>
      <c r="I896" s="15">
        <v>895</v>
      </c>
      <c r="J896" s="15">
        <v>895</v>
      </c>
      <c r="K896" s="15" t="s">
        <v>32</v>
      </c>
      <c r="L896" s="15" t="s">
        <v>5947</v>
      </c>
      <c r="M896" s="15" t="s">
        <v>5948</v>
      </c>
      <c r="N896" s="15" t="s">
        <v>8033</v>
      </c>
      <c r="O896" s="15" t="s">
        <v>8033</v>
      </c>
      <c r="P896" s="15" t="s">
        <v>5949</v>
      </c>
      <c r="Q896" s="22">
        <f t="shared" si="41"/>
        <v>529780000</v>
      </c>
      <c r="R896" s="15">
        <v>1603.38</v>
      </c>
      <c r="S896" s="16">
        <v>-19.93</v>
      </c>
      <c r="T896" s="15">
        <v>69857657</v>
      </c>
      <c r="U896" s="17">
        <v>45741</v>
      </c>
      <c r="V896" s="15" t="str">
        <f t="shared" si="39"/>
        <v>Missing</v>
      </c>
    </row>
    <row r="897" spans="1:22" ht="14.5" customHeight="1" x14ac:dyDescent="0.35">
      <c r="A897" s="18" t="s">
        <v>7915</v>
      </c>
      <c r="B897" s="18" t="s">
        <v>6912</v>
      </c>
      <c r="C897" s="18" t="s">
        <v>5950</v>
      </c>
      <c r="D897" s="18" t="s">
        <v>5951</v>
      </c>
      <c r="E897" s="18" t="s">
        <v>13</v>
      </c>
      <c r="F897" s="15" t="str">
        <f t="shared" si="40"/>
        <v>Male</v>
      </c>
      <c r="G897" s="18" t="s">
        <v>5952</v>
      </c>
      <c r="H897" s="18" t="s">
        <v>5953</v>
      </c>
      <c r="I897" s="18">
        <v>896</v>
      </c>
      <c r="J897" s="18">
        <v>896</v>
      </c>
      <c r="K897" s="18" t="s">
        <v>5</v>
      </c>
      <c r="L897" s="18" t="s">
        <v>5954</v>
      </c>
      <c r="M897" s="18" t="s">
        <v>5955</v>
      </c>
      <c r="N897" s="18" t="s">
        <v>48</v>
      </c>
      <c r="O897" s="18" t="s">
        <v>118</v>
      </c>
      <c r="P897" s="18" t="s">
        <v>8033</v>
      </c>
      <c r="Q897" s="22">
        <f t="shared" si="41"/>
        <v>0</v>
      </c>
      <c r="R897" s="18">
        <v>1129.22</v>
      </c>
      <c r="S897" s="19">
        <v>-3.78</v>
      </c>
      <c r="T897" s="18">
        <v>44597164</v>
      </c>
      <c r="U897" s="20">
        <v>44256</v>
      </c>
      <c r="V897" s="18" t="str">
        <f t="shared" si="39"/>
        <v>Missing</v>
      </c>
    </row>
    <row r="898" spans="1:22" ht="14.5" customHeight="1" x14ac:dyDescent="0.35">
      <c r="A898" s="15" t="s">
        <v>7916</v>
      </c>
      <c r="B898" s="15" t="s">
        <v>7376</v>
      </c>
      <c r="C898" s="15" t="s">
        <v>5956</v>
      </c>
      <c r="D898" s="15" t="s">
        <v>5957</v>
      </c>
      <c r="E898" s="15" t="s">
        <v>13</v>
      </c>
      <c r="F898" s="15" t="str">
        <f t="shared" si="40"/>
        <v>Male</v>
      </c>
      <c r="G898" s="15" t="s">
        <v>5958</v>
      </c>
      <c r="H898" s="15" t="s">
        <v>5959</v>
      </c>
      <c r="I898" s="15">
        <v>897</v>
      </c>
      <c r="J898" s="15">
        <v>897</v>
      </c>
      <c r="K898" s="15" t="s">
        <v>32</v>
      </c>
      <c r="L898" s="15" t="s">
        <v>5960</v>
      </c>
      <c r="M898" s="15" t="s">
        <v>5961</v>
      </c>
      <c r="N898" s="15" t="s">
        <v>99</v>
      </c>
      <c r="O898" s="15" t="s">
        <v>1929</v>
      </c>
      <c r="P898" s="15" t="s">
        <v>5962</v>
      </c>
      <c r="Q898" s="22">
        <f t="shared" si="41"/>
        <v>21700000000</v>
      </c>
      <c r="R898" s="15">
        <v>1124.3900000000001</v>
      </c>
      <c r="S898" s="16">
        <v>-11.15</v>
      </c>
      <c r="T898" s="15">
        <v>131590359</v>
      </c>
      <c r="U898" s="17">
        <v>45421</v>
      </c>
      <c r="V898" s="15" t="str">
        <f t="shared" ref="V898:V961" si="42">IF(OR(N:N="n/a", O:O="n/a", P:P="n/a"), "Missing", "Complete")</f>
        <v>Complete</v>
      </c>
    </row>
    <row r="899" spans="1:22" ht="14.5" customHeight="1" x14ac:dyDescent="0.35">
      <c r="A899" s="18" t="s">
        <v>7917</v>
      </c>
      <c r="B899" s="18" t="s">
        <v>7439</v>
      </c>
      <c r="C899" s="18" t="s">
        <v>5963</v>
      </c>
      <c r="D899" s="18" t="s">
        <v>5964</v>
      </c>
      <c r="E899" s="18" t="s">
        <v>2</v>
      </c>
      <c r="F899" s="15" t="str">
        <f t="shared" ref="F899:F962" si="43">IF(OR(E899="female", E899="male"), PROPER(E899), "Other")</f>
        <v>Female</v>
      </c>
      <c r="G899" s="18" t="s">
        <v>5965</v>
      </c>
      <c r="H899" s="18" t="s">
        <v>5966</v>
      </c>
      <c r="I899" s="18">
        <v>898</v>
      </c>
      <c r="J899" s="18">
        <v>898</v>
      </c>
      <c r="K899" s="18" t="s">
        <v>32</v>
      </c>
      <c r="L899" s="18" t="s">
        <v>5967</v>
      </c>
      <c r="M899" s="18" t="s">
        <v>5968</v>
      </c>
      <c r="N899" s="18" t="s">
        <v>142</v>
      </c>
      <c r="O899" s="18" t="s">
        <v>143</v>
      </c>
      <c r="P899" s="18" t="s">
        <v>5969</v>
      </c>
      <c r="Q899" s="22">
        <f t="shared" ref="Q899:Q962" si="44">IF(P899="n/a", 0, IF(RIGHT(P899, 1)="B", VALUE(MID(P899, 2, LEN(P899)-2)*1000000000), VALUE(MID(P899, 2, LEN(P899)-2)*1000000)))</f>
        <v>3370000000</v>
      </c>
      <c r="R899" s="18">
        <v>1951.36</v>
      </c>
      <c r="S899" s="19">
        <v>5.23</v>
      </c>
      <c r="T899" s="18">
        <v>100821344</v>
      </c>
      <c r="U899" s="20">
        <v>44110</v>
      </c>
      <c r="V899" s="18" t="str">
        <f t="shared" si="42"/>
        <v>Complete</v>
      </c>
    </row>
    <row r="900" spans="1:22" ht="14.5" customHeight="1" x14ac:dyDescent="0.35">
      <c r="A900" s="15" t="s">
        <v>7918</v>
      </c>
      <c r="B900" s="15" t="s">
        <v>6857</v>
      </c>
      <c r="C900" s="15" t="s">
        <v>5970</v>
      </c>
      <c r="D900" s="15" t="s">
        <v>5971</v>
      </c>
      <c r="E900" s="15" t="s">
        <v>13</v>
      </c>
      <c r="F900" s="15" t="str">
        <f t="shared" si="43"/>
        <v>Male</v>
      </c>
      <c r="G900" s="15" t="s">
        <v>5972</v>
      </c>
      <c r="H900" s="15" t="s">
        <v>5973</v>
      </c>
      <c r="I900" s="15">
        <v>899</v>
      </c>
      <c r="J900" s="15">
        <v>899</v>
      </c>
      <c r="K900" s="15" t="s">
        <v>32</v>
      </c>
      <c r="L900" s="15" t="s">
        <v>5974</v>
      </c>
      <c r="M900" s="15" t="s">
        <v>5975</v>
      </c>
      <c r="N900" s="15" t="s">
        <v>142</v>
      </c>
      <c r="O900" s="15" t="s">
        <v>2281</v>
      </c>
      <c r="P900" s="15" t="s">
        <v>5976</v>
      </c>
      <c r="Q900" s="22">
        <f t="shared" si="44"/>
        <v>2280000000</v>
      </c>
      <c r="R900" s="15">
        <v>572.04</v>
      </c>
      <c r="S900" s="16">
        <v>1.67</v>
      </c>
      <c r="T900" s="15">
        <v>180185781</v>
      </c>
      <c r="U900" s="17">
        <v>45103</v>
      </c>
      <c r="V900" s="15" t="str">
        <f t="shared" si="42"/>
        <v>Complete</v>
      </c>
    </row>
    <row r="901" spans="1:22" ht="14.5" customHeight="1" x14ac:dyDescent="0.35">
      <c r="A901" s="18" t="s">
        <v>7919</v>
      </c>
      <c r="B901" s="18" t="s">
        <v>7261</v>
      </c>
      <c r="C901" s="18" t="s">
        <v>5977</v>
      </c>
      <c r="D901" s="18" t="s">
        <v>5978</v>
      </c>
      <c r="E901" s="18" t="s">
        <v>2</v>
      </c>
      <c r="F901" s="15" t="str">
        <f t="shared" si="43"/>
        <v>Female</v>
      </c>
      <c r="G901" s="18" t="s">
        <v>5979</v>
      </c>
      <c r="H901" s="18" t="s">
        <v>5980</v>
      </c>
      <c r="I901" s="18">
        <v>900</v>
      </c>
      <c r="J901" s="18">
        <v>900</v>
      </c>
      <c r="K901" s="18" t="s">
        <v>5</v>
      </c>
      <c r="L901" s="18" t="s">
        <v>3269</v>
      </c>
      <c r="M901" s="18" t="s">
        <v>3270</v>
      </c>
      <c r="N901" s="18" t="s">
        <v>66</v>
      </c>
      <c r="O901" s="18" t="s">
        <v>181</v>
      </c>
      <c r="P901" s="18" t="s">
        <v>3271</v>
      </c>
      <c r="Q901" s="22">
        <f t="shared" si="44"/>
        <v>909020000</v>
      </c>
      <c r="R901" s="18">
        <v>509.42</v>
      </c>
      <c r="S901" s="19">
        <v>4.33</v>
      </c>
      <c r="T901" s="18">
        <v>96265081</v>
      </c>
      <c r="U901" s="20">
        <v>45198</v>
      </c>
      <c r="V901" s="18" t="str">
        <f t="shared" si="42"/>
        <v>Complete</v>
      </c>
    </row>
    <row r="902" spans="1:22" ht="14.5" customHeight="1" x14ac:dyDescent="0.35">
      <c r="A902" s="15" t="s">
        <v>7920</v>
      </c>
      <c r="B902" s="15" t="s">
        <v>6929</v>
      </c>
      <c r="C902" s="15" t="s">
        <v>5981</v>
      </c>
      <c r="D902" s="15" t="s">
        <v>5982</v>
      </c>
      <c r="E902" s="15" t="s">
        <v>2</v>
      </c>
      <c r="F902" s="15" t="str">
        <f t="shared" si="43"/>
        <v>Female</v>
      </c>
      <c r="G902" s="15" t="s">
        <v>5983</v>
      </c>
      <c r="H902" s="15" t="s">
        <v>5984</v>
      </c>
      <c r="I902" s="15">
        <v>901</v>
      </c>
      <c r="J902" s="15">
        <v>901</v>
      </c>
      <c r="K902" s="15" t="s">
        <v>5</v>
      </c>
      <c r="L902" s="15" t="s">
        <v>5169</v>
      </c>
      <c r="M902" s="15" t="s">
        <v>5170</v>
      </c>
      <c r="N902" s="15" t="s">
        <v>8</v>
      </c>
      <c r="O902" s="15" t="s">
        <v>9</v>
      </c>
      <c r="P902" s="15" t="s">
        <v>5171</v>
      </c>
      <c r="Q902" s="22">
        <f t="shared" si="44"/>
        <v>73430000</v>
      </c>
      <c r="R902" s="15">
        <v>212.02</v>
      </c>
      <c r="S902" s="16">
        <v>-10.45</v>
      </c>
      <c r="T902" s="15">
        <v>18813225</v>
      </c>
      <c r="U902" s="17">
        <v>44614</v>
      </c>
      <c r="V902" s="15" t="str">
        <f t="shared" si="42"/>
        <v>Complete</v>
      </c>
    </row>
    <row r="903" spans="1:22" ht="14.5" customHeight="1" x14ac:dyDescent="0.35">
      <c r="A903" s="18" t="s">
        <v>7921</v>
      </c>
      <c r="B903" s="18" t="s">
        <v>7922</v>
      </c>
      <c r="C903" s="18" t="s">
        <v>5985</v>
      </c>
      <c r="D903" s="18" t="s">
        <v>5986</v>
      </c>
      <c r="E903" s="18" t="s">
        <v>2</v>
      </c>
      <c r="F903" s="15" t="str">
        <f t="shared" si="43"/>
        <v>Female</v>
      </c>
      <c r="G903" s="18" t="s">
        <v>5987</v>
      </c>
      <c r="H903" s="18" t="s">
        <v>5988</v>
      </c>
      <c r="I903" s="18">
        <v>902</v>
      </c>
      <c r="J903" s="18">
        <v>902</v>
      </c>
      <c r="K903" s="18" t="s">
        <v>32</v>
      </c>
      <c r="L903" s="18" t="s">
        <v>5989</v>
      </c>
      <c r="M903" s="18" t="s">
        <v>5990</v>
      </c>
      <c r="N903" s="18" t="s">
        <v>142</v>
      </c>
      <c r="O903" s="18" t="s">
        <v>2281</v>
      </c>
      <c r="P903" s="18" t="s">
        <v>2767</v>
      </c>
      <c r="Q903" s="22">
        <f t="shared" si="44"/>
        <v>3330000000</v>
      </c>
      <c r="R903" s="18">
        <v>1550.03</v>
      </c>
      <c r="S903" s="19">
        <v>-17.39</v>
      </c>
      <c r="T903" s="18">
        <v>94481245</v>
      </c>
      <c r="U903" s="20">
        <v>45383</v>
      </c>
      <c r="V903" s="18" t="str">
        <f t="shared" si="42"/>
        <v>Complete</v>
      </c>
    </row>
    <row r="904" spans="1:22" ht="14.5" customHeight="1" x14ac:dyDescent="0.35">
      <c r="A904" s="15" t="s">
        <v>7923</v>
      </c>
      <c r="B904" s="15" t="s">
        <v>6898</v>
      </c>
      <c r="C904" s="15" t="s">
        <v>5991</v>
      </c>
      <c r="D904" s="15" t="s">
        <v>5992</v>
      </c>
      <c r="E904" s="15" t="s">
        <v>2</v>
      </c>
      <c r="F904" s="15" t="str">
        <f t="shared" si="43"/>
        <v>Female</v>
      </c>
      <c r="G904" s="15" t="s">
        <v>5993</v>
      </c>
      <c r="H904" s="15" t="s">
        <v>5994</v>
      </c>
      <c r="I904" s="15">
        <v>903</v>
      </c>
      <c r="J904" s="15">
        <v>903</v>
      </c>
      <c r="K904" s="15" t="s">
        <v>32</v>
      </c>
      <c r="L904" s="15" t="s">
        <v>4739</v>
      </c>
      <c r="M904" s="15" t="s">
        <v>4740</v>
      </c>
      <c r="N904" s="15" t="s">
        <v>99</v>
      </c>
      <c r="O904" s="15" t="s">
        <v>762</v>
      </c>
      <c r="P904" s="15" t="s">
        <v>4741</v>
      </c>
      <c r="Q904" s="22">
        <f t="shared" si="44"/>
        <v>340820000</v>
      </c>
      <c r="R904" s="15">
        <v>1224.6600000000001</v>
      </c>
      <c r="S904" s="16">
        <v>-1.89</v>
      </c>
      <c r="T904" s="15">
        <v>196570599</v>
      </c>
      <c r="U904" s="17">
        <v>44190</v>
      </c>
      <c r="V904" s="15" t="str">
        <f t="shared" si="42"/>
        <v>Complete</v>
      </c>
    </row>
    <row r="905" spans="1:22" ht="14.5" customHeight="1" x14ac:dyDescent="0.35">
      <c r="A905" s="18" t="s">
        <v>7924</v>
      </c>
      <c r="B905" s="18" t="s">
        <v>7496</v>
      </c>
      <c r="C905" s="18" t="s">
        <v>5995</v>
      </c>
      <c r="D905" s="18" t="s">
        <v>5996</v>
      </c>
      <c r="E905" s="18" t="s">
        <v>13</v>
      </c>
      <c r="F905" s="15" t="str">
        <f t="shared" si="43"/>
        <v>Male</v>
      </c>
      <c r="G905" s="18" t="s">
        <v>5997</v>
      </c>
      <c r="H905" s="18" t="s">
        <v>5998</v>
      </c>
      <c r="I905" s="18">
        <v>904</v>
      </c>
      <c r="J905" s="18">
        <v>904</v>
      </c>
      <c r="K905" s="18" t="s">
        <v>32</v>
      </c>
      <c r="L905" s="18" t="s">
        <v>5999</v>
      </c>
      <c r="M905" s="18" t="s">
        <v>6000</v>
      </c>
      <c r="N905" s="18" t="s">
        <v>48</v>
      </c>
      <c r="O905" s="18" t="s">
        <v>49</v>
      </c>
      <c r="P905" s="18" t="s">
        <v>8033</v>
      </c>
      <c r="Q905" s="22">
        <f t="shared" si="44"/>
        <v>0</v>
      </c>
      <c r="R905" s="18">
        <v>215.01</v>
      </c>
      <c r="S905" s="19">
        <v>9.2200000000000006</v>
      </c>
      <c r="T905" s="18">
        <v>76068405</v>
      </c>
      <c r="U905" s="20">
        <v>45949</v>
      </c>
      <c r="V905" s="18" t="str">
        <f t="shared" si="42"/>
        <v>Missing</v>
      </c>
    </row>
    <row r="906" spans="1:22" ht="14.5" customHeight="1" x14ac:dyDescent="0.35">
      <c r="A906" s="15" t="s">
        <v>7925</v>
      </c>
      <c r="B906" s="15" t="s">
        <v>6605</v>
      </c>
      <c r="C906" s="15" t="s">
        <v>6001</v>
      </c>
      <c r="D906" s="15" t="s">
        <v>6002</v>
      </c>
      <c r="E906" s="15" t="s">
        <v>2</v>
      </c>
      <c r="F906" s="15" t="str">
        <f t="shared" si="43"/>
        <v>Female</v>
      </c>
      <c r="G906" s="15" t="s">
        <v>6003</v>
      </c>
      <c r="H906" s="15" t="s">
        <v>6004</v>
      </c>
      <c r="I906" s="15">
        <v>905</v>
      </c>
      <c r="J906" s="15">
        <v>905</v>
      </c>
      <c r="K906" s="15" t="s">
        <v>32</v>
      </c>
      <c r="L906" s="15" t="s">
        <v>6005</v>
      </c>
      <c r="M906" s="15" t="s">
        <v>6005</v>
      </c>
      <c r="N906" s="15" t="s">
        <v>99</v>
      </c>
      <c r="O906" s="15" t="s">
        <v>5060</v>
      </c>
      <c r="P906" s="15" t="s">
        <v>6006</v>
      </c>
      <c r="Q906" s="22">
        <f t="shared" si="44"/>
        <v>1740000000</v>
      </c>
      <c r="R906" s="15">
        <v>885.17</v>
      </c>
      <c r="S906" s="16">
        <v>-15.05</v>
      </c>
      <c r="T906" s="15">
        <v>89233610</v>
      </c>
      <c r="U906" s="17">
        <v>46171</v>
      </c>
      <c r="V906" s="15" t="str">
        <f t="shared" si="42"/>
        <v>Complete</v>
      </c>
    </row>
    <row r="907" spans="1:22" ht="14.5" customHeight="1" x14ac:dyDescent="0.35">
      <c r="A907" s="18" t="s">
        <v>7926</v>
      </c>
      <c r="B907" s="18" t="s">
        <v>7927</v>
      </c>
      <c r="C907" s="18" t="s">
        <v>6007</v>
      </c>
      <c r="D907" s="18" t="s">
        <v>6008</v>
      </c>
      <c r="E907" s="18" t="s">
        <v>2</v>
      </c>
      <c r="F907" s="15" t="str">
        <f t="shared" si="43"/>
        <v>Female</v>
      </c>
      <c r="G907" s="18" t="s">
        <v>6009</v>
      </c>
      <c r="H907" s="18" t="s">
        <v>6010</v>
      </c>
      <c r="I907" s="18">
        <v>906</v>
      </c>
      <c r="J907" s="18">
        <v>906</v>
      </c>
      <c r="K907" s="18" t="s">
        <v>5</v>
      </c>
      <c r="L907" s="18" t="s">
        <v>6011</v>
      </c>
      <c r="M907" s="18" t="s">
        <v>6012</v>
      </c>
      <c r="N907" s="18" t="s">
        <v>8</v>
      </c>
      <c r="O907" s="18" t="s">
        <v>9</v>
      </c>
      <c r="P907" s="18" t="s">
        <v>6013</v>
      </c>
      <c r="Q907" s="22">
        <f t="shared" si="44"/>
        <v>16590000</v>
      </c>
      <c r="R907" s="18">
        <v>728.44</v>
      </c>
      <c r="S907" s="19">
        <v>-13.55</v>
      </c>
      <c r="T907" s="18">
        <v>158395440</v>
      </c>
      <c r="U907" s="20">
        <v>45875</v>
      </c>
      <c r="V907" s="18" t="str">
        <f t="shared" si="42"/>
        <v>Complete</v>
      </c>
    </row>
    <row r="908" spans="1:22" ht="14.5" customHeight="1" x14ac:dyDescent="0.35">
      <c r="A908" s="15" t="s">
        <v>7928</v>
      </c>
      <c r="B908" s="15" t="s">
        <v>7584</v>
      </c>
      <c r="C908" s="15" t="s">
        <v>6014</v>
      </c>
      <c r="D908" s="15" t="s">
        <v>6015</v>
      </c>
      <c r="E908" s="15" t="s">
        <v>2</v>
      </c>
      <c r="F908" s="15" t="str">
        <f t="shared" si="43"/>
        <v>Female</v>
      </c>
      <c r="G908" s="15" t="s">
        <v>6016</v>
      </c>
      <c r="H908" s="15" t="s">
        <v>6017</v>
      </c>
      <c r="I908" s="15">
        <v>907</v>
      </c>
      <c r="J908" s="15">
        <v>907</v>
      </c>
      <c r="K908" s="15" t="s">
        <v>32</v>
      </c>
      <c r="L908" s="15" t="s">
        <v>6018</v>
      </c>
      <c r="M908" s="15" t="s">
        <v>6019</v>
      </c>
      <c r="N908" s="15" t="s">
        <v>142</v>
      </c>
      <c r="O908" s="15" t="s">
        <v>2454</v>
      </c>
      <c r="P908" s="15" t="s">
        <v>3656</v>
      </c>
      <c r="Q908" s="22">
        <f t="shared" si="44"/>
        <v>5040000000</v>
      </c>
      <c r="R908" s="15">
        <v>526.15</v>
      </c>
      <c r="S908" s="16">
        <v>15.12</v>
      </c>
      <c r="T908" s="15">
        <v>47855323</v>
      </c>
      <c r="U908" s="17">
        <v>46281</v>
      </c>
      <c r="V908" s="15" t="str">
        <f t="shared" si="42"/>
        <v>Complete</v>
      </c>
    </row>
    <row r="909" spans="1:22" ht="14.5" customHeight="1" x14ac:dyDescent="0.35">
      <c r="A909" s="18" t="s">
        <v>7929</v>
      </c>
      <c r="B909" s="18" t="s">
        <v>7571</v>
      </c>
      <c r="C909" s="18" t="s">
        <v>6020</v>
      </c>
      <c r="D909" s="18" t="s">
        <v>6021</v>
      </c>
      <c r="E909" s="18" t="s">
        <v>161</v>
      </c>
      <c r="F909" s="15" t="str">
        <f t="shared" si="43"/>
        <v>Other</v>
      </c>
      <c r="G909" s="18" t="s">
        <v>6022</v>
      </c>
      <c r="H909" s="18" t="s">
        <v>6023</v>
      </c>
      <c r="I909" s="18">
        <v>908</v>
      </c>
      <c r="J909" s="18">
        <v>908</v>
      </c>
      <c r="K909" s="18" t="s">
        <v>32</v>
      </c>
      <c r="L909" s="18" t="s">
        <v>6024</v>
      </c>
      <c r="M909" s="18" t="s">
        <v>6025</v>
      </c>
      <c r="N909" s="18" t="s">
        <v>48</v>
      </c>
      <c r="O909" s="18" t="s">
        <v>1632</v>
      </c>
      <c r="P909" s="18" t="s">
        <v>6026</v>
      </c>
      <c r="Q909" s="22">
        <f t="shared" si="44"/>
        <v>506480000</v>
      </c>
      <c r="R909" s="18">
        <v>324.06</v>
      </c>
      <c r="S909" s="19">
        <v>-10.18</v>
      </c>
      <c r="T909" s="18">
        <v>122943557</v>
      </c>
      <c r="U909" s="20">
        <v>45240</v>
      </c>
      <c r="V909" s="18" t="str">
        <f t="shared" si="42"/>
        <v>Complete</v>
      </c>
    </row>
    <row r="910" spans="1:22" ht="14.5" customHeight="1" x14ac:dyDescent="0.35">
      <c r="A910" s="15" t="s">
        <v>7930</v>
      </c>
      <c r="B910" s="15" t="s">
        <v>6815</v>
      </c>
      <c r="C910" s="15" t="s">
        <v>6027</v>
      </c>
      <c r="D910" s="15" t="s">
        <v>6028</v>
      </c>
      <c r="E910" s="15" t="s">
        <v>13</v>
      </c>
      <c r="F910" s="15" t="str">
        <f t="shared" si="43"/>
        <v>Male</v>
      </c>
      <c r="G910" s="15" t="s">
        <v>6029</v>
      </c>
      <c r="H910" s="15" t="s">
        <v>6030</v>
      </c>
      <c r="I910" s="15">
        <v>909</v>
      </c>
      <c r="J910" s="15">
        <v>909</v>
      </c>
      <c r="K910" s="15" t="s">
        <v>5</v>
      </c>
      <c r="L910" s="15" t="s">
        <v>6031</v>
      </c>
      <c r="M910" s="15" t="s">
        <v>6032</v>
      </c>
      <c r="N910" s="15" t="s">
        <v>8033</v>
      </c>
      <c r="O910" s="15" t="s">
        <v>8033</v>
      </c>
      <c r="P910" s="15" t="s">
        <v>634</v>
      </c>
      <c r="Q910" s="22">
        <f t="shared" si="44"/>
        <v>184470000</v>
      </c>
      <c r="R910" s="15">
        <v>658.87</v>
      </c>
      <c r="S910" s="16">
        <v>-11.35</v>
      </c>
      <c r="T910" s="15">
        <v>58854810</v>
      </c>
      <c r="U910" s="17">
        <v>45200</v>
      </c>
      <c r="V910" s="15" t="str">
        <f t="shared" si="42"/>
        <v>Missing</v>
      </c>
    </row>
    <row r="911" spans="1:22" ht="14.5" customHeight="1" x14ac:dyDescent="0.35">
      <c r="A911" s="18" t="s">
        <v>7931</v>
      </c>
      <c r="B911" s="18" t="s">
        <v>7194</v>
      </c>
      <c r="C911" s="18" t="s">
        <v>6033</v>
      </c>
      <c r="D911" s="18" t="s">
        <v>6034</v>
      </c>
      <c r="E911" s="18" t="s">
        <v>2</v>
      </c>
      <c r="F911" s="15" t="str">
        <f t="shared" si="43"/>
        <v>Female</v>
      </c>
      <c r="G911" s="18" t="s">
        <v>6035</v>
      </c>
      <c r="H911" s="18" t="s">
        <v>6036</v>
      </c>
      <c r="I911" s="18">
        <v>910</v>
      </c>
      <c r="J911" s="18">
        <v>910</v>
      </c>
      <c r="K911" s="18" t="s">
        <v>32</v>
      </c>
      <c r="L911" s="18" t="s">
        <v>4617</v>
      </c>
      <c r="M911" s="18" t="s">
        <v>4618</v>
      </c>
      <c r="N911" s="18" t="s">
        <v>99</v>
      </c>
      <c r="O911" s="18" t="s">
        <v>100</v>
      </c>
      <c r="P911" s="18" t="s">
        <v>4619</v>
      </c>
      <c r="Q911" s="22">
        <f t="shared" si="44"/>
        <v>2540000000</v>
      </c>
      <c r="R911" s="18">
        <v>1332.31</v>
      </c>
      <c r="S911" s="19">
        <v>7.28</v>
      </c>
      <c r="T911" s="18">
        <v>48575639</v>
      </c>
      <c r="U911" s="20">
        <v>43992</v>
      </c>
      <c r="V911" s="18" t="str">
        <f t="shared" si="42"/>
        <v>Complete</v>
      </c>
    </row>
    <row r="912" spans="1:22" ht="14.5" customHeight="1" x14ac:dyDescent="0.35">
      <c r="A912" s="15" t="s">
        <v>7932</v>
      </c>
      <c r="B912" s="15" t="s">
        <v>7933</v>
      </c>
      <c r="C912" s="15" t="s">
        <v>6037</v>
      </c>
      <c r="D912" s="15" t="s">
        <v>6038</v>
      </c>
      <c r="E912" s="15" t="s">
        <v>2</v>
      </c>
      <c r="F912" s="15" t="str">
        <f t="shared" si="43"/>
        <v>Female</v>
      </c>
      <c r="G912" s="15" t="s">
        <v>6039</v>
      </c>
      <c r="H912" s="15" t="s">
        <v>6040</v>
      </c>
      <c r="I912" s="15">
        <v>911</v>
      </c>
      <c r="J912" s="15">
        <v>911</v>
      </c>
      <c r="K912" s="15" t="s">
        <v>5</v>
      </c>
      <c r="L912" s="15" t="s">
        <v>5448</v>
      </c>
      <c r="M912" s="15" t="s">
        <v>5449</v>
      </c>
      <c r="N912" s="15" t="s">
        <v>8033</v>
      </c>
      <c r="O912" s="15" t="s">
        <v>8033</v>
      </c>
      <c r="P912" s="15" t="s">
        <v>5450</v>
      </c>
      <c r="Q912" s="22">
        <f t="shared" si="44"/>
        <v>61170000</v>
      </c>
      <c r="R912" s="15">
        <v>57.87</v>
      </c>
      <c r="S912" s="16">
        <v>15.79</v>
      </c>
      <c r="T912" s="15">
        <v>10646311</v>
      </c>
      <c r="U912" s="17">
        <v>45070</v>
      </c>
      <c r="V912" s="15" t="str">
        <f t="shared" si="42"/>
        <v>Missing</v>
      </c>
    </row>
    <row r="913" spans="1:22" ht="14.5" customHeight="1" x14ac:dyDescent="0.35">
      <c r="A913" s="18" t="s">
        <v>7934</v>
      </c>
      <c r="B913" s="18" t="s">
        <v>7233</v>
      </c>
      <c r="C913" s="18" t="s">
        <v>6041</v>
      </c>
      <c r="D913" s="18" t="s">
        <v>6042</v>
      </c>
      <c r="E913" s="18" t="s">
        <v>2</v>
      </c>
      <c r="F913" s="15" t="str">
        <f t="shared" si="43"/>
        <v>Female</v>
      </c>
      <c r="G913" s="18" t="s">
        <v>6043</v>
      </c>
      <c r="H913" s="18" t="s">
        <v>6044</v>
      </c>
      <c r="I913" s="18">
        <v>912</v>
      </c>
      <c r="J913" s="18">
        <v>912</v>
      </c>
      <c r="K913" s="18" t="s">
        <v>32</v>
      </c>
      <c r="L913" s="18" t="s">
        <v>6045</v>
      </c>
      <c r="M913" s="18" t="s">
        <v>6046</v>
      </c>
      <c r="N913" s="18" t="s">
        <v>66</v>
      </c>
      <c r="O913" s="18" t="s">
        <v>181</v>
      </c>
      <c r="P913" s="18" t="s">
        <v>5113</v>
      </c>
      <c r="Q913" s="22">
        <f t="shared" si="44"/>
        <v>1540000000</v>
      </c>
      <c r="R913" s="18">
        <v>870.69</v>
      </c>
      <c r="S913" s="19">
        <v>-14.19</v>
      </c>
      <c r="T913" s="18">
        <v>63939802</v>
      </c>
      <c r="U913" s="20">
        <v>43857</v>
      </c>
      <c r="V913" s="18" t="str">
        <f t="shared" si="42"/>
        <v>Complete</v>
      </c>
    </row>
    <row r="914" spans="1:22" ht="14.5" customHeight="1" x14ac:dyDescent="0.35">
      <c r="A914" s="15" t="s">
        <v>7935</v>
      </c>
      <c r="B914" s="15" t="s">
        <v>7342</v>
      </c>
      <c r="C914" s="15" t="s">
        <v>6047</v>
      </c>
      <c r="D914" s="15" t="s">
        <v>6048</v>
      </c>
      <c r="E914" s="15" t="s">
        <v>13</v>
      </c>
      <c r="F914" s="15" t="str">
        <f t="shared" si="43"/>
        <v>Male</v>
      </c>
      <c r="G914" s="15" t="s">
        <v>6049</v>
      </c>
      <c r="H914" s="15" t="s">
        <v>6050</v>
      </c>
      <c r="I914" s="15">
        <v>913</v>
      </c>
      <c r="J914" s="15">
        <v>913</v>
      </c>
      <c r="K914" s="15" t="s">
        <v>5</v>
      </c>
      <c r="L914" s="15" t="s">
        <v>6051</v>
      </c>
      <c r="M914" s="15" t="s">
        <v>6052</v>
      </c>
      <c r="N914" s="15" t="s">
        <v>8033</v>
      </c>
      <c r="O914" s="15" t="s">
        <v>8033</v>
      </c>
      <c r="P914" s="15" t="s">
        <v>6053</v>
      </c>
      <c r="Q914" s="22">
        <f t="shared" si="44"/>
        <v>211280000</v>
      </c>
      <c r="R914" s="15">
        <v>26.23</v>
      </c>
      <c r="S914" s="16">
        <v>14.25</v>
      </c>
      <c r="T914" s="15">
        <v>75956200</v>
      </c>
      <c r="U914" s="17">
        <v>43889</v>
      </c>
      <c r="V914" s="15" t="str">
        <f t="shared" si="42"/>
        <v>Missing</v>
      </c>
    </row>
    <row r="915" spans="1:22" ht="14.5" customHeight="1" x14ac:dyDescent="0.35">
      <c r="A915" s="18" t="s">
        <v>7936</v>
      </c>
      <c r="B915" s="18" t="s">
        <v>7890</v>
      </c>
      <c r="C915" s="18" t="s">
        <v>3197</v>
      </c>
      <c r="D915" s="18" t="s">
        <v>6054</v>
      </c>
      <c r="E915" s="18" t="s">
        <v>13</v>
      </c>
      <c r="F915" s="15" t="str">
        <f t="shared" si="43"/>
        <v>Male</v>
      </c>
      <c r="G915" s="18" t="s">
        <v>6055</v>
      </c>
      <c r="H915" s="18" t="s">
        <v>6056</v>
      </c>
      <c r="I915" s="18">
        <v>914</v>
      </c>
      <c r="J915" s="18">
        <v>914</v>
      </c>
      <c r="K915" s="18" t="s">
        <v>32</v>
      </c>
      <c r="L915" s="18" t="s">
        <v>6057</v>
      </c>
      <c r="M915" s="18" t="s">
        <v>6058</v>
      </c>
      <c r="N915" s="18" t="s">
        <v>90</v>
      </c>
      <c r="O915" s="18" t="s">
        <v>6059</v>
      </c>
      <c r="P915" s="18" t="s">
        <v>6060</v>
      </c>
      <c r="Q915" s="22">
        <f t="shared" si="44"/>
        <v>9710000000</v>
      </c>
      <c r="R915" s="18">
        <v>743.02</v>
      </c>
      <c r="S915" s="19">
        <v>-11.2</v>
      </c>
      <c r="T915" s="18">
        <v>21887241</v>
      </c>
      <c r="U915" s="20">
        <v>45324</v>
      </c>
      <c r="V915" s="18" t="str">
        <f t="shared" si="42"/>
        <v>Complete</v>
      </c>
    </row>
    <row r="916" spans="1:22" ht="14.5" customHeight="1" x14ac:dyDescent="0.35">
      <c r="A916" s="15" t="s">
        <v>7937</v>
      </c>
      <c r="B916" s="15" t="s">
        <v>7119</v>
      </c>
      <c r="C916" s="15" t="s">
        <v>6061</v>
      </c>
      <c r="D916" s="15" t="s">
        <v>6062</v>
      </c>
      <c r="E916" s="15" t="s">
        <v>13</v>
      </c>
      <c r="F916" s="15" t="str">
        <f t="shared" si="43"/>
        <v>Male</v>
      </c>
      <c r="G916" s="15" t="s">
        <v>6063</v>
      </c>
      <c r="H916" s="15" t="s">
        <v>6064</v>
      </c>
      <c r="I916" s="15">
        <v>915</v>
      </c>
      <c r="J916" s="15">
        <v>915</v>
      </c>
      <c r="K916" s="15" t="s">
        <v>32</v>
      </c>
      <c r="L916" s="15" t="s">
        <v>6065</v>
      </c>
      <c r="M916" s="15" t="s">
        <v>6066</v>
      </c>
      <c r="N916" s="15" t="s">
        <v>1291</v>
      </c>
      <c r="O916" s="15" t="s">
        <v>151</v>
      </c>
      <c r="P916" s="15" t="s">
        <v>8033</v>
      </c>
      <c r="Q916" s="22">
        <f t="shared" si="44"/>
        <v>0</v>
      </c>
      <c r="R916" s="15">
        <v>1615.74</v>
      </c>
      <c r="S916" s="16">
        <v>-10.89</v>
      </c>
      <c r="T916" s="15">
        <v>19792369</v>
      </c>
      <c r="U916" s="17">
        <v>45114</v>
      </c>
      <c r="V916" s="15" t="str">
        <f t="shared" si="42"/>
        <v>Missing</v>
      </c>
    </row>
    <row r="917" spans="1:22" ht="14.5" customHeight="1" x14ac:dyDescent="0.35">
      <c r="A917" s="18" t="s">
        <v>7938</v>
      </c>
      <c r="B917" s="18" t="s">
        <v>7012</v>
      </c>
      <c r="C917" s="18" t="s">
        <v>6067</v>
      </c>
      <c r="D917" s="18" t="s">
        <v>6068</v>
      </c>
      <c r="E917" s="18" t="s">
        <v>13</v>
      </c>
      <c r="F917" s="15" t="str">
        <f t="shared" si="43"/>
        <v>Male</v>
      </c>
      <c r="G917" s="18" t="s">
        <v>6069</v>
      </c>
      <c r="H917" s="18" t="s">
        <v>6070</v>
      </c>
      <c r="I917" s="18">
        <v>916</v>
      </c>
      <c r="J917" s="18">
        <v>916</v>
      </c>
      <c r="K917" s="18" t="s">
        <v>5</v>
      </c>
      <c r="L917" s="18" t="s">
        <v>6071</v>
      </c>
      <c r="M917" s="18" t="s">
        <v>6072</v>
      </c>
      <c r="N917" s="18" t="s">
        <v>8</v>
      </c>
      <c r="O917" s="18" t="s">
        <v>9</v>
      </c>
      <c r="P917" s="18" t="s">
        <v>6073</v>
      </c>
      <c r="Q917" s="22">
        <f t="shared" si="44"/>
        <v>27590000</v>
      </c>
      <c r="R917" s="18">
        <v>1173.9100000000001</v>
      </c>
      <c r="S917" s="19">
        <v>7.24</v>
      </c>
      <c r="T917" s="18">
        <v>53593182</v>
      </c>
      <c r="U917" s="20">
        <v>45386</v>
      </c>
      <c r="V917" s="18" t="str">
        <f t="shared" si="42"/>
        <v>Complete</v>
      </c>
    </row>
    <row r="918" spans="1:22" ht="14.5" customHeight="1" x14ac:dyDescent="0.35">
      <c r="A918" s="15" t="s">
        <v>7939</v>
      </c>
      <c r="B918" s="15" t="s">
        <v>7357</v>
      </c>
      <c r="C918" s="15" t="s">
        <v>6074</v>
      </c>
      <c r="D918" s="15" t="s">
        <v>6075</v>
      </c>
      <c r="E918" s="15" t="s">
        <v>2</v>
      </c>
      <c r="F918" s="15" t="str">
        <f t="shared" si="43"/>
        <v>Female</v>
      </c>
      <c r="G918" s="15" t="s">
        <v>6076</v>
      </c>
      <c r="H918" s="15" t="s">
        <v>6077</v>
      </c>
      <c r="I918" s="15">
        <v>917</v>
      </c>
      <c r="J918" s="15">
        <v>917</v>
      </c>
      <c r="K918" s="15" t="s">
        <v>5</v>
      </c>
      <c r="L918" s="15" t="s">
        <v>6078</v>
      </c>
      <c r="M918" s="15" t="s">
        <v>6079</v>
      </c>
      <c r="N918" s="15" t="s">
        <v>323</v>
      </c>
      <c r="O918" s="15" t="s">
        <v>324</v>
      </c>
      <c r="P918" s="15" t="s">
        <v>6080</v>
      </c>
      <c r="Q918" s="22">
        <f t="shared" si="44"/>
        <v>245880000</v>
      </c>
      <c r="R918" s="15">
        <v>1552.9</v>
      </c>
      <c r="S918" s="16">
        <v>19.350000000000001</v>
      </c>
      <c r="T918" s="15">
        <v>152404727</v>
      </c>
      <c r="U918" s="17">
        <v>45346</v>
      </c>
      <c r="V918" s="15" t="str">
        <f t="shared" si="42"/>
        <v>Complete</v>
      </c>
    </row>
    <row r="919" spans="1:22" ht="14.5" customHeight="1" x14ac:dyDescent="0.35">
      <c r="A919" s="18" t="s">
        <v>7940</v>
      </c>
      <c r="B919" s="18" t="s">
        <v>7246</v>
      </c>
      <c r="C919" s="18" t="s">
        <v>2357</v>
      </c>
      <c r="D919" s="18" t="s">
        <v>6081</v>
      </c>
      <c r="E919" s="18" t="s">
        <v>2</v>
      </c>
      <c r="F919" s="15" t="str">
        <f t="shared" si="43"/>
        <v>Female</v>
      </c>
      <c r="G919" s="18" t="s">
        <v>6082</v>
      </c>
      <c r="H919" s="18" t="s">
        <v>6083</v>
      </c>
      <c r="I919" s="18">
        <v>918</v>
      </c>
      <c r="J919" s="18">
        <v>918</v>
      </c>
      <c r="K919" s="18" t="s">
        <v>5</v>
      </c>
      <c r="L919" s="18" t="s">
        <v>6084</v>
      </c>
      <c r="M919" s="18" t="s">
        <v>6085</v>
      </c>
      <c r="N919" s="18" t="s">
        <v>48</v>
      </c>
      <c r="O919" s="18" t="s">
        <v>57</v>
      </c>
      <c r="P919" s="18" t="s">
        <v>4703</v>
      </c>
      <c r="Q919" s="22">
        <f t="shared" si="44"/>
        <v>3460000000</v>
      </c>
      <c r="R919" s="18">
        <v>1795.76</v>
      </c>
      <c r="S919" s="19">
        <v>-17.79</v>
      </c>
      <c r="T919" s="18">
        <v>78652342</v>
      </c>
      <c r="U919" s="20">
        <v>46265</v>
      </c>
      <c r="V919" s="18" t="str">
        <f t="shared" si="42"/>
        <v>Complete</v>
      </c>
    </row>
    <row r="920" spans="1:22" ht="14.5" customHeight="1" x14ac:dyDescent="0.35">
      <c r="A920" s="15" t="s">
        <v>7941</v>
      </c>
      <c r="B920" s="15" t="s">
        <v>6645</v>
      </c>
      <c r="C920" s="15" t="s">
        <v>6086</v>
      </c>
      <c r="D920" s="15" t="s">
        <v>6087</v>
      </c>
      <c r="E920" s="15" t="s">
        <v>13</v>
      </c>
      <c r="F920" s="15" t="str">
        <f t="shared" si="43"/>
        <v>Male</v>
      </c>
      <c r="G920" s="15" t="s">
        <v>6088</v>
      </c>
      <c r="H920" s="15" t="s">
        <v>6089</v>
      </c>
      <c r="I920" s="15">
        <v>919</v>
      </c>
      <c r="J920" s="15">
        <v>919</v>
      </c>
      <c r="K920" s="15" t="s">
        <v>5</v>
      </c>
      <c r="L920" s="15" t="s">
        <v>6090</v>
      </c>
      <c r="M920" s="15" t="s">
        <v>6091</v>
      </c>
      <c r="N920" s="15" t="s">
        <v>117</v>
      </c>
      <c r="O920" s="15" t="s">
        <v>3095</v>
      </c>
      <c r="P920" s="15" t="s">
        <v>6092</v>
      </c>
      <c r="Q920" s="22">
        <f t="shared" si="44"/>
        <v>48270000</v>
      </c>
      <c r="R920" s="15">
        <v>1729.54</v>
      </c>
      <c r="S920" s="16">
        <v>1.4</v>
      </c>
      <c r="T920" s="15">
        <v>136491870</v>
      </c>
      <c r="U920" s="17">
        <v>46024</v>
      </c>
      <c r="V920" s="15" t="str">
        <f t="shared" si="42"/>
        <v>Complete</v>
      </c>
    </row>
    <row r="921" spans="1:22" ht="14.5" customHeight="1" x14ac:dyDescent="0.35">
      <c r="A921" s="18" t="s">
        <v>7942</v>
      </c>
      <c r="B921" s="18" t="s">
        <v>7456</v>
      </c>
      <c r="C921" s="18" t="s">
        <v>6093</v>
      </c>
      <c r="D921" s="18" t="s">
        <v>6094</v>
      </c>
      <c r="E921" s="18" t="s">
        <v>13</v>
      </c>
      <c r="F921" s="15" t="str">
        <f t="shared" si="43"/>
        <v>Male</v>
      </c>
      <c r="G921" s="18" t="s">
        <v>6095</v>
      </c>
      <c r="H921" s="18" t="s">
        <v>6096</v>
      </c>
      <c r="I921" s="18">
        <v>920</v>
      </c>
      <c r="J921" s="18">
        <v>920</v>
      </c>
      <c r="K921" s="18" t="s">
        <v>32</v>
      </c>
      <c r="L921" s="18" t="s">
        <v>6097</v>
      </c>
      <c r="M921" s="18" t="s">
        <v>6098</v>
      </c>
      <c r="N921" s="18" t="s">
        <v>99</v>
      </c>
      <c r="O921" s="18" t="s">
        <v>2555</v>
      </c>
      <c r="P921" s="18" t="s">
        <v>6099</v>
      </c>
      <c r="Q921" s="22">
        <f t="shared" si="44"/>
        <v>46600000000</v>
      </c>
      <c r="R921" s="18">
        <v>1821.66</v>
      </c>
      <c r="S921" s="19">
        <v>-13.28</v>
      </c>
      <c r="T921" s="18">
        <v>104773835</v>
      </c>
      <c r="U921" s="20">
        <v>45724</v>
      </c>
      <c r="V921" s="18" t="str">
        <f t="shared" si="42"/>
        <v>Complete</v>
      </c>
    </row>
    <row r="922" spans="1:22" ht="14.5" customHeight="1" x14ac:dyDescent="0.35">
      <c r="A922" s="15" t="s">
        <v>7943</v>
      </c>
      <c r="B922" s="15" t="s">
        <v>7552</v>
      </c>
      <c r="C922" s="15" t="s">
        <v>6100</v>
      </c>
      <c r="D922" s="15" t="s">
        <v>6101</v>
      </c>
      <c r="E922" s="15" t="s">
        <v>13</v>
      </c>
      <c r="F922" s="15" t="str">
        <f t="shared" si="43"/>
        <v>Male</v>
      </c>
      <c r="G922" s="15" t="s">
        <v>6102</v>
      </c>
      <c r="H922" s="15" t="s">
        <v>6103</v>
      </c>
      <c r="I922" s="15">
        <v>921</v>
      </c>
      <c r="J922" s="15">
        <v>921</v>
      </c>
      <c r="K922" s="15" t="s">
        <v>5</v>
      </c>
      <c r="L922" s="15" t="s">
        <v>6104</v>
      </c>
      <c r="M922" s="15" t="s">
        <v>6105</v>
      </c>
      <c r="N922" s="15" t="s">
        <v>8</v>
      </c>
      <c r="O922" s="15" t="s">
        <v>18</v>
      </c>
      <c r="P922" s="15" t="s">
        <v>6106</v>
      </c>
      <c r="Q922" s="22">
        <f t="shared" si="44"/>
        <v>92990000</v>
      </c>
      <c r="R922" s="15">
        <v>1784.29</v>
      </c>
      <c r="S922" s="16">
        <v>13.02</v>
      </c>
      <c r="T922" s="15">
        <v>85969155</v>
      </c>
      <c r="U922" s="17">
        <v>45961</v>
      </c>
      <c r="V922" s="15" t="str">
        <f t="shared" si="42"/>
        <v>Complete</v>
      </c>
    </row>
    <row r="923" spans="1:22" ht="14.5" customHeight="1" x14ac:dyDescent="0.35">
      <c r="A923" s="18" t="s">
        <v>7944</v>
      </c>
      <c r="B923" s="18" t="s">
        <v>6589</v>
      </c>
      <c r="C923" s="18" t="s">
        <v>6107</v>
      </c>
      <c r="D923" s="18" t="s">
        <v>6108</v>
      </c>
      <c r="E923" s="18" t="s">
        <v>52</v>
      </c>
      <c r="F923" s="15" t="str">
        <f t="shared" si="43"/>
        <v>Other</v>
      </c>
      <c r="G923" s="18" t="s">
        <v>6109</v>
      </c>
      <c r="H923" s="18" t="s">
        <v>6110</v>
      </c>
      <c r="I923" s="18">
        <v>922</v>
      </c>
      <c r="J923" s="18">
        <v>922</v>
      </c>
      <c r="K923" s="18" t="s">
        <v>5</v>
      </c>
      <c r="L923" s="18" t="s">
        <v>6111</v>
      </c>
      <c r="M923" s="18" t="s">
        <v>6112</v>
      </c>
      <c r="N923" s="18" t="s">
        <v>66</v>
      </c>
      <c r="O923" s="18" t="s">
        <v>422</v>
      </c>
      <c r="P923" s="18" t="s">
        <v>6113</v>
      </c>
      <c r="Q923" s="22">
        <f t="shared" si="44"/>
        <v>814950000</v>
      </c>
      <c r="R923" s="18">
        <v>1539.07</v>
      </c>
      <c r="S923" s="19">
        <v>-1.66</v>
      </c>
      <c r="T923" s="18">
        <v>142644832</v>
      </c>
      <c r="U923" s="20">
        <v>45868</v>
      </c>
      <c r="V923" s="18" t="str">
        <f t="shared" si="42"/>
        <v>Complete</v>
      </c>
    </row>
    <row r="924" spans="1:22" ht="14.5" customHeight="1" x14ac:dyDescent="0.35">
      <c r="A924" s="15" t="s">
        <v>7945</v>
      </c>
      <c r="B924" s="15" t="s">
        <v>6688</v>
      </c>
      <c r="C924" s="15" t="s">
        <v>6114</v>
      </c>
      <c r="D924" s="15" t="s">
        <v>6115</v>
      </c>
      <c r="E924" s="15" t="s">
        <v>2</v>
      </c>
      <c r="F924" s="15" t="str">
        <f t="shared" si="43"/>
        <v>Female</v>
      </c>
      <c r="G924" s="15" t="s">
        <v>6116</v>
      </c>
      <c r="H924" s="15" t="s">
        <v>6117</v>
      </c>
      <c r="I924" s="15">
        <v>923</v>
      </c>
      <c r="J924" s="15">
        <v>923</v>
      </c>
      <c r="K924" s="15" t="s">
        <v>5</v>
      </c>
      <c r="L924" s="15" t="s">
        <v>6118</v>
      </c>
      <c r="M924" s="15" t="s">
        <v>6119</v>
      </c>
      <c r="N924" s="15" t="s">
        <v>66</v>
      </c>
      <c r="O924" s="15" t="s">
        <v>422</v>
      </c>
      <c r="P924" s="15" t="s">
        <v>6120</v>
      </c>
      <c r="Q924" s="22">
        <f t="shared" si="44"/>
        <v>1460000000</v>
      </c>
      <c r="R924" s="15">
        <v>1131.27</v>
      </c>
      <c r="S924" s="16">
        <v>14.11</v>
      </c>
      <c r="T924" s="15">
        <v>73755560</v>
      </c>
      <c r="U924" s="17">
        <v>45458</v>
      </c>
      <c r="V924" s="15" t="str">
        <f t="shared" si="42"/>
        <v>Complete</v>
      </c>
    </row>
    <row r="925" spans="1:22" ht="14.5" customHeight="1" x14ac:dyDescent="0.35">
      <c r="A925" s="18" t="s">
        <v>7946</v>
      </c>
      <c r="B925" s="18" t="s">
        <v>7768</v>
      </c>
      <c r="C925" s="18" t="s">
        <v>6121</v>
      </c>
      <c r="D925" s="18" t="s">
        <v>6122</v>
      </c>
      <c r="E925" s="18" t="s">
        <v>2</v>
      </c>
      <c r="F925" s="15" t="str">
        <f t="shared" si="43"/>
        <v>Female</v>
      </c>
      <c r="G925" s="18" t="s">
        <v>6123</v>
      </c>
      <c r="H925" s="18" t="s">
        <v>6124</v>
      </c>
      <c r="I925" s="18">
        <v>924</v>
      </c>
      <c r="J925" s="18">
        <v>924</v>
      </c>
      <c r="K925" s="18" t="s">
        <v>32</v>
      </c>
      <c r="L925" s="18" t="s">
        <v>6125</v>
      </c>
      <c r="M925" s="18" t="s">
        <v>6126</v>
      </c>
      <c r="N925" s="18" t="s">
        <v>8033</v>
      </c>
      <c r="O925" s="18" t="s">
        <v>8033</v>
      </c>
      <c r="P925" s="18" t="s">
        <v>6127</v>
      </c>
      <c r="Q925" s="22">
        <f t="shared" si="44"/>
        <v>518090000.00000006</v>
      </c>
      <c r="R925" s="18">
        <v>406.72</v>
      </c>
      <c r="S925" s="19">
        <v>-8.1999999999999993</v>
      </c>
      <c r="T925" s="18">
        <v>27401955</v>
      </c>
      <c r="U925" s="20">
        <v>45310</v>
      </c>
      <c r="V925" s="18" t="str">
        <f t="shared" si="42"/>
        <v>Missing</v>
      </c>
    </row>
    <row r="926" spans="1:22" ht="14.5" customHeight="1" x14ac:dyDescent="0.35">
      <c r="A926" s="15" t="s">
        <v>7947</v>
      </c>
      <c r="B926" s="15" t="s">
        <v>6865</v>
      </c>
      <c r="C926" s="15" t="s">
        <v>6128</v>
      </c>
      <c r="D926" s="15" t="s">
        <v>6129</v>
      </c>
      <c r="E926" s="15" t="s">
        <v>13</v>
      </c>
      <c r="F926" s="15" t="str">
        <f t="shared" si="43"/>
        <v>Male</v>
      </c>
      <c r="G926" s="15" t="s">
        <v>6130</v>
      </c>
      <c r="H926" s="15" t="s">
        <v>6131</v>
      </c>
      <c r="I926" s="15">
        <v>925</v>
      </c>
      <c r="J926" s="15">
        <v>925</v>
      </c>
      <c r="K926" s="15" t="s">
        <v>5</v>
      </c>
      <c r="L926" s="15" t="s">
        <v>6132</v>
      </c>
      <c r="M926" s="15" t="s">
        <v>6133</v>
      </c>
      <c r="N926" s="15" t="s">
        <v>99</v>
      </c>
      <c r="O926" s="15" t="s">
        <v>2555</v>
      </c>
      <c r="P926" s="15" t="s">
        <v>6134</v>
      </c>
      <c r="Q926" s="22">
        <f t="shared" si="44"/>
        <v>415040000</v>
      </c>
      <c r="R926" s="15">
        <v>675.26</v>
      </c>
      <c r="S926" s="16">
        <v>2.02</v>
      </c>
      <c r="T926" s="15">
        <v>93437421</v>
      </c>
      <c r="U926" s="17">
        <v>46241</v>
      </c>
      <c r="V926" s="15" t="str">
        <f t="shared" si="42"/>
        <v>Complete</v>
      </c>
    </row>
    <row r="927" spans="1:22" ht="14.5" customHeight="1" x14ac:dyDescent="0.35">
      <c r="A927" s="18" t="s">
        <v>7948</v>
      </c>
      <c r="B927" s="18" t="s">
        <v>7166</v>
      </c>
      <c r="C927" s="18" t="s">
        <v>6135</v>
      </c>
      <c r="D927" s="18" t="s">
        <v>6136</v>
      </c>
      <c r="E927" s="18" t="s">
        <v>208</v>
      </c>
      <c r="F927" s="15" t="str">
        <f t="shared" si="43"/>
        <v>Other</v>
      </c>
      <c r="G927" s="18" t="s">
        <v>6137</v>
      </c>
      <c r="H927" s="18" t="s">
        <v>6138</v>
      </c>
      <c r="I927" s="18">
        <v>926</v>
      </c>
      <c r="J927" s="18">
        <v>926</v>
      </c>
      <c r="K927" s="18" t="s">
        <v>5</v>
      </c>
      <c r="L927" s="18" t="s">
        <v>6139</v>
      </c>
      <c r="M927" s="18" t="s">
        <v>6140</v>
      </c>
      <c r="N927" s="18" t="s">
        <v>99</v>
      </c>
      <c r="O927" s="18" t="s">
        <v>1702</v>
      </c>
      <c r="P927" s="18" t="s">
        <v>6141</v>
      </c>
      <c r="Q927" s="22">
        <f t="shared" si="44"/>
        <v>64700000</v>
      </c>
      <c r="R927" s="18">
        <v>857.02</v>
      </c>
      <c r="S927" s="19">
        <v>5.5</v>
      </c>
      <c r="T927" s="18">
        <v>52237003</v>
      </c>
      <c r="U927" s="20">
        <v>44537</v>
      </c>
      <c r="V927" s="18" t="str">
        <f t="shared" si="42"/>
        <v>Complete</v>
      </c>
    </row>
    <row r="928" spans="1:22" ht="14.5" customHeight="1" x14ac:dyDescent="0.35">
      <c r="A928" s="15" t="s">
        <v>7949</v>
      </c>
      <c r="B928" s="15" t="s">
        <v>6788</v>
      </c>
      <c r="C928" s="15" t="s">
        <v>6100</v>
      </c>
      <c r="D928" s="15" t="s">
        <v>6142</v>
      </c>
      <c r="E928" s="15" t="s">
        <v>13</v>
      </c>
      <c r="F928" s="15" t="str">
        <f t="shared" si="43"/>
        <v>Male</v>
      </c>
      <c r="G928" s="15" t="s">
        <v>6143</v>
      </c>
      <c r="H928" s="15" t="s">
        <v>6144</v>
      </c>
      <c r="I928" s="15">
        <v>927</v>
      </c>
      <c r="J928" s="15">
        <v>927</v>
      </c>
      <c r="K928" s="15" t="s">
        <v>5</v>
      </c>
      <c r="L928" s="15" t="s">
        <v>6145</v>
      </c>
      <c r="M928" s="15" t="s">
        <v>6146</v>
      </c>
      <c r="N928" s="15" t="s">
        <v>25</v>
      </c>
      <c r="O928" s="15" t="s">
        <v>126</v>
      </c>
      <c r="P928" s="15" t="s">
        <v>6147</v>
      </c>
      <c r="Q928" s="22">
        <f t="shared" si="44"/>
        <v>1140000000</v>
      </c>
      <c r="R928" s="15">
        <v>217.95</v>
      </c>
      <c r="S928" s="16">
        <v>1.85</v>
      </c>
      <c r="T928" s="15">
        <v>112844544</v>
      </c>
      <c r="U928" s="17">
        <v>44410</v>
      </c>
      <c r="V928" s="15" t="str">
        <f t="shared" si="42"/>
        <v>Complete</v>
      </c>
    </row>
    <row r="929" spans="1:22" ht="14.5" customHeight="1" x14ac:dyDescent="0.35">
      <c r="A929" s="18" t="s">
        <v>7950</v>
      </c>
      <c r="B929" s="18" t="s">
        <v>6821</v>
      </c>
      <c r="C929" s="18" t="s">
        <v>6148</v>
      </c>
      <c r="D929" s="18" t="s">
        <v>6149</v>
      </c>
      <c r="E929" s="18" t="s">
        <v>2</v>
      </c>
      <c r="F929" s="15" t="str">
        <f t="shared" si="43"/>
        <v>Female</v>
      </c>
      <c r="G929" s="18" t="s">
        <v>6150</v>
      </c>
      <c r="H929" s="18" t="s">
        <v>6151</v>
      </c>
      <c r="I929" s="18">
        <v>928</v>
      </c>
      <c r="J929" s="18">
        <v>928</v>
      </c>
      <c r="K929" s="18" t="s">
        <v>5</v>
      </c>
      <c r="L929" s="18" t="s">
        <v>6152</v>
      </c>
      <c r="M929" s="18" t="s">
        <v>6153</v>
      </c>
      <c r="N929" s="18" t="s">
        <v>8033</v>
      </c>
      <c r="O929" s="18" t="s">
        <v>8033</v>
      </c>
      <c r="P929" s="18" t="s">
        <v>6154</v>
      </c>
      <c r="Q929" s="22">
        <f t="shared" si="44"/>
        <v>28040000</v>
      </c>
      <c r="R929" s="18">
        <v>18.7</v>
      </c>
      <c r="S929" s="19">
        <v>1.24</v>
      </c>
      <c r="T929" s="18">
        <v>36234766</v>
      </c>
      <c r="U929" s="20">
        <v>45965</v>
      </c>
      <c r="V929" s="18" t="str">
        <f t="shared" si="42"/>
        <v>Missing</v>
      </c>
    </row>
    <row r="930" spans="1:22" ht="14.5" customHeight="1" x14ac:dyDescent="0.35">
      <c r="A930" s="15" t="s">
        <v>7951</v>
      </c>
      <c r="B930" s="15" t="s">
        <v>7892</v>
      </c>
      <c r="C930" s="15" t="s">
        <v>946</v>
      </c>
      <c r="D930" s="15" t="s">
        <v>6155</v>
      </c>
      <c r="E930" s="15" t="s">
        <v>1407</v>
      </c>
      <c r="F930" s="15" t="str">
        <f t="shared" si="43"/>
        <v>Other</v>
      </c>
      <c r="G930" s="15" t="s">
        <v>6156</v>
      </c>
      <c r="H930" s="15" t="s">
        <v>6157</v>
      </c>
      <c r="I930" s="15">
        <v>929</v>
      </c>
      <c r="J930" s="15">
        <v>929</v>
      </c>
      <c r="K930" s="15" t="s">
        <v>32</v>
      </c>
      <c r="L930" s="15" t="s">
        <v>6158</v>
      </c>
      <c r="M930" s="15" t="s">
        <v>6159</v>
      </c>
      <c r="N930" s="15" t="s">
        <v>189</v>
      </c>
      <c r="O930" s="15" t="s">
        <v>1269</v>
      </c>
      <c r="P930" s="15" t="s">
        <v>6160</v>
      </c>
      <c r="Q930" s="22">
        <f t="shared" si="44"/>
        <v>559330000</v>
      </c>
      <c r="R930" s="15">
        <v>853.9</v>
      </c>
      <c r="S930" s="16">
        <v>-19.71</v>
      </c>
      <c r="T930" s="15">
        <v>94625534</v>
      </c>
      <c r="U930" s="17">
        <v>44848</v>
      </c>
      <c r="V930" s="15" t="str">
        <f t="shared" si="42"/>
        <v>Complete</v>
      </c>
    </row>
    <row r="931" spans="1:22" ht="14.5" customHeight="1" x14ac:dyDescent="0.35">
      <c r="A931" s="18" t="s">
        <v>7952</v>
      </c>
      <c r="B931" s="18" t="s">
        <v>6767</v>
      </c>
      <c r="C931" s="18" t="s">
        <v>6161</v>
      </c>
      <c r="D931" s="18" t="s">
        <v>6162</v>
      </c>
      <c r="E931" s="18" t="s">
        <v>13</v>
      </c>
      <c r="F931" s="15" t="str">
        <f t="shared" si="43"/>
        <v>Male</v>
      </c>
      <c r="G931" s="18" t="s">
        <v>6163</v>
      </c>
      <c r="H931" s="18" t="s">
        <v>6164</v>
      </c>
      <c r="I931" s="18">
        <v>930</v>
      </c>
      <c r="J931" s="18">
        <v>930</v>
      </c>
      <c r="K931" s="18" t="s">
        <v>32</v>
      </c>
      <c r="L931" s="18" t="s">
        <v>6165</v>
      </c>
      <c r="M931" s="18" t="s">
        <v>2294</v>
      </c>
      <c r="N931" s="18" t="s">
        <v>8033</v>
      </c>
      <c r="O931" s="18" t="s">
        <v>8033</v>
      </c>
      <c r="P931" s="18" t="s">
        <v>8033</v>
      </c>
      <c r="Q931" s="22">
        <f t="shared" si="44"/>
        <v>0</v>
      </c>
      <c r="R931" s="18">
        <v>1929</v>
      </c>
      <c r="S931" s="19">
        <v>9.58</v>
      </c>
      <c r="T931" s="18">
        <v>4491478</v>
      </c>
      <c r="U931" s="20">
        <v>44975</v>
      </c>
      <c r="V931" s="18" t="str">
        <f t="shared" si="42"/>
        <v>Missing</v>
      </c>
    </row>
    <row r="932" spans="1:22" ht="14.5" customHeight="1" x14ac:dyDescent="0.35">
      <c r="A932" s="15" t="s">
        <v>7953</v>
      </c>
      <c r="B932" s="15" t="s">
        <v>6884</v>
      </c>
      <c r="C932" s="15" t="s">
        <v>6166</v>
      </c>
      <c r="D932" s="15" t="s">
        <v>6167</v>
      </c>
      <c r="E932" s="15" t="s">
        <v>13</v>
      </c>
      <c r="F932" s="15" t="str">
        <f t="shared" si="43"/>
        <v>Male</v>
      </c>
      <c r="G932" s="15" t="s">
        <v>6168</v>
      </c>
      <c r="H932" s="15" t="s">
        <v>6169</v>
      </c>
      <c r="I932" s="15">
        <v>931</v>
      </c>
      <c r="J932" s="15">
        <v>931</v>
      </c>
      <c r="K932" s="15" t="s">
        <v>5</v>
      </c>
      <c r="L932" s="15" t="s">
        <v>6170</v>
      </c>
      <c r="M932" s="15" t="s">
        <v>6171</v>
      </c>
      <c r="N932" s="15" t="s">
        <v>8</v>
      </c>
      <c r="O932" s="15" t="s">
        <v>18</v>
      </c>
      <c r="P932" s="15" t="s">
        <v>6172</v>
      </c>
      <c r="Q932" s="22">
        <f t="shared" si="44"/>
        <v>28790000</v>
      </c>
      <c r="R932" s="15">
        <v>973.69</v>
      </c>
      <c r="S932" s="16">
        <v>-9.3800000000000008</v>
      </c>
      <c r="T932" s="15">
        <v>136146681</v>
      </c>
      <c r="U932" s="17">
        <v>45623</v>
      </c>
      <c r="V932" s="15" t="str">
        <f t="shared" si="42"/>
        <v>Complete</v>
      </c>
    </row>
    <row r="933" spans="1:22" ht="14.5" customHeight="1" x14ac:dyDescent="0.35">
      <c r="A933" s="18" t="s">
        <v>7954</v>
      </c>
      <c r="B933" s="18" t="s">
        <v>7901</v>
      </c>
      <c r="C933" s="18" t="s">
        <v>6173</v>
      </c>
      <c r="D933" s="18" t="s">
        <v>6174</v>
      </c>
      <c r="E933" s="18" t="s">
        <v>2</v>
      </c>
      <c r="F933" s="15" t="str">
        <f t="shared" si="43"/>
        <v>Female</v>
      </c>
      <c r="G933" s="18" t="s">
        <v>6175</v>
      </c>
      <c r="H933" s="18" t="s">
        <v>6176</v>
      </c>
      <c r="I933" s="18">
        <v>932</v>
      </c>
      <c r="J933" s="18">
        <v>932</v>
      </c>
      <c r="K933" s="18" t="s">
        <v>32</v>
      </c>
      <c r="L933" s="18" t="s">
        <v>3960</v>
      </c>
      <c r="M933" s="18" t="s">
        <v>3961</v>
      </c>
      <c r="N933" s="18" t="s">
        <v>189</v>
      </c>
      <c r="O933" s="18" t="s">
        <v>613</v>
      </c>
      <c r="P933" s="18" t="s">
        <v>3962</v>
      </c>
      <c r="Q933" s="22">
        <f t="shared" si="44"/>
        <v>702120000</v>
      </c>
      <c r="R933" s="18">
        <v>1279.55</v>
      </c>
      <c r="S933" s="19">
        <v>3.71</v>
      </c>
      <c r="T933" s="18">
        <v>169243236</v>
      </c>
      <c r="U933" s="20">
        <v>44947</v>
      </c>
      <c r="V933" s="18" t="str">
        <f t="shared" si="42"/>
        <v>Complete</v>
      </c>
    </row>
    <row r="934" spans="1:22" ht="14.5" customHeight="1" x14ac:dyDescent="0.35">
      <c r="A934" s="15" t="s">
        <v>7955</v>
      </c>
      <c r="B934" s="15" t="s">
        <v>7405</v>
      </c>
      <c r="C934" s="15" t="s">
        <v>2102</v>
      </c>
      <c r="D934" s="15" t="s">
        <v>6177</v>
      </c>
      <c r="E934" s="15" t="s">
        <v>13</v>
      </c>
      <c r="F934" s="15" t="str">
        <f t="shared" si="43"/>
        <v>Male</v>
      </c>
      <c r="G934" s="15" t="s">
        <v>6178</v>
      </c>
      <c r="H934" s="15" t="s">
        <v>6179</v>
      </c>
      <c r="I934" s="15">
        <v>933</v>
      </c>
      <c r="J934" s="15">
        <v>933</v>
      </c>
      <c r="K934" s="15" t="s">
        <v>32</v>
      </c>
      <c r="L934" s="15" t="s">
        <v>4469</v>
      </c>
      <c r="M934" s="15" t="s">
        <v>4470</v>
      </c>
      <c r="N934" s="15" t="s">
        <v>142</v>
      </c>
      <c r="O934" s="15" t="s">
        <v>3158</v>
      </c>
      <c r="P934" s="15" t="s">
        <v>3405</v>
      </c>
      <c r="Q934" s="22">
        <f t="shared" si="44"/>
        <v>1900000000</v>
      </c>
      <c r="R934" s="15">
        <v>499.46</v>
      </c>
      <c r="S934" s="16">
        <v>-7.23</v>
      </c>
      <c r="T934" s="15">
        <v>188483918</v>
      </c>
      <c r="U934" s="17">
        <v>46140</v>
      </c>
      <c r="V934" s="15" t="str">
        <f t="shared" si="42"/>
        <v>Complete</v>
      </c>
    </row>
    <row r="935" spans="1:22" ht="14.5" customHeight="1" x14ac:dyDescent="0.35">
      <c r="A935" s="18" t="s">
        <v>7956</v>
      </c>
      <c r="B935" s="18" t="s">
        <v>7197</v>
      </c>
      <c r="C935" s="18" t="s">
        <v>6180</v>
      </c>
      <c r="D935" s="18" t="s">
        <v>6181</v>
      </c>
      <c r="E935" s="18" t="s">
        <v>2</v>
      </c>
      <c r="F935" s="15" t="str">
        <f t="shared" si="43"/>
        <v>Female</v>
      </c>
      <c r="G935" s="18" t="s">
        <v>6182</v>
      </c>
      <c r="H935" s="18" t="s">
        <v>6183</v>
      </c>
      <c r="I935" s="18">
        <v>934</v>
      </c>
      <c r="J935" s="18">
        <v>934</v>
      </c>
      <c r="K935" s="18" t="s">
        <v>5</v>
      </c>
      <c r="L935" s="18" t="s">
        <v>6184</v>
      </c>
      <c r="M935" s="18" t="s">
        <v>6185</v>
      </c>
      <c r="N935" s="18" t="s">
        <v>117</v>
      </c>
      <c r="O935" s="18" t="s">
        <v>118</v>
      </c>
      <c r="P935" s="18" t="s">
        <v>6186</v>
      </c>
      <c r="Q935" s="22">
        <f t="shared" si="44"/>
        <v>127420000</v>
      </c>
      <c r="R935" s="18">
        <v>171.01</v>
      </c>
      <c r="S935" s="19">
        <v>12.81</v>
      </c>
      <c r="T935" s="18">
        <v>4738869</v>
      </c>
      <c r="U935" s="20">
        <v>44644</v>
      </c>
      <c r="V935" s="18" t="str">
        <f t="shared" si="42"/>
        <v>Complete</v>
      </c>
    </row>
    <row r="936" spans="1:22" ht="14.5" customHeight="1" x14ac:dyDescent="0.35">
      <c r="A936" s="15" t="s">
        <v>7957</v>
      </c>
      <c r="B936" s="15" t="s">
        <v>7958</v>
      </c>
      <c r="C936" s="15" t="s">
        <v>6187</v>
      </c>
      <c r="D936" s="15" t="s">
        <v>6188</v>
      </c>
      <c r="E936" s="15" t="s">
        <v>13</v>
      </c>
      <c r="F936" s="15" t="str">
        <f t="shared" si="43"/>
        <v>Male</v>
      </c>
      <c r="G936" s="15" t="s">
        <v>6189</v>
      </c>
      <c r="H936" s="15" t="s">
        <v>6190</v>
      </c>
      <c r="I936" s="15">
        <v>935</v>
      </c>
      <c r="J936" s="15">
        <v>935</v>
      </c>
      <c r="K936" s="15" t="s">
        <v>5</v>
      </c>
      <c r="L936" s="15" t="s">
        <v>6191</v>
      </c>
      <c r="M936" s="15" t="s">
        <v>6192</v>
      </c>
      <c r="N936" s="15" t="s">
        <v>99</v>
      </c>
      <c r="O936" s="15" t="s">
        <v>100</v>
      </c>
      <c r="P936" s="15" t="s">
        <v>6193</v>
      </c>
      <c r="Q936" s="22">
        <f t="shared" si="44"/>
        <v>1400000000</v>
      </c>
      <c r="R936" s="15">
        <v>27.22</v>
      </c>
      <c r="S936" s="16">
        <v>-1.48</v>
      </c>
      <c r="T936" s="15">
        <v>103690005</v>
      </c>
      <c r="U936" s="17">
        <v>45374</v>
      </c>
      <c r="V936" s="15" t="str">
        <f t="shared" si="42"/>
        <v>Complete</v>
      </c>
    </row>
    <row r="937" spans="1:22" ht="14.5" customHeight="1" x14ac:dyDescent="0.35">
      <c r="A937" s="18" t="s">
        <v>7959</v>
      </c>
      <c r="B937" s="18" t="s">
        <v>7283</v>
      </c>
      <c r="C937" s="18" t="s">
        <v>6194</v>
      </c>
      <c r="D937" s="18" t="s">
        <v>6195</v>
      </c>
      <c r="E937" s="18" t="s">
        <v>2</v>
      </c>
      <c r="F937" s="15" t="str">
        <f t="shared" si="43"/>
        <v>Female</v>
      </c>
      <c r="G937" s="18" t="s">
        <v>6196</v>
      </c>
      <c r="H937" s="18" t="s">
        <v>6197</v>
      </c>
      <c r="I937" s="18">
        <v>936</v>
      </c>
      <c r="J937" s="18">
        <v>936</v>
      </c>
      <c r="K937" s="18" t="s">
        <v>32</v>
      </c>
      <c r="L937" s="18" t="s">
        <v>6198</v>
      </c>
      <c r="M937" s="18" t="s">
        <v>6199</v>
      </c>
      <c r="N937" s="18" t="s">
        <v>117</v>
      </c>
      <c r="O937" s="18" t="s">
        <v>380</v>
      </c>
      <c r="P937" s="18" t="s">
        <v>1210</v>
      </c>
      <c r="Q937" s="22">
        <f t="shared" si="44"/>
        <v>4610000000</v>
      </c>
      <c r="R937" s="18">
        <v>516.16</v>
      </c>
      <c r="S937" s="19">
        <v>-1.95</v>
      </c>
      <c r="T937" s="18">
        <v>87044033</v>
      </c>
      <c r="U937" s="20">
        <v>44452</v>
      </c>
      <c r="V937" s="18" t="str">
        <f t="shared" si="42"/>
        <v>Complete</v>
      </c>
    </row>
    <row r="938" spans="1:22" ht="14.5" customHeight="1" x14ac:dyDescent="0.35">
      <c r="A938" s="15" t="s">
        <v>7960</v>
      </c>
      <c r="B938" s="15" t="s">
        <v>7285</v>
      </c>
      <c r="C938" s="15" t="s">
        <v>6200</v>
      </c>
      <c r="D938" s="15" t="s">
        <v>6201</v>
      </c>
      <c r="E938" s="15" t="s">
        <v>2</v>
      </c>
      <c r="F938" s="15" t="str">
        <f t="shared" si="43"/>
        <v>Female</v>
      </c>
      <c r="G938" s="15" t="s">
        <v>6202</v>
      </c>
      <c r="H938" s="15" t="s">
        <v>6203</v>
      </c>
      <c r="I938" s="15">
        <v>937</v>
      </c>
      <c r="J938" s="15">
        <v>937</v>
      </c>
      <c r="K938" s="15" t="s">
        <v>5</v>
      </c>
      <c r="L938" s="15" t="s">
        <v>6204</v>
      </c>
      <c r="M938" s="15" t="s">
        <v>6205</v>
      </c>
      <c r="N938" s="15" t="s">
        <v>48</v>
      </c>
      <c r="O938" s="15" t="s">
        <v>364</v>
      </c>
      <c r="P938" s="15" t="s">
        <v>6206</v>
      </c>
      <c r="Q938" s="22">
        <f t="shared" si="44"/>
        <v>289760000</v>
      </c>
      <c r="R938" s="15">
        <v>948.62</v>
      </c>
      <c r="S938" s="16">
        <v>-6.24</v>
      </c>
      <c r="T938" s="15">
        <v>157427023</v>
      </c>
      <c r="U938" s="17">
        <v>44008</v>
      </c>
      <c r="V938" s="15" t="str">
        <f t="shared" si="42"/>
        <v>Complete</v>
      </c>
    </row>
    <row r="939" spans="1:22" ht="14.5" customHeight="1" x14ac:dyDescent="0.35">
      <c r="A939" s="18" t="s">
        <v>7961</v>
      </c>
      <c r="B939" s="18" t="s">
        <v>6900</v>
      </c>
      <c r="C939" s="18" t="s">
        <v>6207</v>
      </c>
      <c r="D939" s="18" t="s">
        <v>6208</v>
      </c>
      <c r="E939" s="18" t="s">
        <v>2</v>
      </c>
      <c r="F939" s="15" t="str">
        <f t="shared" si="43"/>
        <v>Female</v>
      </c>
      <c r="G939" s="18" t="s">
        <v>6209</v>
      </c>
      <c r="H939" s="18" t="s">
        <v>6210</v>
      </c>
      <c r="I939" s="18">
        <v>938</v>
      </c>
      <c r="J939" s="18">
        <v>938</v>
      </c>
      <c r="K939" s="18" t="s">
        <v>5</v>
      </c>
      <c r="L939" s="18" t="s">
        <v>6211</v>
      </c>
      <c r="M939" s="18" t="s">
        <v>6212</v>
      </c>
      <c r="N939" s="18" t="s">
        <v>66</v>
      </c>
      <c r="O939" s="18" t="s">
        <v>181</v>
      </c>
      <c r="P939" s="18" t="s">
        <v>6213</v>
      </c>
      <c r="Q939" s="22">
        <f t="shared" si="44"/>
        <v>10690000</v>
      </c>
      <c r="R939" s="18">
        <v>1068.94</v>
      </c>
      <c r="S939" s="19">
        <v>-18.190000000000001</v>
      </c>
      <c r="T939" s="18">
        <v>82395722</v>
      </c>
      <c r="U939" s="20">
        <v>46274</v>
      </c>
      <c r="V939" s="18" t="str">
        <f t="shared" si="42"/>
        <v>Complete</v>
      </c>
    </row>
    <row r="940" spans="1:22" ht="14.5" customHeight="1" x14ac:dyDescent="0.35">
      <c r="A940" s="15" t="s">
        <v>7962</v>
      </c>
      <c r="B940" s="15" t="s">
        <v>6649</v>
      </c>
      <c r="C940" s="15" t="s">
        <v>6214</v>
      </c>
      <c r="D940" s="15" t="s">
        <v>6215</v>
      </c>
      <c r="E940" s="15" t="s">
        <v>2</v>
      </c>
      <c r="F940" s="15" t="str">
        <f t="shared" si="43"/>
        <v>Female</v>
      </c>
      <c r="G940" s="15" t="s">
        <v>6216</v>
      </c>
      <c r="H940" s="15" t="s">
        <v>6217</v>
      </c>
      <c r="I940" s="15">
        <v>939</v>
      </c>
      <c r="J940" s="15">
        <v>939</v>
      </c>
      <c r="K940" s="15" t="s">
        <v>5</v>
      </c>
      <c r="L940" s="15" t="s">
        <v>6218</v>
      </c>
      <c r="M940" s="15" t="s">
        <v>6219</v>
      </c>
      <c r="N940" s="15" t="s">
        <v>8033</v>
      </c>
      <c r="O940" s="15" t="s">
        <v>8033</v>
      </c>
      <c r="P940" s="15" t="s">
        <v>6220</v>
      </c>
      <c r="Q940" s="22">
        <f t="shared" si="44"/>
        <v>195630000</v>
      </c>
      <c r="R940" s="15">
        <v>1534.67</v>
      </c>
      <c r="S940" s="16">
        <v>15.85</v>
      </c>
      <c r="T940" s="15">
        <v>164473052</v>
      </c>
      <c r="U940" s="17">
        <v>44301</v>
      </c>
      <c r="V940" s="15" t="str">
        <f t="shared" si="42"/>
        <v>Missing</v>
      </c>
    </row>
    <row r="941" spans="1:22" ht="14.5" customHeight="1" x14ac:dyDescent="0.35">
      <c r="A941" s="18" t="s">
        <v>7963</v>
      </c>
      <c r="B941" s="18" t="s">
        <v>7422</v>
      </c>
      <c r="C941" s="18" t="s">
        <v>6221</v>
      </c>
      <c r="D941" s="18" t="s">
        <v>6222</v>
      </c>
      <c r="E941" s="18" t="s">
        <v>2</v>
      </c>
      <c r="F941" s="15" t="str">
        <f t="shared" si="43"/>
        <v>Female</v>
      </c>
      <c r="G941" s="18" t="s">
        <v>6223</v>
      </c>
      <c r="H941" s="18" t="s">
        <v>6224</v>
      </c>
      <c r="I941" s="18">
        <v>940</v>
      </c>
      <c r="J941" s="18">
        <v>940</v>
      </c>
      <c r="K941" s="18" t="s">
        <v>32</v>
      </c>
      <c r="L941" s="18" t="s">
        <v>6225</v>
      </c>
      <c r="M941" s="18" t="s">
        <v>6226</v>
      </c>
      <c r="N941" s="18" t="s">
        <v>99</v>
      </c>
      <c r="O941" s="18" t="s">
        <v>100</v>
      </c>
      <c r="P941" s="18" t="s">
        <v>4352</v>
      </c>
      <c r="Q941" s="22">
        <f t="shared" si="44"/>
        <v>7240000000</v>
      </c>
      <c r="R941" s="18">
        <v>1434.01</v>
      </c>
      <c r="S941" s="19">
        <v>5.28</v>
      </c>
      <c r="T941" s="18">
        <v>71162794</v>
      </c>
      <c r="U941" s="20">
        <v>44932</v>
      </c>
      <c r="V941" s="18" t="str">
        <f t="shared" si="42"/>
        <v>Complete</v>
      </c>
    </row>
    <row r="942" spans="1:22" ht="14.5" customHeight="1" x14ac:dyDescent="0.35">
      <c r="A942" s="15" t="s">
        <v>7964</v>
      </c>
      <c r="B942" s="15" t="s">
        <v>7965</v>
      </c>
      <c r="C942" s="15" t="s">
        <v>5622</v>
      </c>
      <c r="D942" s="15" t="s">
        <v>6227</v>
      </c>
      <c r="E942" s="15" t="s">
        <v>2</v>
      </c>
      <c r="F942" s="15" t="str">
        <f t="shared" si="43"/>
        <v>Female</v>
      </c>
      <c r="G942" s="15" t="s">
        <v>6228</v>
      </c>
      <c r="H942" s="15" t="s">
        <v>6229</v>
      </c>
      <c r="I942" s="15">
        <v>941</v>
      </c>
      <c r="J942" s="15">
        <v>941</v>
      </c>
      <c r="K942" s="15" t="s">
        <v>32</v>
      </c>
      <c r="L942" s="15" t="s">
        <v>6230</v>
      </c>
      <c r="M942" s="15" t="s">
        <v>2382</v>
      </c>
      <c r="N942" s="15" t="s">
        <v>8033</v>
      </c>
      <c r="O942" s="15" t="s">
        <v>8033</v>
      </c>
      <c r="P942" s="15" t="s">
        <v>8033</v>
      </c>
      <c r="Q942" s="22">
        <f t="shared" si="44"/>
        <v>0</v>
      </c>
      <c r="R942" s="15">
        <v>1211.3699999999999</v>
      </c>
      <c r="S942" s="16">
        <v>6.85</v>
      </c>
      <c r="T942" s="15">
        <v>14165958</v>
      </c>
      <c r="U942" s="17">
        <v>44055</v>
      </c>
      <c r="V942" s="15" t="str">
        <f t="shared" si="42"/>
        <v>Missing</v>
      </c>
    </row>
    <row r="943" spans="1:22" ht="14.5" customHeight="1" x14ac:dyDescent="0.35">
      <c r="A943" s="18" t="s">
        <v>7966</v>
      </c>
      <c r="B943" s="18" t="s">
        <v>6741</v>
      </c>
      <c r="C943" s="18" t="s">
        <v>6231</v>
      </c>
      <c r="D943" s="18" t="s">
        <v>6232</v>
      </c>
      <c r="E943" s="18" t="s">
        <v>13</v>
      </c>
      <c r="F943" s="15" t="str">
        <f t="shared" si="43"/>
        <v>Male</v>
      </c>
      <c r="G943" s="18" t="s">
        <v>6233</v>
      </c>
      <c r="H943" s="18" t="s">
        <v>6234</v>
      </c>
      <c r="I943" s="18">
        <v>942</v>
      </c>
      <c r="J943" s="18">
        <v>942</v>
      </c>
      <c r="K943" s="18" t="s">
        <v>32</v>
      </c>
      <c r="L943" s="18" t="s">
        <v>6235</v>
      </c>
      <c r="M943" s="18" t="s">
        <v>2022</v>
      </c>
      <c r="N943" s="18" t="s">
        <v>8033</v>
      </c>
      <c r="O943" s="18" t="s">
        <v>8033</v>
      </c>
      <c r="P943" s="18" t="s">
        <v>6236</v>
      </c>
      <c r="Q943" s="22">
        <f t="shared" si="44"/>
        <v>842050000</v>
      </c>
      <c r="R943" s="18">
        <v>1359.01</v>
      </c>
      <c r="S943" s="19">
        <v>17.2</v>
      </c>
      <c r="T943" s="18">
        <v>154402178</v>
      </c>
      <c r="U943" s="20">
        <v>45385</v>
      </c>
      <c r="V943" s="18" t="str">
        <f t="shared" si="42"/>
        <v>Missing</v>
      </c>
    </row>
    <row r="944" spans="1:22" ht="14.5" customHeight="1" x14ac:dyDescent="0.35">
      <c r="A944" s="15" t="s">
        <v>7967</v>
      </c>
      <c r="B944" s="15" t="s">
        <v>6698</v>
      </c>
      <c r="C944" s="15" t="s">
        <v>1985</v>
      </c>
      <c r="D944" s="15" t="s">
        <v>6237</v>
      </c>
      <c r="E944" s="15" t="s">
        <v>2</v>
      </c>
      <c r="F944" s="15" t="str">
        <f t="shared" si="43"/>
        <v>Female</v>
      </c>
      <c r="G944" s="15" t="s">
        <v>6238</v>
      </c>
      <c r="H944" s="15" t="s">
        <v>6239</v>
      </c>
      <c r="I944" s="15">
        <v>943</v>
      </c>
      <c r="J944" s="15">
        <v>943</v>
      </c>
      <c r="K944" s="15" t="s">
        <v>32</v>
      </c>
      <c r="L944" s="15" t="s">
        <v>6240</v>
      </c>
      <c r="M944" s="15" t="s">
        <v>6241</v>
      </c>
      <c r="N944" s="15" t="s">
        <v>134</v>
      </c>
      <c r="O944" s="15" t="s">
        <v>1138</v>
      </c>
      <c r="P944" s="15" t="s">
        <v>6242</v>
      </c>
      <c r="Q944" s="22">
        <f t="shared" si="44"/>
        <v>34340000000.000004</v>
      </c>
      <c r="R944" s="15">
        <v>582.79</v>
      </c>
      <c r="S944" s="16">
        <v>13.15</v>
      </c>
      <c r="T944" s="15">
        <v>52183996</v>
      </c>
      <c r="U944" s="17">
        <v>44438</v>
      </c>
      <c r="V944" s="15" t="str">
        <f t="shared" si="42"/>
        <v>Complete</v>
      </c>
    </row>
    <row r="945" spans="1:22" ht="14.5" customHeight="1" x14ac:dyDescent="0.35">
      <c r="A945" s="18" t="s">
        <v>7968</v>
      </c>
      <c r="B945" s="18" t="s">
        <v>7597</v>
      </c>
      <c r="C945" s="18" t="s">
        <v>6243</v>
      </c>
      <c r="D945" s="18" t="s">
        <v>6244</v>
      </c>
      <c r="E945" s="18" t="s">
        <v>13</v>
      </c>
      <c r="F945" s="15" t="str">
        <f t="shared" si="43"/>
        <v>Male</v>
      </c>
      <c r="G945" s="18" t="s">
        <v>6245</v>
      </c>
      <c r="H945" s="18" t="s">
        <v>6246</v>
      </c>
      <c r="I945" s="18">
        <v>944</v>
      </c>
      <c r="J945" s="18">
        <v>944</v>
      </c>
      <c r="K945" s="18" t="s">
        <v>5</v>
      </c>
      <c r="L945" s="18" t="s">
        <v>6247</v>
      </c>
      <c r="M945" s="18" t="s">
        <v>1887</v>
      </c>
      <c r="N945" s="18" t="s">
        <v>99</v>
      </c>
      <c r="O945" s="18" t="s">
        <v>100</v>
      </c>
      <c r="P945" s="18" t="s">
        <v>5668</v>
      </c>
      <c r="Q945" s="22">
        <f t="shared" si="44"/>
        <v>1550000000</v>
      </c>
      <c r="R945" s="18">
        <v>1680.46</v>
      </c>
      <c r="S945" s="19">
        <v>-7.9</v>
      </c>
      <c r="T945" s="18">
        <v>77940686</v>
      </c>
      <c r="U945" s="20">
        <v>45835</v>
      </c>
      <c r="V945" s="18" t="str">
        <f t="shared" si="42"/>
        <v>Complete</v>
      </c>
    </row>
    <row r="946" spans="1:22" ht="14.5" customHeight="1" x14ac:dyDescent="0.35">
      <c r="A946" s="15" t="s">
        <v>7969</v>
      </c>
      <c r="B946" s="15" t="s">
        <v>6743</v>
      </c>
      <c r="C946" s="15" t="s">
        <v>6248</v>
      </c>
      <c r="D946" s="15" t="s">
        <v>6249</v>
      </c>
      <c r="E946" s="15" t="s">
        <v>208</v>
      </c>
      <c r="F946" s="15" t="str">
        <f t="shared" si="43"/>
        <v>Other</v>
      </c>
      <c r="G946" s="15" t="s">
        <v>6250</v>
      </c>
      <c r="H946" s="15" t="s">
        <v>6251</v>
      </c>
      <c r="I946" s="15">
        <v>945</v>
      </c>
      <c r="J946" s="15">
        <v>945</v>
      </c>
      <c r="K946" s="15" t="s">
        <v>32</v>
      </c>
      <c r="L946" s="15" t="s">
        <v>4456</v>
      </c>
      <c r="M946" s="15" t="s">
        <v>4457</v>
      </c>
      <c r="N946" s="15" t="s">
        <v>99</v>
      </c>
      <c r="O946" s="15" t="s">
        <v>308</v>
      </c>
      <c r="P946" s="15" t="s">
        <v>4458</v>
      </c>
      <c r="Q946" s="22">
        <f t="shared" si="44"/>
        <v>251610000</v>
      </c>
      <c r="R946" s="15">
        <v>1437.08</v>
      </c>
      <c r="S946" s="16">
        <v>-15.5</v>
      </c>
      <c r="T946" s="15">
        <v>98415170</v>
      </c>
      <c r="U946" s="17">
        <v>46191</v>
      </c>
      <c r="V946" s="15" t="str">
        <f t="shared" si="42"/>
        <v>Complete</v>
      </c>
    </row>
    <row r="947" spans="1:22" ht="14.5" customHeight="1" x14ac:dyDescent="0.35">
      <c r="A947" s="18" t="s">
        <v>7970</v>
      </c>
      <c r="B947" s="18" t="s">
        <v>6815</v>
      </c>
      <c r="C947" s="18" t="s">
        <v>6252</v>
      </c>
      <c r="D947" s="18" t="s">
        <v>6253</v>
      </c>
      <c r="E947" s="18" t="s">
        <v>2</v>
      </c>
      <c r="F947" s="15" t="str">
        <f t="shared" si="43"/>
        <v>Female</v>
      </c>
      <c r="G947" s="18" t="s">
        <v>6254</v>
      </c>
      <c r="H947" s="18" t="s">
        <v>6255</v>
      </c>
      <c r="I947" s="18">
        <v>946</v>
      </c>
      <c r="J947" s="18">
        <v>946</v>
      </c>
      <c r="K947" s="18" t="s">
        <v>5</v>
      </c>
      <c r="L947" s="18" t="s">
        <v>6256</v>
      </c>
      <c r="M947" s="18" t="s">
        <v>6257</v>
      </c>
      <c r="N947" s="18" t="s">
        <v>66</v>
      </c>
      <c r="O947" s="18" t="s">
        <v>422</v>
      </c>
      <c r="P947" s="18" t="s">
        <v>6258</v>
      </c>
      <c r="Q947" s="22">
        <f t="shared" si="44"/>
        <v>4480000000</v>
      </c>
      <c r="R947" s="18">
        <v>1003.71</v>
      </c>
      <c r="S947" s="19">
        <v>12.91</v>
      </c>
      <c r="T947" s="18">
        <v>24060000</v>
      </c>
      <c r="U947" s="20">
        <v>45331</v>
      </c>
      <c r="V947" s="18" t="str">
        <f t="shared" si="42"/>
        <v>Complete</v>
      </c>
    </row>
    <row r="948" spans="1:22" ht="14.5" customHeight="1" x14ac:dyDescent="0.35">
      <c r="A948" s="15" t="s">
        <v>7971</v>
      </c>
      <c r="B948" s="15" t="s">
        <v>7254</v>
      </c>
      <c r="C948" s="15" t="s">
        <v>6259</v>
      </c>
      <c r="D948" s="15" t="s">
        <v>6260</v>
      </c>
      <c r="E948" s="15" t="s">
        <v>2</v>
      </c>
      <c r="F948" s="15" t="str">
        <f t="shared" si="43"/>
        <v>Female</v>
      </c>
      <c r="G948" s="15" t="s">
        <v>6261</v>
      </c>
      <c r="H948" s="15" t="s">
        <v>6262</v>
      </c>
      <c r="I948" s="15">
        <v>947</v>
      </c>
      <c r="J948" s="15">
        <v>947</v>
      </c>
      <c r="K948" s="15" t="s">
        <v>5</v>
      </c>
      <c r="L948" s="15" t="s">
        <v>6263</v>
      </c>
      <c r="M948" s="15" t="s">
        <v>6264</v>
      </c>
      <c r="N948" s="15" t="s">
        <v>134</v>
      </c>
      <c r="O948" s="15" t="s">
        <v>173</v>
      </c>
      <c r="P948" s="15" t="s">
        <v>6265</v>
      </c>
      <c r="Q948" s="22">
        <f t="shared" si="44"/>
        <v>16820000</v>
      </c>
      <c r="R948" s="15">
        <v>1385.5</v>
      </c>
      <c r="S948" s="16">
        <v>-12.37</v>
      </c>
      <c r="T948" s="15">
        <v>12596015</v>
      </c>
      <c r="U948" s="17">
        <v>45458</v>
      </c>
      <c r="V948" s="15" t="str">
        <f t="shared" si="42"/>
        <v>Complete</v>
      </c>
    </row>
    <row r="949" spans="1:22" ht="14.5" customHeight="1" x14ac:dyDescent="0.35">
      <c r="A949" s="18" t="s">
        <v>7972</v>
      </c>
      <c r="B949" s="18" t="s">
        <v>7317</v>
      </c>
      <c r="C949" s="18" t="s">
        <v>6266</v>
      </c>
      <c r="D949" s="18" t="s">
        <v>6267</v>
      </c>
      <c r="E949" s="18" t="s">
        <v>13</v>
      </c>
      <c r="F949" s="15" t="str">
        <f t="shared" si="43"/>
        <v>Male</v>
      </c>
      <c r="G949" s="18" t="s">
        <v>6268</v>
      </c>
      <c r="H949" s="18" t="s">
        <v>6269</v>
      </c>
      <c r="I949" s="18">
        <v>948</v>
      </c>
      <c r="J949" s="18">
        <v>948</v>
      </c>
      <c r="K949" s="18" t="s">
        <v>5</v>
      </c>
      <c r="L949" s="18" t="s">
        <v>6270</v>
      </c>
      <c r="M949" s="18" t="s">
        <v>6271</v>
      </c>
      <c r="N949" s="18" t="s">
        <v>8033</v>
      </c>
      <c r="O949" s="18" t="s">
        <v>8033</v>
      </c>
      <c r="P949" s="18" t="s">
        <v>6272</v>
      </c>
      <c r="Q949" s="22">
        <f t="shared" si="44"/>
        <v>8670000</v>
      </c>
      <c r="R949" s="18">
        <v>1123.1600000000001</v>
      </c>
      <c r="S949" s="19">
        <v>16.23</v>
      </c>
      <c r="T949" s="18">
        <v>31622491</v>
      </c>
      <c r="U949" s="20">
        <v>44639</v>
      </c>
      <c r="V949" s="18" t="str">
        <f t="shared" si="42"/>
        <v>Missing</v>
      </c>
    </row>
    <row r="950" spans="1:22" ht="14.5" customHeight="1" x14ac:dyDescent="0.35">
      <c r="A950" s="15" t="s">
        <v>7973</v>
      </c>
      <c r="B950" s="15" t="s">
        <v>6843</v>
      </c>
      <c r="C950" s="15" t="s">
        <v>6273</v>
      </c>
      <c r="D950" s="15" t="s">
        <v>6167</v>
      </c>
      <c r="E950" s="15" t="s">
        <v>2</v>
      </c>
      <c r="F950" s="15" t="str">
        <f t="shared" si="43"/>
        <v>Female</v>
      </c>
      <c r="G950" s="15" t="s">
        <v>6274</v>
      </c>
      <c r="H950" s="15" t="s">
        <v>6275</v>
      </c>
      <c r="I950" s="15">
        <v>949</v>
      </c>
      <c r="J950" s="15">
        <v>949</v>
      </c>
      <c r="K950" s="15" t="s">
        <v>32</v>
      </c>
      <c r="L950" s="15" t="s">
        <v>6276</v>
      </c>
      <c r="M950" s="15" t="s">
        <v>1290</v>
      </c>
      <c r="N950" s="15" t="s">
        <v>1291</v>
      </c>
      <c r="O950" s="15" t="s">
        <v>151</v>
      </c>
      <c r="P950" s="15" t="s">
        <v>8033</v>
      </c>
      <c r="Q950" s="22">
        <f t="shared" si="44"/>
        <v>0</v>
      </c>
      <c r="R950" s="15">
        <v>1672.04</v>
      </c>
      <c r="S950" s="16">
        <v>10.210000000000001</v>
      </c>
      <c r="T950" s="15">
        <v>143622960</v>
      </c>
      <c r="U950" s="17">
        <v>44731</v>
      </c>
      <c r="V950" s="15" t="str">
        <f t="shared" si="42"/>
        <v>Missing</v>
      </c>
    </row>
    <row r="951" spans="1:22" ht="14.5" customHeight="1" x14ac:dyDescent="0.35">
      <c r="A951" s="18" t="s">
        <v>7974</v>
      </c>
      <c r="B951" s="18" t="s">
        <v>7975</v>
      </c>
      <c r="C951" s="18" t="s">
        <v>2606</v>
      </c>
      <c r="D951" s="18" t="s">
        <v>6277</v>
      </c>
      <c r="E951" s="18" t="s">
        <v>2</v>
      </c>
      <c r="F951" s="15" t="str">
        <f t="shared" si="43"/>
        <v>Female</v>
      </c>
      <c r="G951" s="18" t="s">
        <v>6278</v>
      </c>
      <c r="H951" s="18" t="s">
        <v>6279</v>
      </c>
      <c r="I951" s="18">
        <v>950</v>
      </c>
      <c r="J951" s="18">
        <v>950</v>
      </c>
      <c r="K951" s="18" t="s">
        <v>5</v>
      </c>
      <c r="L951" s="18" t="s">
        <v>6280</v>
      </c>
      <c r="M951" s="18" t="s">
        <v>6281</v>
      </c>
      <c r="N951" s="18" t="s">
        <v>48</v>
      </c>
      <c r="O951" s="18" t="s">
        <v>49</v>
      </c>
      <c r="P951" s="18" t="s">
        <v>8033</v>
      </c>
      <c r="Q951" s="22">
        <f t="shared" si="44"/>
        <v>0</v>
      </c>
      <c r="R951" s="18">
        <v>312.45</v>
      </c>
      <c r="S951" s="19">
        <v>-8.7899999999999991</v>
      </c>
      <c r="T951" s="18">
        <v>155346391</v>
      </c>
      <c r="U951" s="20">
        <v>45775</v>
      </c>
      <c r="V951" s="18" t="str">
        <f t="shared" si="42"/>
        <v>Missing</v>
      </c>
    </row>
    <row r="952" spans="1:22" ht="14.5" customHeight="1" x14ac:dyDescent="0.35">
      <c r="A952" s="15" t="s">
        <v>7976</v>
      </c>
      <c r="B952" s="15" t="s">
        <v>7838</v>
      </c>
      <c r="C952" s="15" t="s">
        <v>6282</v>
      </c>
      <c r="D952" s="15" t="s">
        <v>6283</v>
      </c>
      <c r="E952" s="15" t="s">
        <v>2</v>
      </c>
      <c r="F952" s="15" t="str">
        <f t="shared" si="43"/>
        <v>Female</v>
      </c>
      <c r="G952" s="15" t="s">
        <v>6284</v>
      </c>
      <c r="H952" s="15" t="s">
        <v>6285</v>
      </c>
      <c r="I952" s="15">
        <v>951</v>
      </c>
      <c r="J952" s="15">
        <v>951</v>
      </c>
      <c r="K952" s="15" t="s">
        <v>5</v>
      </c>
      <c r="L952" s="15" t="s">
        <v>6286</v>
      </c>
      <c r="M952" s="15" t="s">
        <v>6287</v>
      </c>
      <c r="N952" s="15" t="s">
        <v>66</v>
      </c>
      <c r="O952" s="15" t="s">
        <v>1068</v>
      </c>
      <c r="P952" s="15" t="s">
        <v>6288</v>
      </c>
      <c r="Q952" s="22">
        <f t="shared" si="44"/>
        <v>3890000000</v>
      </c>
      <c r="R952" s="15">
        <v>1491.36</v>
      </c>
      <c r="S952" s="16">
        <v>16.22</v>
      </c>
      <c r="T952" s="15">
        <v>77993169</v>
      </c>
      <c r="U952" s="17">
        <v>44423</v>
      </c>
      <c r="V952" s="15" t="str">
        <f t="shared" si="42"/>
        <v>Complete</v>
      </c>
    </row>
    <row r="953" spans="1:22" ht="14.5" customHeight="1" x14ac:dyDescent="0.35">
      <c r="A953" s="18" t="s">
        <v>7977</v>
      </c>
      <c r="B953" s="18" t="s">
        <v>7048</v>
      </c>
      <c r="C953" s="18" t="s">
        <v>6289</v>
      </c>
      <c r="D953" s="18" t="s">
        <v>6290</v>
      </c>
      <c r="E953" s="18" t="s">
        <v>1407</v>
      </c>
      <c r="F953" s="15" t="str">
        <f t="shared" si="43"/>
        <v>Other</v>
      </c>
      <c r="G953" s="18" t="s">
        <v>6291</v>
      </c>
      <c r="H953" s="18" t="s">
        <v>6292</v>
      </c>
      <c r="I953" s="18">
        <v>952</v>
      </c>
      <c r="J953" s="18">
        <v>952</v>
      </c>
      <c r="K953" s="18" t="s">
        <v>32</v>
      </c>
      <c r="L953" s="18" t="s">
        <v>6293</v>
      </c>
      <c r="M953" s="18" t="s">
        <v>6294</v>
      </c>
      <c r="N953" s="18" t="s">
        <v>8</v>
      </c>
      <c r="O953" s="18" t="s">
        <v>9</v>
      </c>
      <c r="P953" s="18" t="s">
        <v>6295</v>
      </c>
      <c r="Q953" s="22">
        <f t="shared" si="44"/>
        <v>4570000000</v>
      </c>
      <c r="R953" s="18">
        <v>694.32</v>
      </c>
      <c r="S953" s="19">
        <v>6.31</v>
      </c>
      <c r="T953" s="18">
        <v>146839809</v>
      </c>
      <c r="U953" s="20">
        <v>46219</v>
      </c>
      <c r="V953" s="18" t="str">
        <f t="shared" si="42"/>
        <v>Complete</v>
      </c>
    </row>
    <row r="954" spans="1:22" ht="14.5" customHeight="1" x14ac:dyDescent="0.35">
      <c r="A954" s="15" t="s">
        <v>7978</v>
      </c>
      <c r="B954" s="15" t="s">
        <v>7616</v>
      </c>
      <c r="C954" s="15" t="s">
        <v>6296</v>
      </c>
      <c r="D954" s="15" t="s">
        <v>6297</v>
      </c>
      <c r="E954" s="15" t="s">
        <v>13</v>
      </c>
      <c r="F954" s="15" t="str">
        <f t="shared" si="43"/>
        <v>Male</v>
      </c>
      <c r="G954" s="15" t="s">
        <v>6298</v>
      </c>
      <c r="H954" s="15" t="s">
        <v>6299</v>
      </c>
      <c r="I954" s="15">
        <v>953</v>
      </c>
      <c r="J954" s="15">
        <v>953</v>
      </c>
      <c r="K954" s="15" t="s">
        <v>32</v>
      </c>
      <c r="L954" s="15" t="s">
        <v>6300</v>
      </c>
      <c r="M954" s="15" t="s">
        <v>6301</v>
      </c>
      <c r="N954" s="15" t="s">
        <v>8033</v>
      </c>
      <c r="O954" s="15" t="s">
        <v>8033</v>
      </c>
      <c r="P954" s="15" t="s">
        <v>6302</v>
      </c>
      <c r="Q954" s="22">
        <f t="shared" si="44"/>
        <v>308220000</v>
      </c>
      <c r="R954" s="15">
        <v>420.45</v>
      </c>
      <c r="S954" s="16">
        <v>-1.68</v>
      </c>
      <c r="T954" s="15">
        <v>12155933</v>
      </c>
      <c r="U954" s="17">
        <v>45685</v>
      </c>
      <c r="V954" s="15" t="str">
        <f t="shared" si="42"/>
        <v>Missing</v>
      </c>
    </row>
    <row r="955" spans="1:22" ht="14.5" customHeight="1" x14ac:dyDescent="0.35">
      <c r="A955" s="18" t="s">
        <v>7979</v>
      </c>
      <c r="B955" s="18" t="s">
        <v>6727</v>
      </c>
      <c r="C955" s="18" t="s">
        <v>6303</v>
      </c>
      <c r="D955" s="18" t="s">
        <v>6304</v>
      </c>
      <c r="E955" s="18" t="s">
        <v>208</v>
      </c>
      <c r="F955" s="15" t="str">
        <f t="shared" si="43"/>
        <v>Other</v>
      </c>
      <c r="G955" s="18" t="s">
        <v>6305</v>
      </c>
      <c r="H955" s="18" t="s">
        <v>6306</v>
      </c>
      <c r="I955" s="18">
        <v>954</v>
      </c>
      <c r="J955" s="18">
        <v>954</v>
      </c>
      <c r="K955" s="18" t="s">
        <v>5</v>
      </c>
      <c r="L955" s="18" t="s">
        <v>6307</v>
      </c>
      <c r="M955" s="18" t="s">
        <v>6308</v>
      </c>
      <c r="N955" s="18" t="s">
        <v>48</v>
      </c>
      <c r="O955" s="18" t="s">
        <v>49</v>
      </c>
      <c r="P955" s="18" t="s">
        <v>6309</v>
      </c>
      <c r="Q955" s="22">
        <f t="shared" si="44"/>
        <v>375340000</v>
      </c>
      <c r="R955" s="18">
        <v>1658.56</v>
      </c>
      <c r="S955" s="19">
        <v>-7.96</v>
      </c>
      <c r="T955" s="18">
        <v>23038682</v>
      </c>
      <c r="U955" s="20">
        <v>44688</v>
      </c>
      <c r="V955" s="18" t="str">
        <f t="shared" si="42"/>
        <v>Complete</v>
      </c>
    </row>
    <row r="956" spans="1:22" ht="14.5" customHeight="1" x14ac:dyDescent="0.35">
      <c r="A956" s="15" t="s">
        <v>7980</v>
      </c>
      <c r="B956" s="15" t="s">
        <v>6978</v>
      </c>
      <c r="C956" s="15" t="s">
        <v>6310</v>
      </c>
      <c r="D956" s="15" t="s">
        <v>6311</v>
      </c>
      <c r="E956" s="15" t="s">
        <v>2</v>
      </c>
      <c r="F956" s="15" t="str">
        <f t="shared" si="43"/>
        <v>Female</v>
      </c>
      <c r="G956" s="15" t="s">
        <v>6312</v>
      </c>
      <c r="H956" s="15" t="s">
        <v>6313</v>
      </c>
      <c r="I956" s="15">
        <v>955</v>
      </c>
      <c r="J956" s="15">
        <v>955</v>
      </c>
      <c r="K956" s="15" t="s">
        <v>5</v>
      </c>
      <c r="L956" s="15" t="s">
        <v>314</v>
      </c>
      <c r="M956" s="15" t="s">
        <v>315</v>
      </c>
      <c r="N956" s="15" t="s">
        <v>66</v>
      </c>
      <c r="O956" s="15" t="s">
        <v>293</v>
      </c>
      <c r="P956" s="15" t="s">
        <v>316</v>
      </c>
      <c r="Q956" s="22">
        <f t="shared" si="44"/>
        <v>1070000000.0000001</v>
      </c>
      <c r="R956" s="15">
        <v>1296.06</v>
      </c>
      <c r="S956" s="16">
        <v>-10.64</v>
      </c>
      <c r="T956" s="15">
        <v>115558811</v>
      </c>
      <c r="U956" s="17">
        <v>46355</v>
      </c>
      <c r="V956" s="15" t="str">
        <f t="shared" si="42"/>
        <v>Complete</v>
      </c>
    </row>
    <row r="957" spans="1:22" ht="14.5" customHeight="1" x14ac:dyDescent="0.35">
      <c r="A957" s="18" t="s">
        <v>7981</v>
      </c>
      <c r="B957" s="18" t="s">
        <v>7625</v>
      </c>
      <c r="C957" s="18" t="s">
        <v>6314</v>
      </c>
      <c r="D957" s="18" t="s">
        <v>6315</v>
      </c>
      <c r="E957" s="18" t="s">
        <v>13</v>
      </c>
      <c r="F957" s="15" t="str">
        <f t="shared" si="43"/>
        <v>Male</v>
      </c>
      <c r="G957" s="18" t="s">
        <v>6316</v>
      </c>
      <c r="H957" s="18" t="s">
        <v>6317</v>
      </c>
      <c r="I957" s="18">
        <v>956</v>
      </c>
      <c r="J957" s="18">
        <v>956</v>
      </c>
      <c r="K957" s="18" t="s">
        <v>5</v>
      </c>
      <c r="L957" s="18" t="s">
        <v>6318</v>
      </c>
      <c r="M957" s="18" t="s">
        <v>6319</v>
      </c>
      <c r="N957" s="18" t="s">
        <v>8033</v>
      </c>
      <c r="O957" s="18" t="s">
        <v>8033</v>
      </c>
      <c r="P957" s="18" t="s">
        <v>8033</v>
      </c>
      <c r="Q957" s="22">
        <f t="shared" si="44"/>
        <v>0</v>
      </c>
      <c r="R957" s="18">
        <v>50.59</v>
      </c>
      <c r="S957" s="19">
        <v>19.399999999999999</v>
      </c>
      <c r="T957" s="18">
        <v>139727870</v>
      </c>
      <c r="U957" s="20">
        <v>46127</v>
      </c>
      <c r="V957" s="18" t="str">
        <f t="shared" si="42"/>
        <v>Missing</v>
      </c>
    </row>
    <row r="958" spans="1:22" ht="14.5" customHeight="1" x14ac:dyDescent="0.35">
      <c r="A958" s="15" t="s">
        <v>7982</v>
      </c>
      <c r="B958" s="15" t="s">
        <v>7168</v>
      </c>
      <c r="C958" s="15" t="s">
        <v>5950</v>
      </c>
      <c r="D958" s="15" t="s">
        <v>6320</v>
      </c>
      <c r="E958" s="15" t="s">
        <v>208</v>
      </c>
      <c r="F958" s="15" t="str">
        <f t="shared" si="43"/>
        <v>Other</v>
      </c>
      <c r="G958" s="15" t="s">
        <v>6321</v>
      </c>
      <c r="H958" s="15" t="s">
        <v>6322</v>
      </c>
      <c r="I958" s="15">
        <v>957</v>
      </c>
      <c r="J958" s="15">
        <v>957</v>
      </c>
      <c r="K958" s="15" t="s">
        <v>5</v>
      </c>
      <c r="L958" s="15" t="s">
        <v>6323</v>
      </c>
      <c r="M958" s="15" t="s">
        <v>6324</v>
      </c>
      <c r="N958" s="15" t="s">
        <v>1291</v>
      </c>
      <c r="O958" s="15" t="s">
        <v>1921</v>
      </c>
      <c r="P958" s="15" t="s">
        <v>4172</v>
      </c>
      <c r="Q958" s="22">
        <f t="shared" si="44"/>
        <v>1310000000</v>
      </c>
      <c r="R958" s="15">
        <v>1537.19</v>
      </c>
      <c r="S958" s="16">
        <v>16.760000000000002</v>
      </c>
      <c r="T958" s="15">
        <v>123305777</v>
      </c>
      <c r="U958" s="17">
        <v>45374</v>
      </c>
      <c r="V958" s="15" t="str">
        <f t="shared" si="42"/>
        <v>Complete</v>
      </c>
    </row>
    <row r="959" spans="1:22" ht="14.5" customHeight="1" x14ac:dyDescent="0.35">
      <c r="A959" s="18" t="s">
        <v>7983</v>
      </c>
      <c r="B959" s="18" t="s">
        <v>6653</v>
      </c>
      <c r="C959" s="18" t="s">
        <v>6325</v>
      </c>
      <c r="D959" s="18" t="s">
        <v>6326</v>
      </c>
      <c r="E959" s="18" t="s">
        <v>2</v>
      </c>
      <c r="F959" s="15" t="str">
        <f t="shared" si="43"/>
        <v>Female</v>
      </c>
      <c r="G959" s="18" t="s">
        <v>6327</v>
      </c>
      <c r="H959" s="18" t="s">
        <v>6328</v>
      </c>
      <c r="I959" s="18">
        <v>958</v>
      </c>
      <c r="J959" s="18">
        <v>958</v>
      </c>
      <c r="K959" s="18" t="s">
        <v>5</v>
      </c>
      <c r="L959" s="18" t="s">
        <v>6329</v>
      </c>
      <c r="M959" s="18" t="s">
        <v>6330</v>
      </c>
      <c r="N959" s="18" t="s">
        <v>8</v>
      </c>
      <c r="O959" s="18" t="s">
        <v>840</v>
      </c>
      <c r="P959" s="18" t="s">
        <v>6331</v>
      </c>
      <c r="Q959" s="22">
        <f t="shared" si="44"/>
        <v>535950000.00000006</v>
      </c>
      <c r="R959" s="18">
        <v>952.59</v>
      </c>
      <c r="S959" s="19">
        <v>-0.12</v>
      </c>
      <c r="T959" s="18">
        <v>185078465</v>
      </c>
      <c r="U959" s="20">
        <v>45527</v>
      </c>
      <c r="V959" s="18" t="str">
        <f t="shared" si="42"/>
        <v>Complete</v>
      </c>
    </row>
    <row r="960" spans="1:22" ht="14.5" customHeight="1" x14ac:dyDescent="0.35">
      <c r="A960" s="15" t="s">
        <v>7984</v>
      </c>
      <c r="B960" s="15" t="s">
        <v>7344</v>
      </c>
      <c r="C960" s="15" t="s">
        <v>6332</v>
      </c>
      <c r="D960" s="15" t="s">
        <v>6333</v>
      </c>
      <c r="E960" s="15" t="s">
        <v>2</v>
      </c>
      <c r="F960" s="15" t="str">
        <f t="shared" si="43"/>
        <v>Female</v>
      </c>
      <c r="G960" s="15" t="s">
        <v>6334</v>
      </c>
      <c r="H960" s="15" t="s">
        <v>6335</v>
      </c>
      <c r="I960" s="15">
        <v>959</v>
      </c>
      <c r="J960" s="15">
        <v>959</v>
      </c>
      <c r="K960" s="15" t="s">
        <v>5</v>
      </c>
      <c r="L960" s="15" t="s">
        <v>6336</v>
      </c>
      <c r="M960" s="15" t="s">
        <v>6337</v>
      </c>
      <c r="N960" s="15" t="s">
        <v>8</v>
      </c>
      <c r="O960" s="15" t="s">
        <v>9</v>
      </c>
      <c r="P960" s="15" t="s">
        <v>6338</v>
      </c>
      <c r="Q960" s="22">
        <f t="shared" si="44"/>
        <v>48500000</v>
      </c>
      <c r="R960" s="15">
        <v>1096.8</v>
      </c>
      <c r="S960" s="16">
        <v>-4.79</v>
      </c>
      <c r="T960" s="15">
        <v>53808146</v>
      </c>
      <c r="U960" s="17">
        <v>45720</v>
      </c>
      <c r="V960" s="15" t="str">
        <f t="shared" si="42"/>
        <v>Complete</v>
      </c>
    </row>
    <row r="961" spans="1:22" ht="14.5" customHeight="1" x14ac:dyDescent="0.35">
      <c r="A961" s="18" t="s">
        <v>7985</v>
      </c>
      <c r="B961" s="18" t="s">
        <v>7012</v>
      </c>
      <c r="C961" s="18" t="s">
        <v>6339</v>
      </c>
      <c r="D961" s="18" t="s">
        <v>6340</v>
      </c>
      <c r="E961" s="18" t="s">
        <v>104</v>
      </c>
      <c r="F961" s="15" t="str">
        <f t="shared" si="43"/>
        <v>Other</v>
      </c>
      <c r="G961" s="18" t="s">
        <v>6341</v>
      </c>
      <c r="H961" s="18" t="s">
        <v>6342</v>
      </c>
      <c r="I961" s="18">
        <v>960</v>
      </c>
      <c r="J961" s="18">
        <v>960</v>
      </c>
      <c r="K961" s="18" t="s">
        <v>32</v>
      </c>
      <c r="L961" s="18" t="s">
        <v>6343</v>
      </c>
      <c r="M961" s="18" t="s">
        <v>6344</v>
      </c>
      <c r="N961" s="18" t="s">
        <v>8033</v>
      </c>
      <c r="O961" s="18" t="s">
        <v>8033</v>
      </c>
      <c r="P961" s="18" t="s">
        <v>6345</v>
      </c>
      <c r="Q961" s="22">
        <f t="shared" si="44"/>
        <v>146290000</v>
      </c>
      <c r="R961" s="18">
        <v>1152.1300000000001</v>
      </c>
      <c r="S961" s="19">
        <v>-13.34</v>
      </c>
      <c r="T961" s="18">
        <v>88079239</v>
      </c>
      <c r="U961" s="20">
        <v>44358</v>
      </c>
      <c r="V961" s="18" t="str">
        <f t="shared" si="42"/>
        <v>Missing</v>
      </c>
    </row>
    <row r="962" spans="1:22" ht="14.5" customHeight="1" x14ac:dyDescent="0.35">
      <c r="A962" s="15" t="s">
        <v>7986</v>
      </c>
      <c r="B962" s="15" t="s">
        <v>6700</v>
      </c>
      <c r="C962" s="15" t="s">
        <v>6346</v>
      </c>
      <c r="D962" s="15" t="s">
        <v>6347</v>
      </c>
      <c r="E962" s="15" t="s">
        <v>208</v>
      </c>
      <c r="F962" s="15" t="str">
        <f t="shared" si="43"/>
        <v>Other</v>
      </c>
      <c r="G962" s="15" t="s">
        <v>6348</v>
      </c>
      <c r="H962" s="15" t="s">
        <v>6349</v>
      </c>
      <c r="I962" s="15">
        <v>961</v>
      </c>
      <c r="J962" s="15">
        <v>961</v>
      </c>
      <c r="K962" s="15" t="s">
        <v>32</v>
      </c>
      <c r="L962" s="15" t="s">
        <v>6350</v>
      </c>
      <c r="M962" s="15" t="s">
        <v>6351</v>
      </c>
      <c r="N962" s="15" t="s">
        <v>189</v>
      </c>
      <c r="O962" s="15" t="s">
        <v>190</v>
      </c>
      <c r="P962" s="15" t="s">
        <v>6352</v>
      </c>
      <c r="Q962" s="22">
        <f t="shared" si="44"/>
        <v>32580000000</v>
      </c>
      <c r="R962" s="15">
        <v>1302.83</v>
      </c>
      <c r="S962" s="16">
        <v>3.18</v>
      </c>
      <c r="T962" s="15">
        <v>50847314</v>
      </c>
      <c r="U962" s="17">
        <v>43893</v>
      </c>
      <c r="V962" s="15" t="str">
        <f t="shared" ref="V962:V1001" si="45">IF(OR(N:N="n/a", O:O="n/a", P:P="n/a"), "Missing", "Complete")</f>
        <v>Complete</v>
      </c>
    </row>
    <row r="963" spans="1:22" ht="14.5" customHeight="1" x14ac:dyDescent="0.35">
      <c r="A963" s="18" t="s">
        <v>7987</v>
      </c>
      <c r="B963" s="18" t="s">
        <v>7988</v>
      </c>
      <c r="C963" s="18" t="s">
        <v>4776</v>
      </c>
      <c r="D963" s="18" t="s">
        <v>6353</v>
      </c>
      <c r="E963" s="18" t="s">
        <v>13</v>
      </c>
      <c r="F963" s="15" t="str">
        <f t="shared" ref="F963:F1001" si="46">IF(OR(E963="female", E963="male"), PROPER(E963), "Other")</f>
        <v>Male</v>
      </c>
      <c r="G963" s="18" t="s">
        <v>6354</v>
      </c>
      <c r="H963" s="18" t="s">
        <v>6355</v>
      </c>
      <c r="I963" s="18">
        <v>962</v>
      </c>
      <c r="J963" s="18">
        <v>962</v>
      </c>
      <c r="K963" s="18" t="s">
        <v>5</v>
      </c>
      <c r="L963" s="18" t="s">
        <v>6356</v>
      </c>
      <c r="M963" s="18" t="s">
        <v>6357</v>
      </c>
      <c r="N963" s="18" t="s">
        <v>8033</v>
      </c>
      <c r="O963" s="18" t="s">
        <v>8033</v>
      </c>
      <c r="P963" s="18" t="s">
        <v>8033</v>
      </c>
      <c r="Q963" s="22">
        <f t="shared" ref="Q963:Q1001" si="47">IF(P963="n/a", 0, IF(RIGHT(P963, 1)="B", VALUE(MID(P963, 2, LEN(P963)-2)*1000000000), VALUE(MID(P963, 2, LEN(P963)-2)*1000000)))</f>
        <v>0</v>
      </c>
      <c r="R963" s="18">
        <v>76.41</v>
      </c>
      <c r="S963" s="19">
        <v>12.65</v>
      </c>
      <c r="T963" s="18">
        <v>136919707</v>
      </c>
      <c r="U963" s="20">
        <v>45597</v>
      </c>
      <c r="V963" s="18" t="str">
        <f t="shared" si="45"/>
        <v>Missing</v>
      </c>
    </row>
    <row r="964" spans="1:22" ht="14.5" customHeight="1" x14ac:dyDescent="0.35">
      <c r="A964" s="15" t="s">
        <v>7989</v>
      </c>
      <c r="B964" s="15" t="s">
        <v>7448</v>
      </c>
      <c r="C964" s="15" t="s">
        <v>6358</v>
      </c>
      <c r="D964" s="15" t="s">
        <v>6359</v>
      </c>
      <c r="E964" s="15" t="s">
        <v>13</v>
      </c>
      <c r="F964" s="15" t="str">
        <f t="shared" si="46"/>
        <v>Male</v>
      </c>
      <c r="G964" s="15" t="s">
        <v>6360</v>
      </c>
      <c r="H964" s="15" t="s">
        <v>6361</v>
      </c>
      <c r="I964" s="15">
        <v>963</v>
      </c>
      <c r="J964" s="15">
        <v>963</v>
      </c>
      <c r="K964" s="15" t="s">
        <v>32</v>
      </c>
      <c r="L964" s="15" t="s">
        <v>6362</v>
      </c>
      <c r="M964" s="15" t="s">
        <v>6363</v>
      </c>
      <c r="N964" s="15" t="s">
        <v>48</v>
      </c>
      <c r="O964" s="15" t="s">
        <v>57</v>
      </c>
      <c r="P964" s="15" t="s">
        <v>4983</v>
      </c>
      <c r="Q964" s="22">
        <f t="shared" si="47"/>
        <v>1260000000</v>
      </c>
      <c r="R964" s="15">
        <v>58.99</v>
      </c>
      <c r="S964" s="16">
        <v>18.850000000000001</v>
      </c>
      <c r="T964" s="15">
        <v>20849332</v>
      </c>
      <c r="U964" s="17">
        <v>44235</v>
      </c>
      <c r="V964" s="15" t="str">
        <f t="shared" si="45"/>
        <v>Complete</v>
      </c>
    </row>
    <row r="965" spans="1:22" ht="14.5" customHeight="1" x14ac:dyDescent="0.35">
      <c r="A965" s="18" t="s">
        <v>7990</v>
      </c>
      <c r="B965" s="18" t="s">
        <v>6849</v>
      </c>
      <c r="C965" s="18" t="s">
        <v>6364</v>
      </c>
      <c r="D965" s="18" t="s">
        <v>6365</v>
      </c>
      <c r="E965" s="18" t="s">
        <v>13</v>
      </c>
      <c r="F965" s="15" t="str">
        <f t="shared" si="46"/>
        <v>Male</v>
      </c>
      <c r="G965" s="18" t="s">
        <v>6366</v>
      </c>
      <c r="H965" s="18" t="s">
        <v>6367</v>
      </c>
      <c r="I965" s="18">
        <v>964</v>
      </c>
      <c r="J965" s="18">
        <v>964</v>
      </c>
      <c r="K965" s="18" t="s">
        <v>5</v>
      </c>
      <c r="L965" s="18" t="s">
        <v>6368</v>
      </c>
      <c r="M965" s="18" t="s">
        <v>6369</v>
      </c>
      <c r="N965" s="18" t="s">
        <v>48</v>
      </c>
      <c r="O965" s="18" t="s">
        <v>57</v>
      </c>
      <c r="P965" s="18" t="s">
        <v>6370</v>
      </c>
      <c r="Q965" s="22">
        <f t="shared" si="47"/>
        <v>1320000000</v>
      </c>
      <c r="R965" s="18">
        <v>641.61</v>
      </c>
      <c r="S965" s="19">
        <v>-5.12</v>
      </c>
      <c r="T965" s="18">
        <v>28579241</v>
      </c>
      <c r="U965" s="20">
        <v>45317</v>
      </c>
      <c r="V965" s="18" t="str">
        <f t="shared" si="45"/>
        <v>Complete</v>
      </c>
    </row>
    <row r="966" spans="1:22" ht="14.5" customHeight="1" x14ac:dyDescent="0.35">
      <c r="A966" s="15" t="s">
        <v>7991</v>
      </c>
      <c r="B966" s="15" t="s">
        <v>7618</v>
      </c>
      <c r="C966" s="15" t="s">
        <v>6371</v>
      </c>
      <c r="D966" s="15" t="s">
        <v>6372</v>
      </c>
      <c r="E966" s="15" t="s">
        <v>13</v>
      </c>
      <c r="F966" s="15" t="str">
        <f t="shared" si="46"/>
        <v>Male</v>
      </c>
      <c r="G966" s="15" t="s">
        <v>6373</v>
      </c>
      <c r="H966" s="15" t="s">
        <v>6374</v>
      </c>
      <c r="I966" s="15">
        <v>965</v>
      </c>
      <c r="J966" s="15">
        <v>965</v>
      </c>
      <c r="K966" s="15" t="s">
        <v>5</v>
      </c>
      <c r="L966" s="15" t="s">
        <v>6375</v>
      </c>
      <c r="M966" s="15" t="s">
        <v>6376</v>
      </c>
      <c r="N966" s="15" t="s">
        <v>134</v>
      </c>
      <c r="O966" s="15" t="s">
        <v>135</v>
      </c>
      <c r="P966" s="15" t="s">
        <v>6377</v>
      </c>
      <c r="Q966" s="22">
        <f t="shared" si="47"/>
        <v>6590000000</v>
      </c>
      <c r="R966" s="15">
        <v>872.03</v>
      </c>
      <c r="S966" s="16">
        <v>-14.8</v>
      </c>
      <c r="T966" s="15">
        <v>98211331</v>
      </c>
      <c r="U966" s="17">
        <v>43901</v>
      </c>
      <c r="V966" s="15" t="str">
        <f t="shared" si="45"/>
        <v>Complete</v>
      </c>
    </row>
    <row r="967" spans="1:22" ht="14.5" customHeight="1" x14ac:dyDescent="0.35">
      <c r="A967" s="18" t="s">
        <v>7992</v>
      </c>
      <c r="B967" s="18" t="s">
        <v>6857</v>
      </c>
      <c r="C967" s="18" t="s">
        <v>6378</v>
      </c>
      <c r="D967" s="18" t="s">
        <v>6379</v>
      </c>
      <c r="E967" s="18" t="s">
        <v>2</v>
      </c>
      <c r="F967" s="15" t="str">
        <f t="shared" si="46"/>
        <v>Female</v>
      </c>
      <c r="G967" s="18" t="s">
        <v>6380</v>
      </c>
      <c r="H967" s="18" t="s">
        <v>6381</v>
      </c>
      <c r="I967" s="18">
        <v>966</v>
      </c>
      <c r="J967" s="18">
        <v>966</v>
      </c>
      <c r="K967" s="18" t="s">
        <v>5</v>
      </c>
      <c r="L967" s="18" t="s">
        <v>4787</v>
      </c>
      <c r="M967" s="18" t="s">
        <v>4788</v>
      </c>
      <c r="N967" s="18" t="s">
        <v>99</v>
      </c>
      <c r="O967" s="18" t="s">
        <v>2604</v>
      </c>
      <c r="P967" s="18" t="s">
        <v>4789</v>
      </c>
      <c r="Q967" s="22">
        <f t="shared" si="47"/>
        <v>30310000</v>
      </c>
      <c r="R967" s="18">
        <v>474.96</v>
      </c>
      <c r="S967" s="19">
        <v>15.51</v>
      </c>
      <c r="T967" s="18">
        <v>178216689</v>
      </c>
      <c r="U967" s="20">
        <v>44953</v>
      </c>
      <c r="V967" s="18" t="str">
        <f t="shared" si="45"/>
        <v>Complete</v>
      </c>
    </row>
    <row r="968" spans="1:22" ht="14.5" customHeight="1" x14ac:dyDescent="0.35">
      <c r="A968" s="15" t="s">
        <v>7993</v>
      </c>
      <c r="B968" s="15" t="s">
        <v>7419</v>
      </c>
      <c r="C968" s="15" t="s">
        <v>6382</v>
      </c>
      <c r="D968" s="15" t="s">
        <v>6383</v>
      </c>
      <c r="E968" s="15" t="s">
        <v>2</v>
      </c>
      <c r="F968" s="15" t="str">
        <f t="shared" si="46"/>
        <v>Female</v>
      </c>
      <c r="G968" s="15" t="s">
        <v>6384</v>
      </c>
      <c r="H968" s="15" t="s">
        <v>6385</v>
      </c>
      <c r="I968" s="15">
        <v>967</v>
      </c>
      <c r="J968" s="15">
        <v>967</v>
      </c>
      <c r="K968" s="15" t="s">
        <v>5</v>
      </c>
      <c r="L968" s="15" t="s">
        <v>6386</v>
      </c>
      <c r="M968" s="15" t="s">
        <v>6387</v>
      </c>
      <c r="N968" s="15" t="s">
        <v>66</v>
      </c>
      <c r="O968" s="15" t="s">
        <v>422</v>
      </c>
      <c r="P968" s="15" t="s">
        <v>6388</v>
      </c>
      <c r="Q968" s="22">
        <f t="shared" si="47"/>
        <v>63580000</v>
      </c>
      <c r="R968" s="15">
        <v>610.48</v>
      </c>
      <c r="S968" s="16">
        <v>15.13</v>
      </c>
      <c r="T968" s="15">
        <v>19001426</v>
      </c>
      <c r="U968" s="17">
        <v>44870</v>
      </c>
      <c r="V968" s="15" t="str">
        <f t="shared" si="45"/>
        <v>Complete</v>
      </c>
    </row>
    <row r="969" spans="1:22" ht="14.5" customHeight="1" x14ac:dyDescent="0.35">
      <c r="A969" s="18" t="s">
        <v>7994</v>
      </c>
      <c r="B969" s="18" t="s">
        <v>7372</v>
      </c>
      <c r="C969" s="18" t="s">
        <v>6389</v>
      </c>
      <c r="D969" s="18" t="s">
        <v>6390</v>
      </c>
      <c r="E969" s="18" t="s">
        <v>2</v>
      </c>
      <c r="F969" s="15" t="str">
        <f t="shared" si="46"/>
        <v>Female</v>
      </c>
      <c r="G969" s="18" t="s">
        <v>6391</v>
      </c>
      <c r="H969" s="18" t="s">
        <v>6392</v>
      </c>
      <c r="I969" s="18">
        <v>968</v>
      </c>
      <c r="J969" s="18">
        <v>968</v>
      </c>
      <c r="K969" s="18" t="s">
        <v>5</v>
      </c>
      <c r="L969" s="18" t="s">
        <v>3808</v>
      </c>
      <c r="M969" s="18" t="s">
        <v>3809</v>
      </c>
      <c r="N969" s="18" t="s">
        <v>25</v>
      </c>
      <c r="O969" s="18" t="s">
        <v>2114</v>
      </c>
      <c r="P969" s="18" t="s">
        <v>3810</v>
      </c>
      <c r="Q969" s="22">
        <f t="shared" si="47"/>
        <v>410690000</v>
      </c>
      <c r="R969" s="18">
        <v>1422.53</v>
      </c>
      <c r="S969" s="19">
        <v>19.829999999999998</v>
      </c>
      <c r="T969" s="18">
        <v>16790027</v>
      </c>
      <c r="U969" s="20">
        <v>44234</v>
      </c>
      <c r="V969" s="18" t="str">
        <f t="shared" si="45"/>
        <v>Complete</v>
      </c>
    </row>
    <row r="970" spans="1:22" ht="14.5" customHeight="1" x14ac:dyDescent="0.35">
      <c r="A970" s="15" t="s">
        <v>7995</v>
      </c>
      <c r="B970" s="15" t="s">
        <v>7034</v>
      </c>
      <c r="C970" s="15" t="s">
        <v>6393</v>
      </c>
      <c r="D970" s="15" t="s">
        <v>6394</v>
      </c>
      <c r="E970" s="15" t="s">
        <v>61</v>
      </c>
      <c r="F970" s="15" t="str">
        <f t="shared" si="46"/>
        <v>Other</v>
      </c>
      <c r="G970" s="15" t="s">
        <v>6395</v>
      </c>
      <c r="H970" s="15" t="s">
        <v>6396</v>
      </c>
      <c r="I970" s="15">
        <v>969</v>
      </c>
      <c r="J970" s="15">
        <v>969</v>
      </c>
      <c r="K970" s="15" t="s">
        <v>32</v>
      </c>
      <c r="L970" s="15" t="s">
        <v>3871</v>
      </c>
      <c r="M970" s="15" t="s">
        <v>3872</v>
      </c>
      <c r="N970" s="15" t="s">
        <v>99</v>
      </c>
      <c r="O970" s="15" t="s">
        <v>2604</v>
      </c>
      <c r="P970" s="15" t="s">
        <v>3873</v>
      </c>
      <c r="Q970" s="22">
        <f t="shared" si="47"/>
        <v>2650000000</v>
      </c>
      <c r="R970" s="15">
        <v>1969.45</v>
      </c>
      <c r="S970" s="16">
        <v>-8.98</v>
      </c>
      <c r="T970" s="15">
        <v>84696563</v>
      </c>
      <c r="U970" s="17">
        <v>45042</v>
      </c>
      <c r="V970" s="15" t="str">
        <f t="shared" si="45"/>
        <v>Complete</v>
      </c>
    </row>
    <row r="971" spans="1:22" ht="14.5" customHeight="1" x14ac:dyDescent="0.35">
      <c r="A971" s="18" t="s">
        <v>7996</v>
      </c>
      <c r="B971" s="18" t="s">
        <v>7709</v>
      </c>
      <c r="C971" s="18" t="s">
        <v>6397</v>
      </c>
      <c r="D971" s="18" t="s">
        <v>6398</v>
      </c>
      <c r="E971" s="18" t="s">
        <v>2</v>
      </c>
      <c r="F971" s="15" t="str">
        <f t="shared" si="46"/>
        <v>Female</v>
      </c>
      <c r="G971" s="18" t="s">
        <v>6399</v>
      </c>
      <c r="H971" s="18" t="s">
        <v>6400</v>
      </c>
      <c r="I971" s="18">
        <v>970</v>
      </c>
      <c r="J971" s="18">
        <v>970</v>
      </c>
      <c r="K971" s="18" t="s">
        <v>5</v>
      </c>
      <c r="L971" s="18" t="s">
        <v>6401</v>
      </c>
      <c r="M971" s="18" t="s">
        <v>6402</v>
      </c>
      <c r="N971" s="18" t="s">
        <v>8</v>
      </c>
      <c r="O971" s="18" t="s">
        <v>9</v>
      </c>
      <c r="P971" s="18" t="s">
        <v>6403</v>
      </c>
      <c r="Q971" s="22">
        <f t="shared" si="47"/>
        <v>829140000</v>
      </c>
      <c r="R971" s="18">
        <v>40.840000000000003</v>
      </c>
      <c r="S971" s="19">
        <v>-14.32</v>
      </c>
      <c r="T971" s="18">
        <v>53553656</v>
      </c>
      <c r="U971" s="20">
        <v>43897</v>
      </c>
      <c r="V971" s="18" t="str">
        <f t="shared" si="45"/>
        <v>Complete</v>
      </c>
    </row>
    <row r="972" spans="1:22" ht="14.5" customHeight="1" x14ac:dyDescent="0.35">
      <c r="A972" s="15" t="s">
        <v>7997</v>
      </c>
      <c r="B972" s="15" t="s">
        <v>7577</v>
      </c>
      <c r="C972" s="15" t="s">
        <v>6404</v>
      </c>
      <c r="D972" s="15" t="s">
        <v>6405</v>
      </c>
      <c r="E972" s="15" t="s">
        <v>61</v>
      </c>
      <c r="F972" s="15" t="str">
        <f t="shared" si="46"/>
        <v>Other</v>
      </c>
      <c r="G972" s="15" t="s">
        <v>6406</v>
      </c>
      <c r="H972" s="15" t="s">
        <v>6407</v>
      </c>
      <c r="I972" s="15">
        <v>971</v>
      </c>
      <c r="J972" s="15">
        <v>971</v>
      </c>
      <c r="K972" s="15" t="s">
        <v>32</v>
      </c>
      <c r="L972" s="15" t="s">
        <v>6408</v>
      </c>
      <c r="M972" s="15" t="s">
        <v>2101</v>
      </c>
      <c r="N972" s="15" t="s">
        <v>8033</v>
      </c>
      <c r="O972" s="15" t="s">
        <v>8033</v>
      </c>
      <c r="P972" s="15" t="s">
        <v>8033</v>
      </c>
      <c r="Q972" s="22">
        <f t="shared" si="47"/>
        <v>0</v>
      </c>
      <c r="R972" s="15">
        <v>226.79</v>
      </c>
      <c r="S972" s="16">
        <v>18.100000000000001</v>
      </c>
      <c r="T972" s="15">
        <v>165353105</v>
      </c>
      <c r="U972" s="17">
        <v>44452</v>
      </c>
      <c r="V972" s="15" t="str">
        <f t="shared" si="45"/>
        <v>Missing</v>
      </c>
    </row>
    <row r="973" spans="1:22" ht="14.5" customHeight="1" x14ac:dyDescent="0.35">
      <c r="A973" s="18" t="s">
        <v>7998</v>
      </c>
      <c r="B973" s="18" t="s">
        <v>7263</v>
      </c>
      <c r="C973" s="18" t="s">
        <v>6409</v>
      </c>
      <c r="D973" s="18" t="s">
        <v>6410</v>
      </c>
      <c r="E973" s="18" t="s">
        <v>2</v>
      </c>
      <c r="F973" s="15" t="str">
        <f t="shared" si="46"/>
        <v>Female</v>
      </c>
      <c r="G973" s="18" t="s">
        <v>6411</v>
      </c>
      <c r="H973" s="18" t="s">
        <v>6412</v>
      </c>
      <c r="I973" s="18">
        <v>972</v>
      </c>
      <c r="J973" s="18">
        <v>972</v>
      </c>
      <c r="K973" s="18" t="s">
        <v>5</v>
      </c>
      <c r="L973" s="18" t="s">
        <v>6413</v>
      </c>
      <c r="M973" s="18" t="s">
        <v>6414</v>
      </c>
      <c r="N973" s="18" t="s">
        <v>99</v>
      </c>
      <c r="O973" s="18" t="s">
        <v>1553</v>
      </c>
      <c r="P973" s="18" t="s">
        <v>3333</v>
      </c>
      <c r="Q973" s="22">
        <f t="shared" si="47"/>
        <v>1050000000</v>
      </c>
      <c r="R973" s="18">
        <v>600.61</v>
      </c>
      <c r="S973" s="19">
        <v>-9.58</v>
      </c>
      <c r="T973" s="18">
        <v>72210351</v>
      </c>
      <c r="U973" s="20">
        <v>46385</v>
      </c>
      <c r="V973" s="18" t="str">
        <f t="shared" si="45"/>
        <v>Complete</v>
      </c>
    </row>
    <row r="974" spans="1:22" ht="14.5" customHeight="1" x14ac:dyDescent="0.35">
      <c r="A974" s="15" t="s">
        <v>7999</v>
      </c>
      <c r="B974" s="15" t="s">
        <v>7152</v>
      </c>
      <c r="C974" s="15" t="s">
        <v>6415</v>
      </c>
      <c r="D974" s="15" t="s">
        <v>6416</v>
      </c>
      <c r="E974" s="15" t="s">
        <v>2</v>
      </c>
      <c r="F974" s="15" t="str">
        <f t="shared" si="46"/>
        <v>Female</v>
      </c>
      <c r="G974" s="15" t="s">
        <v>6417</v>
      </c>
      <c r="H974" s="15" t="s">
        <v>6418</v>
      </c>
      <c r="I974" s="15">
        <v>973</v>
      </c>
      <c r="J974" s="15">
        <v>973</v>
      </c>
      <c r="K974" s="15" t="s">
        <v>32</v>
      </c>
      <c r="L974" s="15" t="s">
        <v>6419</v>
      </c>
      <c r="M974" s="15" t="s">
        <v>2022</v>
      </c>
      <c r="N974" s="15" t="s">
        <v>8033</v>
      </c>
      <c r="O974" s="15" t="s">
        <v>8033</v>
      </c>
      <c r="P974" s="15" t="s">
        <v>8033</v>
      </c>
      <c r="Q974" s="22">
        <f t="shared" si="47"/>
        <v>0</v>
      </c>
      <c r="R974" s="15">
        <v>34</v>
      </c>
      <c r="S974" s="16">
        <v>1.1599999999999999</v>
      </c>
      <c r="T974" s="15">
        <v>133594163</v>
      </c>
      <c r="U974" s="17">
        <v>45264</v>
      </c>
      <c r="V974" s="15" t="str">
        <f t="shared" si="45"/>
        <v>Missing</v>
      </c>
    </row>
    <row r="975" spans="1:22" ht="14.5" customHeight="1" x14ac:dyDescent="0.35">
      <c r="A975" s="18" t="s">
        <v>8000</v>
      </c>
      <c r="B975" s="18" t="s">
        <v>6949</v>
      </c>
      <c r="C975" s="18" t="s">
        <v>6420</v>
      </c>
      <c r="D975" s="18" t="s">
        <v>6421</v>
      </c>
      <c r="E975" s="18" t="s">
        <v>13</v>
      </c>
      <c r="F975" s="15" t="str">
        <f t="shared" si="46"/>
        <v>Male</v>
      </c>
      <c r="G975" s="18" t="s">
        <v>6422</v>
      </c>
      <c r="H975" s="18" t="s">
        <v>6423</v>
      </c>
      <c r="I975" s="18">
        <v>974</v>
      </c>
      <c r="J975" s="18">
        <v>974</v>
      </c>
      <c r="K975" s="18" t="s">
        <v>32</v>
      </c>
      <c r="L975" s="18" t="s">
        <v>2991</v>
      </c>
      <c r="M975" s="18" t="s">
        <v>2992</v>
      </c>
      <c r="N975" s="18" t="s">
        <v>8033</v>
      </c>
      <c r="O975" s="18" t="s">
        <v>8033</v>
      </c>
      <c r="P975" s="18" t="s">
        <v>8033</v>
      </c>
      <c r="Q975" s="22">
        <f t="shared" si="47"/>
        <v>0</v>
      </c>
      <c r="R975" s="18">
        <v>1026.0999999999999</v>
      </c>
      <c r="S975" s="19">
        <v>5.99</v>
      </c>
      <c r="T975" s="18">
        <v>24469534</v>
      </c>
      <c r="U975" s="20">
        <v>45785</v>
      </c>
      <c r="V975" s="18" t="str">
        <f t="shared" si="45"/>
        <v>Missing</v>
      </c>
    </row>
    <row r="976" spans="1:22" ht="14.5" customHeight="1" x14ac:dyDescent="0.35">
      <c r="A976" s="15" t="s">
        <v>8001</v>
      </c>
      <c r="B976" s="15" t="s">
        <v>7557</v>
      </c>
      <c r="C976" s="15" t="s">
        <v>6424</v>
      </c>
      <c r="D976" s="15" t="s">
        <v>6425</v>
      </c>
      <c r="E976" s="15" t="s">
        <v>2</v>
      </c>
      <c r="F976" s="15" t="str">
        <f t="shared" si="46"/>
        <v>Female</v>
      </c>
      <c r="G976" s="15" t="s">
        <v>6426</v>
      </c>
      <c r="H976" s="15" t="s">
        <v>6427</v>
      </c>
      <c r="I976" s="15">
        <v>975</v>
      </c>
      <c r="J976" s="15">
        <v>975</v>
      </c>
      <c r="K976" s="15" t="s">
        <v>32</v>
      </c>
      <c r="L976" s="15" t="s">
        <v>6428</v>
      </c>
      <c r="M976" s="15" t="s">
        <v>6429</v>
      </c>
      <c r="N976" s="15" t="s">
        <v>134</v>
      </c>
      <c r="O976" s="15" t="s">
        <v>1138</v>
      </c>
      <c r="P976" s="15" t="s">
        <v>8033</v>
      </c>
      <c r="Q976" s="22">
        <f t="shared" si="47"/>
        <v>0</v>
      </c>
      <c r="R976" s="15">
        <v>567.22</v>
      </c>
      <c r="S976" s="16">
        <v>-6.16</v>
      </c>
      <c r="T976" s="15">
        <v>30624692</v>
      </c>
      <c r="U976" s="17">
        <v>43902</v>
      </c>
      <c r="V976" s="15" t="str">
        <f t="shared" si="45"/>
        <v>Missing</v>
      </c>
    </row>
    <row r="977" spans="1:22" ht="14.5" customHeight="1" x14ac:dyDescent="0.35">
      <c r="A977" s="18" t="s">
        <v>8002</v>
      </c>
      <c r="B977" s="18" t="s">
        <v>8003</v>
      </c>
      <c r="C977" s="18" t="s">
        <v>6430</v>
      </c>
      <c r="D977" s="18" t="s">
        <v>6431</v>
      </c>
      <c r="E977" s="18" t="s">
        <v>13</v>
      </c>
      <c r="F977" s="15" t="str">
        <f t="shared" si="46"/>
        <v>Male</v>
      </c>
      <c r="G977" s="18" t="s">
        <v>6432</v>
      </c>
      <c r="H977" s="18" t="s">
        <v>6433</v>
      </c>
      <c r="I977" s="18">
        <v>976</v>
      </c>
      <c r="J977" s="18">
        <v>976</v>
      </c>
      <c r="K977" s="18" t="s">
        <v>5</v>
      </c>
      <c r="L977" s="18" t="s">
        <v>6434</v>
      </c>
      <c r="M977" s="18" t="s">
        <v>6435</v>
      </c>
      <c r="N977" s="18" t="s">
        <v>66</v>
      </c>
      <c r="O977" s="18" t="s">
        <v>181</v>
      </c>
      <c r="P977" s="18" t="s">
        <v>6436</v>
      </c>
      <c r="Q977" s="22">
        <f t="shared" si="47"/>
        <v>8279999999.999999</v>
      </c>
      <c r="R977" s="18">
        <v>28.35</v>
      </c>
      <c r="S977" s="19">
        <v>-4.17</v>
      </c>
      <c r="T977" s="18">
        <v>70408962</v>
      </c>
      <c r="U977" s="20">
        <v>46216</v>
      </c>
      <c r="V977" s="18" t="str">
        <f t="shared" si="45"/>
        <v>Complete</v>
      </c>
    </row>
    <row r="978" spans="1:22" ht="14.5" customHeight="1" x14ac:dyDescent="0.35">
      <c r="A978" s="15" t="s">
        <v>8004</v>
      </c>
      <c r="B978" s="15" t="s">
        <v>6784</v>
      </c>
      <c r="C978" s="15" t="s">
        <v>4334</v>
      </c>
      <c r="D978" s="15" t="s">
        <v>6437</v>
      </c>
      <c r="E978" s="15" t="s">
        <v>13</v>
      </c>
      <c r="F978" s="15" t="str">
        <f t="shared" si="46"/>
        <v>Male</v>
      </c>
      <c r="G978" s="15" t="s">
        <v>6438</v>
      </c>
      <c r="H978" s="15" t="s">
        <v>6439</v>
      </c>
      <c r="I978" s="15">
        <v>977</v>
      </c>
      <c r="J978" s="15">
        <v>977</v>
      </c>
      <c r="K978" s="15" t="s">
        <v>5</v>
      </c>
      <c r="L978" s="15" t="s">
        <v>6440</v>
      </c>
      <c r="M978" s="15" t="s">
        <v>6441</v>
      </c>
      <c r="N978" s="15" t="s">
        <v>48</v>
      </c>
      <c r="O978" s="15" t="s">
        <v>57</v>
      </c>
      <c r="P978" s="15" t="s">
        <v>6442</v>
      </c>
      <c r="Q978" s="22">
        <f t="shared" si="47"/>
        <v>354970000</v>
      </c>
      <c r="R978" s="15">
        <v>1304.97</v>
      </c>
      <c r="S978" s="16">
        <v>6.79</v>
      </c>
      <c r="T978" s="15">
        <v>60265847</v>
      </c>
      <c r="U978" s="17">
        <v>45199</v>
      </c>
      <c r="V978" s="15" t="str">
        <f t="shared" si="45"/>
        <v>Complete</v>
      </c>
    </row>
    <row r="979" spans="1:22" ht="14.5" customHeight="1" x14ac:dyDescent="0.35">
      <c r="A979" s="18" t="s">
        <v>8005</v>
      </c>
      <c r="B979" s="18" t="s">
        <v>7609</v>
      </c>
      <c r="C979" s="18" t="s">
        <v>1391</v>
      </c>
      <c r="D979" s="18" t="s">
        <v>6443</v>
      </c>
      <c r="E979" s="18" t="s">
        <v>13</v>
      </c>
      <c r="F979" s="15" t="str">
        <f t="shared" si="46"/>
        <v>Male</v>
      </c>
      <c r="G979" s="18" t="s">
        <v>6444</v>
      </c>
      <c r="H979" s="18" t="s">
        <v>6445</v>
      </c>
      <c r="I979" s="18">
        <v>978</v>
      </c>
      <c r="J979" s="18">
        <v>978</v>
      </c>
      <c r="K979" s="18" t="s">
        <v>32</v>
      </c>
      <c r="L979" s="18" t="s">
        <v>6446</v>
      </c>
      <c r="M979" s="18" t="s">
        <v>6447</v>
      </c>
      <c r="N979" s="18" t="s">
        <v>48</v>
      </c>
      <c r="O979" s="18" t="s">
        <v>1632</v>
      </c>
      <c r="P979" s="18" t="s">
        <v>6448</v>
      </c>
      <c r="Q979" s="22">
        <f t="shared" si="47"/>
        <v>367060000</v>
      </c>
      <c r="R979" s="18">
        <v>799.95</v>
      </c>
      <c r="S979" s="19">
        <v>1.69</v>
      </c>
      <c r="T979" s="18">
        <v>130339201</v>
      </c>
      <c r="U979" s="20">
        <v>44408</v>
      </c>
      <c r="V979" s="18" t="str">
        <f t="shared" si="45"/>
        <v>Complete</v>
      </c>
    </row>
    <row r="980" spans="1:22" ht="14.5" customHeight="1" x14ac:dyDescent="0.35">
      <c r="A980" s="15" t="s">
        <v>8006</v>
      </c>
      <c r="B980" s="15" t="s">
        <v>7724</v>
      </c>
      <c r="C980" s="15" t="s">
        <v>6449</v>
      </c>
      <c r="D980" s="15" t="s">
        <v>6450</v>
      </c>
      <c r="E980" s="15" t="s">
        <v>13</v>
      </c>
      <c r="F980" s="15" t="str">
        <f t="shared" si="46"/>
        <v>Male</v>
      </c>
      <c r="G980" s="15" t="s">
        <v>6451</v>
      </c>
      <c r="H980" s="15" t="s">
        <v>6452</v>
      </c>
      <c r="I980" s="15">
        <v>979</v>
      </c>
      <c r="J980" s="15">
        <v>979</v>
      </c>
      <c r="K980" s="15" t="s">
        <v>5</v>
      </c>
      <c r="L980" s="15" t="s">
        <v>6453</v>
      </c>
      <c r="M980" s="15" t="s">
        <v>6454</v>
      </c>
      <c r="N980" s="15" t="s">
        <v>66</v>
      </c>
      <c r="O980" s="15" t="s">
        <v>1082</v>
      </c>
      <c r="P980" s="15" t="s">
        <v>6455</v>
      </c>
      <c r="Q980" s="22">
        <f t="shared" si="47"/>
        <v>617530000</v>
      </c>
      <c r="R980" s="15">
        <v>1254.7</v>
      </c>
      <c r="S980" s="16">
        <v>7.95</v>
      </c>
      <c r="T980" s="15">
        <v>161257825</v>
      </c>
      <c r="U980" s="17">
        <v>44128</v>
      </c>
      <c r="V980" s="15" t="str">
        <f t="shared" si="45"/>
        <v>Complete</v>
      </c>
    </row>
    <row r="981" spans="1:22" ht="14.5" customHeight="1" x14ac:dyDescent="0.35">
      <c r="A981" s="18" t="s">
        <v>8007</v>
      </c>
      <c r="B981" s="18" t="s">
        <v>7170</v>
      </c>
      <c r="C981" s="18" t="s">
        <v>6456</v>
      </c>
      <c r="D981" s="18" t="s">
        <v>6457</v>
      </c>
      <c r="E981" s="18" t="s">
        <v>13</v>
      </c>
      <c r="F981" s="15" t="str">
        <f t="shared" si="46"/>
        <v>Male</v>
      </c>
      <c r="G981" s="18" t="s">
        <v>6458</v>
      </c>
      <c r="H981" s="18" t="s">
        <v>6459</v>
      </c>
      <c r="I981" s="18">
        <v>980</v>
      </c>
      <c r="J981" s="18">
        <v>980</v>
      </c>
      <c r="K981" s="18" t="s">
        <v>5</v>
      </c>
      <c r="L981" s="18" t="s">
        <v>6460</v>
      </c>
      <c r="M981" s="18" t="s">
        <v>6461</v>
      </c>
      <c r="N981" s="18" t="s">
        <v>8</v>
      </c>
      <c r="O981" s="18" t="s">
        <v>1430</v>
      </c>
      <c r="P981" s="18" t="s">
        <v>6462</v>
      </c>
      <c r="Q981" s="22">
        <f t="shared" si="47"/>
        <v>306090000</v>
      </c>
      <c r="R981" s="18">
        <v>597.49</v>
      </c>
      <c r="S981" s="19">
        <v>-8.86</v>
      </c>
      <c r="T981" s="18">
        <v>192484268</v>
      </c>
      <c r="U981" s="20">
        <v>45012</v>
      </c>
      <c r="V981" s="18" t="str">
        <f t="shared" si="45"/>
        <v>Complete</v>
      </c>
    </row>
    <row r="982" spans="1:22" ht="14.5" customHeight="1" x14ac:dyDescent="0.35">
      <c r="A982" s="15" t="s">
        <v>8008</v>
      </c>
      <c r="B982" s="15" t="s">
        <v>6712</v>
      </c>
      <c r="C982" s="15" t="s">
        <v>6463</v>
      </c>
      <c r="D982" s="15" t="s">
        <v>6464</v>
      </c>
      <c r="E982" s="15" t="s">
        <v>2</v>
      </c>
      <c r="F982" s="15" t="str">
        <f t="shared" si="46"/>
        <v>Female</v>
      </c>
      <c r="G982" s="15" t="s">
        <v>6465</v>
      </c>
      <c r="H982" s="15" t="s">
        <v>6466</v>
      </c>
      <c r="I982" s="15">
        <v>981</v>
      </c>
      <c r="J982" s="15">
        <v>981</v>
      </c>
      <c r="K982" s="15" t="s">
        <v>5</v>
      </c>
      <c r="L982" s="15" t="s">
        <v>6467</v>
      </c>
      <c r="M982" s="15" t="s">
        <v>1497</v>
      </c>
      <c r="N982" s="15" t="s">
        <v>99</v>
      </c>
      <c r="O982" s="15" t="s">
        <v>1498</v>
      </c>
      <c r="P982" s="15" t="s">
        <v>6468</v>
      </c>
      <c r="Q982" s="22">
        <f t="shared" si="47"/>
        <v>6310000</v>
      </c>
      <c r="R982" s="15">
        <v>272.45999999999998</v>
      </c>
      <c r="S982" s="16">
        <v>18.09</v>
      </c>
      <c r="T982" s="15">
        <v>158772917</v>
      </c>
      <c r="U982" s="17">
        <v>45859</v>
      </c>
      <c r="V982" s="15" t="str">
        <f t="shared" si="45"/>
        <v>Complete</v>
      </c>
    </row>
    <row r="983" spans="1:22" ht="14.5" customHeight="1" x14ac:dyDescent="0.35">
      <c r="A983" s="18" t="s">
        <v>8009</v>
      </c>
      <c r="B983" s="18" t="s">
        <v>7613</v>
      </c>
      <c r="C983" s="18" t="s">
        <v>6469</v>
      </c>
      <c r="D983" s="18" t="s">
        <v>6470</v>
      </c>
      <c r="E983" s="18" t="s">
        <v>2</v>
      </c>
      <c r="F983" s="15" t="str">
        <f t="shared" si="46"/>
        <v>Female</v>
      </c>
      <c r="G983" s="18" t="s">
        <v>6471</v>
      </c>
      <c r="H983" s="18" t="s">
        <v>6472</v>
      </c>
      <c r="I983" s="18">
        <v>982</v>
      </c>
      <c r="J983" s="18">
        <v>982</v>
      </c>
      <c r="K983" s="18" t="s">
        <v>32</v>
      </c>
      <c r="L983" s="18" t="s">
        <v>4667</v>
      </c>
      <c r="M983" s="18" t="s">
        <v>4668</v>
      </c>
      <c r="N983" s="18" t="s">
        <v>25</v>
      </c>
      <c r="O983" s="18" t="s">
        <v>2114</v>
      </c>
      <c r="P983" s="18" t="s">
        <v>4669</v>
      </c>
      <c r="Q983" s="22">
        <f t="shared" si="47"/>
        <v>1840000000</v>
      </c>
      <c r="R983" s="18">
        <v>1519.54</v>
      </c>
      <c r="S983" s="19">
        <v>-4.78</v>
      </c>
      <c r="T983" s="18">
        <v>150827526</v>
      </c>
      <c r="U983" s="20">
        <v>43965</v>
      </c>
      <c r="V983" s="18" t="str">
        <f t="shared" si="45"/>
        <v>Complete</v>
      </c>
    </row>
    <row r="984" spans="1:22" ht="14.5" customHeight="1" x14ac:dyDescent="0.35">
      <c r="A984" s="15" t="s">
        <v>8010</v>
      </c>
      <c r="B984" s="15" t="s">
        <v>7301</v>
      </c>
      <c r="C984" s="15" t="s">
        <v>6473</v>
      </c>
      <c r="D984" s="15" t="s">
        <v>6474</v>
      </c>
      <c r="E984" s="15" t="s">
        <v>2</v>
      </c>
      <c r="F984" s="15" t="str">
        <f t="shared" si="46"/>
        <v>Female</v>
      </c>
      <c r="G984" s="15" t="s">
        <v>6475</v>
      </c>
      <c r="H984" s="15" t="s">
        <v>6476</v>
      </c>
      <c r="I984" s="15">
        <v>983</v>
      </c>
      <c r="J984" s="15">
        <v>983</v>
      </c>
      <c r="K984" s="15" t="s">
        <v>32</v>
      </c>
      <c r="L984" s="15" t="s">
        <v>6477</v>
      </c>
      <c r="M984" s="15" t="s">
        <v>6478</v>
      </c>
      <c r="N984" s="15" t="s">
        <v>134</v>
      </c>
      <c r="O984" s="15" t="s">
        <v>135</v>
      </c>
      <c r="P984" s="15" t="s">
        <v>6479</v>
      </c>
      <c r="Q984" s="22">
        <f t="shared" si="47"/>
        <v>27640000000</v>
      </c>
      <c r="R984" s="15">
        <v>1360.41</v>
      </c>
      <c r="S984" s="16">
        <v>15.91</v>
      </c>
      <c r="T984" s="15">
        <v>5811799</v>
      </c>
      <c r="U984" s="17">
        <v>45647</v>
      </c>
      <c r="V984" s="15" t="str">
        <f t="shared" si="45"/>
        <v>Complete</v>
      </c>
    </row>
    <row r="985" spans="1:22" ht="14.5" customHeight="1" x14ac:dyDescent="0.35">
      <c r="A985" s="18" t="s">
        <v>8011</v>
      </c>
      <c r="B985" s="18" t="s">
        <v>7571</v>
      </c>
      <c r="C985" s="18" t="s">
        <v>3334</v>
      </c>
      <c r="D985" s="18" t="s">
        <v>6480</v>
      </c>
      <c r="E985" s="18" t="s">
        <v>13</v>
      </c>
      <c r="F985" s="15" t="str">
        <f t="shared" si="46"/>
        <v>Male</v>
      </c>
      <c r="G985" s="18" t="s">
        <v>6481</v>
      </c>
      <c r="H985" s="18" t="s">
        <v>6482</v>
      </c>
      <c r="I985" s="18">
        <v>984</v>
      </c>
      <c r="J985" s="18">
        <v>984</v>
      </c>
      <c r="K985" s="18" t="s">
        <v>32</v>
      </c>
      <c r="L985" s="18" t="s">
        <v>6483</v>
      </c>
      <c r="M985" s="18" t="s">
        <v>569</v>
      </c>
      <c r="N985" s="18" t="s">
        <v>8033</v>
      </c>
      <c r="O985" s="18" t="s">
        <v>8033</v>
      </c>
      <c r="P985" s="18" t="s">
        <v>8033</v>
      </c>
      <c r="Q985" s="22">
        <f t="shared" si="47"/>
        <v>0</v>
      </c>
      <c r="R985" s="18">
        <v>33.28</v>
      </c>
      <c r="S985" s="19">
        <v>14.76</v>
      </c>
      <c r="T985" s="18">
        <v>180402496</v>
      </c>
      <c r="U985" s="20">
        <v>45978</v>
      </c>
      <c r="V985" s="18" t="str">
        <f t="shared" si="45"/>
        <v>Missing</v>
      </c>
    </row>
    <row r="986" spans="1:22" ht="14.5" customHeight="1" x14ac:dyDescent="0.35">
      <c r="A986" s="15" t="s">
        <v>8012</v>
      </c>
      <c r="B986" s="15" t="s">
        <v>7285</v>
      </c>
      <c r="C986" s="15" t="s">
        <v>6484</v>
      </c>
      <c r="D986" s="15" t="s">
        <v>6485</v>
      </c>
      <c r="E986" s="15" t="s">
        <v>13</v>
      </c>
      <c r="F986" s="15" t="str">
        <f t="shared" si="46"/>
        <v>Male</v>
      </c>
      <c r="G986" s="15" t="s">
        <v>6486</v>
      </c>
      <c r="H986" s="15" t="s">
        <v>6487</v>
      </c>
      <c r="I986" s="15">
        <v>985</v>
      </c>
      <c r="J986" s="15">
        <v>985</v>
      </c>
      <c r="K986" s="15" t="s">
        <v>5</v>
      </c>
      <c r="L986" s="15" t="s">
        <v>6488</v>
      </c>
      <c r="M986" s="15" t="s">
        <v>6489</v>
      </c>
      <c r="N986" s="15" t="s">
        <v>8</v>
      </c>
      <c r="O986" s="15" t="s">
        <v>18</v>
      </c>
      <c r="P986" s="15" t="s">
        <v>6490</v>
      </c>
      <c r="Q986" s="22">
        <f t="shared" si="47"/>
        <v>11270000</v>
      </c>
      <c r="R986" s="15">
        <v>1830.92</v>
      </c>
      <c r="S986" s="16">
        <v>6.1</v>
      </c>
      <c r="T986" s="15">
        <v>152085097</v>
      </c>
      <c r="U986" s="17">
        <v>44625</v>
      </c>
      <c r="V986" s="15" t="str">
        <f t="shared" si="45"/>
        <v>Complete</v>
      </c>
    </row>
    <row r="987" spans="1:22" ht="14.5" customHeight="1" x14ac:dyDescent="0.35">
      <c r="A987" s="18" t="s">
        <v>8013</v>
      </c>
      <c r="B987" s="18" t="s">
        <v>7709</v>
      </c>
      <c r="C987" s="18" t="s">
        <v>6491</v>
      </c>
      <c r="D987" s="18" t="s">
        <v>6492</v>
      </c>
      <c r="E987" s="18" t="s">
        <v>13</v>
      </c>
      <c r="F987" s="15" t="str">
        <f t="shared" si="46"/>
        <v>Male</v>
      </c>
      <c r="G987" s="18" t="s">
        <v>6493</v>
      </c>
      <c r="H987" s="18" t="s">
        <v>6494</v>
      </c>
      <c r="I987" s="18">
        <v>986</v>
      </c>
      <c r="J987" s="18">
        <v>986</v>
      </c>
      <c r="K987" s="18" t="s">
        <v>5</v>
      </c>
      <c r="L987" s="18" t="s">
        <v>6495</v>
      </c>
      <c r="M987" s="18" t="s">
        <v>407</v>
      </c>
      <c r="N987" s="18" t="s">
        <v>8033</v>
      </c>
      <c r="O987" s="18" t="s">
        <v>8033</v>
      </c>
      <c r="P987" s="18" t="s">
        <v>6496</v>
      </c>
      <c r="Q987" s="22">
        <f t="shared" si="47"/>
        <v>56320000</v>
      </c>
      <c r="R987" s="18">
        <v>960.35</v>
      </c>
      <c r="S987" s="19">
        <v>-6.81</v>
      </c>
      <c r="T987" s="18">
        <v>52431355</v>
      </c>
      <c r="U987" s="20">
        <v>44741</v>
      </c>
      <c r="V987" s="18" t="str">
        <f t="shared" si="45"/>
        <v>Missing</v>
      </c>
    </row>
    <row r="988" spans="1:22" ht="14.5" customHeight="1" x14ac:dyDescent="0.35">
      <c r="A988" s="15" t="s">
        <v>8014</v>
      </c>
      <c r="B988" s="15" t="s">
        <v>6832</v>
      </c>
      <c r="C988" s="15" t="s">
        <v>6497</v>
      </c>
      <c r="D988" s="15" t="s">
        <v>6498</v>
      </c>
      <c r="E988" s="15" t="s">
        <v>13</v>
      </c>
      <c r="F988" s="15" t="str">
        <f t="shared" si="46"/>
        <v>Male</v>
      </c>
      <c r="G988" s="15" t="s">
        <v>6499</v>
      </c>
      <c r="H988" s="15" t="s">
        <v>6500</v>
      </c>
      <c r="I988" s="15">
        <v>987</v>
      </c>
      <c r="J988" s="15">
        <v>987</v>
      </c>
      <c r="K988" s="15" t="s">
        <v>32</v>
      </c>
      <c r="L988" s="15" t="s">
        <v>6501</v>
      </c>
      <c r="M988" s="15" t="s">
        <v>6502</v>
      </c>
      <c r="N988" s="15" t="s">
        <v>8033</v>
      </c>
      <c r="O988" s="15" t="s">
        <v>8033</v>
      </c>
      <c r="P988" s="15" t="s">
        <v>8033</v>
      </c>
      <c r="Q988" s="22">
        <f t="shared" si="47"/>
        <v>0</v>
      </c>
      <c r="R988" s="15">
        <v>1388.5</v>
      </c>
      <c r="S988" s="16">
        <v>6.98</v>
      </c>
      <c r="T988" s="15">
        <v>152470077</v>
      </c>
      <c r="U988" s="17">
        <v>45351</v>
      </c>
      <c r="V988" s="15" t="str">
        <f t="shared" si="45"/>
        <v>Missing</v>
      </c>
    </row>
    <row r="989" spans="1:22" ht="14.5" customHeight="1" x14ac:dyDescent="0.35">
      <c r="A989" s="18" t="s">
        <v>8015</v>
      </c>
      <c r="B989" s="18" t="s">
        <v>6870</v>
      </c>
      <c r="C989" s="18" t="s">
        <v>6503</v>
      </c>
      <c r="D989" s="18" t="s">
        <v>6504</v>
      </c>
      <c r="E989" s="18" t="s">
        <v>2</v>
      </c>
      <c r="F989" s="15" t="str">
        <f t="shared" si="46"/>
        <v>Female</v>
      </c>
      <c r="G989" s="18" t="s">
        <v>6505</v>
      </c>
      <c r="H989" s="18" t="s">
        <v>6506</v>
      </c>
      <c r="I989" s="18">
        <v>988</v>
      </c>
      <c r="J989" s="18">
        <v>988</v>
      </c>
      <c r="K989" s="18" t="s">
        <v>32</v>
      </c>
      <c r="L989" s="18" t="s">
        <v>6507</v>
      </c>
      <c r="M989" s="18" t="s">
        <v>6508</v>
      </c>
      <c r="N989" s="18" t="s">
        <v>8033</v>
      </c>
      <c r="O989" s="18" t="s">
        <v>8033</v>
      </c>
      <c r="P989" s="18" t="s">
        <v>8033</v>
      </c>
      <c r="Q989" s="22">
        <f t="shared" si="47"/>
        <v>0</v>
      </c>
      <c r="R989" s="18">
        <v>90.75</v>
      </c>
      <c r="S989" s="19">
        <v>-14.4</v>
      </c>
      <c r="T989" s="18">
        <v>58197379</v>
      </c>
      <c r="U989" s="20">
        <v>44433</v>
      </c>
      <c r="V989" s="18" t="str">
        <f t="shared" si="45"/>
        <v>Missing</v>
      </c>
    </row>
    <row r="990" spans="1:22" ht="14.5" customHeight="1" x14ac:dyDescent="0.35">
      <c r="A990" s="15" t="s">
        <v>8016</v>
      </c>
      <c r="B990" s="15" t="s">
        <v>8017</v>
      </c>
      <c r="C990" s="15" t="s">
        <v>77</v>
      </c>
      <c r="D990" s="15" t="s">
        <v>6509</v>
      </c>
      <c r="E990" s="15" t="s">
        <v>2</v>
      </c>
      <c r="F990" s="15" t="str">
        <f t="shared" si="46"/>
        <v>Female</v>
      </c>
      <c r="G990" s="15" t="s">
        <v>6510</v>
      </c>
      <c r="H990" s="15" t="s">
        <v>6511</v>
      </c>
      <c r="I990" s="15">
        <v>989</v>
      </c>
      <c r="J990" s="15">
        <v>989</v>
      </c>
      <c r="K990" s="15" t="s">
        <v>5</v>
      </c>
      <c r="L990" s="15" t="s">
        <v>6512</v>
      </c>
      <c r="M990" s="15" t="s">
        <v>6513</v>
      </c>
      <c r="N990" s="15" t="s">
        <v>189</v>
      </c>
      <c r="O990" s="15" t="s">
        <v>2114</v>
      </c>
      <c r="P990" s="15" t="s">
        <v>3542</v>
      </c>
      <c r="Q990" s="22">
        <f t="shared" si="47"/>
        <v>1180000000</v>
      </c>
      <c r="R990" s="15">
        <v>639.48</v>
      </c>
      <c r="S990" s="16">
        <v>10.53</v>
      </c>
      <c r="T990" s="15">
        <v>153791246</v>
      </c>
      <c r="U990" s="17">
        <v>45228</v>
      </c>
      <c r="V990" s="15" t="str">
        <f t="shared" si="45"/>
        <v>Complete</v>
      </c>
    </row>
    <row r="991" spans="1:22" ht="14.5" customHeight="1" x14ac:dyDescent="0.35">
      <c r="A991" s="18" t="s">
        <v>8018</v>
      </c>
      <c r="B991" s="18" t="s">
        <v>7520</v>
      </c>
      <c r="C991" s="18" t="s">
        <v>1413</v>
      </c>
      <c r="D991" s="18" t="s">
        <v>6514</v>
      </c>
      <c r="E991" s="18" t="s">
        <v>2</v>
      </c>
      <c r="F991" s="15" t="str">
        <f t="shared" si="46"/>
        <v>Female</v>
      </c>
      <c r="G991" s="18" t="s">
        <v>6515</v>
      </c>
      <c r="H991" s="18" t="s">
        <v>6516</v>
      </c>
      <c r="I991" s="18">
        <v>990</v>
      </c>
      <c r="J991" s="18">
        <v>990</v>
      </c>
      <c r="K991" s="18" t="s">
        <v>32</v>
      </c>
      <c r="L991" s="18" t="s">
        <v>6517</v>
      </c>
      <c r="M991" s="18" t="s">
        <v>6518</v>
      </c>
      <c r="N991" s="18" t="s">
        <v>8033</v>
      </c>
      <c r="O991" s="18" t="s">
        <v>8033</v>
      </c>
      <c r="P991" s="18" t="s">
        <v>6519</v>
      </c>
      <c r="Q991" s="22">
        <f t="shared" si="47"/>
        <v>324290000</v>
      </c>
      <c r="R991" s="18">
        <v>429</v>
      </c>
      <c r="S991" s="19">
        <v>-18.5</v>
      </c>
      <c r="T991" s="18">
        <v>102724198</v>
      </c>
      <c r="U991" s="20">
        <v>45635</v>
      </c>
      <c r="V991" s="18" t="str">
        <f t="shared" si="45"/>
        <v>Missing</v>
      </c>
    </row>
    <row r="992" spans="1:22" ht="14.5" customHeight="1" x14ac:dyDescent="0.35">
      <c r="A992" s="15" t="s">
        <v>8019</v>
      </c>
      <c r="B992" s="15" t="s">
        <v>7156</v>
      </c>
      <c r="C992" s="15" t="s">
        <v>6520</v>
      </c>
      <c r="D992" s="15" t="s">
        <v>6521</v>
      </c>
      <c r="E992" s="15" t="s">
        <v>52</v>
      </c>
      <c r="F992" s="15" t="str">
        <f t="shared" si="46"/>
        <v>Other</v>
      </c>
      <c r="G992" s="15" t="s">
        <v>6522</v>
      </c>
      <c r="H992" s="15" t="s">
        <v>6523</v>
      </c>
      <c r="I992" s="15">
        <v>991</v>
      </c>
      <c r="J992" s="15">
        <v>991</v>
      </c>
      <c r="K992" s="15" t="s">
        <v>5</v>
      </c>
      <c r="L992" s="15" t="s">
        <v>1215</v>
      </c>
      <c r="M992" s="15" t="s">
        <v>1216</v>
      </c>
      <c r="N992" s="15" t="s">
        <v>48</v>
      </c>
      <c r="O992" s="15" t="s">
        <v>57</v>
      </c>
      <c r="P992" s="15" t="s">
        <v>1217</v>
      </c>
      <c r="Q992" s="22">
        <f t="shared" si="47"/>
        <v>161780000</v>
      </c>
      <c r="R992" s="15">
        <v>849.07</v>
      </c>
      <c r="S992" s="16">
        <v>5.61</v>
      </c>
      <c r="T992" s="15">
        <v>169977736</v>
      </c>
      <c r="U992" s="17">
        <v>44213</v>
      </c>
      <c r="V992" s="15" t="str">
        <f t="shared" si="45"/>
        <v>Complete</v>
      </c>
    </row>
    <row r="993" spans="1:22" ht="14.5" customHeight="1" x14ac:dyDescent="0.35">
      <c r="A993" s="18" t="s">
        <v>8020</v>
      </c>
      <c r="B993" s="18" t="s">
        <v>8021</v>
      </c>
      <c r="C993" s="18" t="s">
        <v>3448</v>
      </c>
      <c r="D993" s="18" t="s">
        <v>6524</v>
      </c>
      <c r="E993" s="18" t="s">
        <v>13</v>
      </c>
      <c r="F993" s="15" t="str">
        <f t="shared" si="46"/>
        <v>Male</v>
      </c>
      <c r="G993" s="18" t="s">
        <v>6525</v>
      </c>
      <c r="H993" s="18" t="s">
        <v>6526</v>
      </c>
      <c r="I993" s="18">
        <v>992</v>
      </c>
      <c r="J993" s="18">
        <v>992</v>
      </c>
      <c r="K993" s="18" t="s">
        <v>5</v>
      </c>
      <c r="L993" s="18" t="s">
        <v>6527</v>
      </c>
      <c r="M993" s="18" t="s">
        <v>6528</v>
      </c>
      <c r="N993" s="18" t="s">
        <v>66</v>
      </c>
      <c r="O993" s="18" t="s">
        <v>181</v>
      </c>
      <c r="P993" s="18" t="s">
        <v>6529</v>
      </c>
      <c r="Q993" s="22">
        <f t="shared" si="47"/>
        <v>45410000</v>
      </c>
      <c r="R993" s="18">
        <v>1856.08</v>
      </c>
      <c r="S993" s="19">
        <v>-10.34</v>
      </c>
      <c r="T993" s="18">
        <v>72808291</v>
      </c>
      <c r="U993" s="20">
        <v>45801</v>
      </c>
      <c r="V993" s="18" t="str">
        <f t="shared" si="45"/>
        <v>Complete</v>
      </c>
    </row>
    <row r="994" spans="1:22" ht="14.5" customHeight="1" x14ac:dyDescent="0.35">
      <c r="A994" s="15" t="s">
        <v>8022</v>
      </c>
      <c r="B994" s="15" t="s">
        <v>6770</v>
      </c>
      <c r="C994" s="15" t="s">
        <v>6530</v>
      </c>
      <c r="D994" s="15" t="s">
        <v>6531</v>
      </c>
      <c r="E994" s="15" t="s">
        <v>13</v>
      </c>
      <c r="F994" s="15" t="str">
        <f t="shared" si="46"/>
        <v>Male</v>
      </c>
      <c r="G994" s="15" t="s">
        <v>6532</v>
      </c>
      <c r="H994" s="15" t="s">
        <v>6533</v>
      </c>
      <c r="I994" s="15">
        <v>993</v>
      </c>
      <c r="J994" s="15">
        <v>993</v>
      </c>
      <c r="K994" s="15" t="s">
        <v>32</v>
      </c>
      <c r="L994" s="15" t="s">
        <v>6534</v>
      </c>
      <c r="M994" s="15" t="s">
        <v>4795</v>
      </c>
      <c r="N994" s="15" t="s">
        <v>8033</v>
      </c>
      <c r="O994" s="15" t="s">
        <v>8033</v>
      </c>
      <c r="P994" s="15" t="s">
        <v>8033</v>
      </c>
      <c r="Q994" s="22">
        <f t="shared" si="47"/>
        <v>0</v>
      </c>
      <c r="R994" s="15">
        <v>1199.95</v>
      </c>
      <c r="S994" s="16">
        <v>-14.02</v>
      </c>
      <c r="T994" s="15">
        <v>180983320</v>
      </c>
      <c r="U994" s="17">
        <v>46202</v>
      </c>
      <c r="V994" s="15" t="str">
        <f t="shared" si="45"/>
        <v>Missing</v>
      </c>
    </row>
    <row r="995" spans="1:22" ht="14.5" customHeight="1" x14ac:dyDescent="0.35">
      <c r="A995" s="18" t="s">
        <v>8023</v>
      </c>
      <c r="B995" s="18" t="s">
        <v>6686</v>
      </c>
      <c r="C995" s="18" t="s">
        <v>6535</v>
      </c>
      <c r="D995" s="18" t="s">
        <v>6536</v>
      </c>
      <c r="E995" s="18" t="s">
        <v>2</v>
      </c>
      <c r="F995" s="15" t="str">
        <f t="shared" si="46"/>
        <v>Female</v>
      </c>
      <c r="G995" s="18" t="s">
        <v>6537</v>
      </c>
      <c r="H995" s="18" t="s">
        <v>6538</v>
      </c>
      <c r="I995" s="18">
        <v>994</v>
      </c>
      <c r="J995" s="18">
        <v>994</v>
      </c>
      <c r="K995" s="18" t="s">
        <v>5</v>
      </c>
      <c r="L995" s="18" t="s">
        <v>6539</v>
      </c>
      <c r="M995" s="18" t="s">
        <v>6540</v>
      </c>
      <c r="N995" s="18" t="s">
        <v>8</v>
      </c>
      <c r="O995" s="18" t="s">
        <v>18</v>
      </c>
      <c r="P995" s="18" t="s">
        <v>6541</v>
      </c>
      <c r="Q995" s="22">
        <f t="shared" si="47"/>
        <v>14600000000</v>
      </c>
      <c r="R995" s="18">
        <v>149.74</v>
      </c>
      <c r="S995" s="19">
        <v>1.98</v>
      </c>
      <c r="T995" s="18">
        <v>45237830</v>
      </c>
      <c r="U995" s="20">
        <v>46185</v>
      </c>
      <c r="V995" s="18" t="str">
        <f t="shared" si="45"/>
        <v>Complete</v>
      </c>
    </row>
    <row r="996" spans="1:22" ht="14.5" customHeight="1" x14ac:dyDescent="0.35">
      <c r="A996" s="15" t="s">
        <v>8024</v>
      </c>
      <c r="B996" s="15" t="s">
        <v>6589</v>
      </c>
      <c r="C996" s="15" t="s">
        <v>6542</v>
      </c>
      <c r="D996" s="15" t="s">
        <v>6543</v>
      </c>
      <c r="E996" s="15" t="s">
        <v>13</v>
      </c>
      <c r="F996" s="15" t="str">
        <f t="shared" si="46"/>
        <v>Male</v>
      </c>
      <c r="G996" s="15" t="s">
        <v>6544</v>
      </c>
      <c r="H996" s="15" t="s">
        <v>6545</v>
      </c>
      <c r="I996" s="15">
        <v>995</v>
      </c>
      <c r="J996" s="15">
        <v>995</v>
      </c>
      <c r="K996" s="15" t="s">
        <v>5</v>
      </c>
      <c r="L996" s="15" t="s">
        <v>6546</v>
      </c>
      <c r="M996" s="15" t="s">
        <v>6547</v>
      </c>
      <c r="N996" s="15" t="s">
        <v>189</v>
      </c>
      <c r="O996" s="15" t="s">
        <v>308</v>
      </c>
      <c r="P996" s="15" t="s">
        <v>6548</v>
      </c>
      <c r="Q996" s="22">
        <f t="shared" si="47"/>
        <v>286770000</v>
      </c>
      <c r="R996" s="15">
        <v>1094.1199999999999</v>
      </c>
      <c r="S996" s="16">
        <v>-19.86</v>
      </c>
      <c r="T996" s="15">
        <v>96164656</v>
      </c>
      <c r="U996" s="17">
        <v>45131</v>
      </c>
      <c r="V996" s="15" t="str">
        <f t="shared" si="45"/>
        <v>Complete</v>
      </c>
    </row>
    <row r="997" spans="1:22" ht="14.5" customHeight="1" x14ac:dyDescent="0.35">
      <c r="A997" s="18" t="s">
        <v>8025</v>
      </c>
      <c r="B997" s="18" t="s">
        <v>8026</v>
      </c>
      <c r="C997" s="18" t="s">
        <v>6020</v>
      </c>
      <c r="D997" s="18" t="s">
        <v>6549</v>
      </c>
      <c r="E997" s="18" t="s">
        <v>13</v>
      </c>
      <c r="F997" s="15" t="str">
        <f t="shared" si="46"/>
        <v>Male</v>
      </c>
      <c r="G997" s="18" t="s">
        <v>6550</v>
      </c>
      <c r="H997" s="18" t="s">
        <v>6551</v>
      </c>
      <c r="I997" s="18">
        <v>996</v>
      </c>
      <c r="J997" s="18">
        <v>996</v>
      </c>
      <c r="K997" s="18" t="s">
        <v>32</v>
      </c>
      <c r="L997" s="18" t="s">
        <v>6552</v>
      </c>
      <c r="M997" s="18" t="s">
        <v>6553</v>
      </c>
      <c r="N997" s="18" t="s">
        <v>117</v>
      </c>
      <c r="O997" s="18" t="s">
        <v>344</v>
      </c>
      <c r="P997" s="18" t="s">
        <v>6554</v>
      </c>
      <c r="Q997" s="22">
        <f t="shared" si="47"/>
        <v>38480000000</v>
      </c>
      <c r="R997" s="18">
        <v>1948.08</v>
      </c>
      <c r="S997" s="19">
        <v>-7.64</v>
      </c>
      <c r="T997" s="18">
        <v>53673997</v>
      </c>
      <c r="U997" s="20">
        <v>44398</v>
      </c>
      <c r="V997" s="18" t="str">
        <f t="shared" si="45"/>
        <v>Complete</v>
      </c>
    </row>
    <row r="998" spans="1:22" ht="14.5" customHeight="1" x14ac:dyDescent="0.35">
      <c r="A998" s="15" t="s">
        <v>8027</v>
      </c>
      <c r="B998" s="15" t="s">
        <v>7172</v>
      </c>
      <c r="C998" s="15" t="s">
        <v>6555</v>
      </c>
      <c r="D998" s="15" t="s">
        <v>6556</v>
      </c>
      <c r="E998" s="15" t="s">
        <v>2</v>
      </c>
      <c r="F998" s="15" t="str">
        <f t="shared" si="46"/>
        <v>Female</v>
      </c>
      <c r="G998" s="15" t="s">
        <v>6557</v>
      </c>
      <c r="H998" s="15" t="s">
        <v>6558</v>
      </c>
      <c r="I998" s="15">
        <v>997</v>
      </c>
      <c r="J998" s="15">
        <v>997</v>
      </c>
      <c r="K998" s="15" t="s">
        <v>32</v>
      </c>
      <c r="L998" s="15" t="s">
        <v>4701</v>
      </c>
      <c r="M998" s="15" t="s">
        <v>4702</v>
      </c>
      <c r="N998" s="15" t="s">
        <v>323</v>
      </c>
      <c r="O998" s="15" t="s">
        <v>3426</v>
      </c>
      <c r="P998" s="15" t="s">
        <v>4703</v>
      </c>
      <c r="Q998" s="22">
        <f t="shared" si="47"/>
        <v>3460000000</v>
      </c>
      <c r="R998" s="15">
        <v>976.04</v>
      </c>
      <c r="S998" s="16">
        <v>-16.440000000000001</v>
      </c>
      <c r="T998" s="15">
        <v>16754926</v>
      </c>
      <c r="U998" s="17">
        <v>46288</v>
      </c>
      <c r="V998" s="15" t="str">
        <f t="shared" si="45"/>
        <v>Complete</v>
      </c>
    </row>
    <row r="999" spans="1:22" ht="14.5" customHeight="1" x14ac:dyDescent="0.35">
      <c r="A999" s="18" t="s">
        <v>8028</v>
      </c>
      <c r="B999" s="18" t="s">
        <v>6631</v>
      </c>
      <c r="C999" s="18" t="s">
        <v>6559</v>
      </c>
      <c r="D999" s="18" t="s">
        <v>1405</v>
      </c>
      <c r="E999" s="18" t="s">
        <v>13</v>
      </c>
      <c r="F999" s="15" t="str">
        <f t="shared" si="46"/>
        <v>Male</v>
      </c>
      <c r="G999" s="18" t="s">
        <v>6560</v>
      </c>
      <c r="H999" s="18" t="s">
        <v>6561</v>
      </c>
      <c r="I999" s="18">
        <v>998</v>
      </c>
      <c r="J999" s="18">
        <v>998</v>
      </c>
      <c r="K999" s="18" t="s">
        <v>32</v>
      </c>
      <c r="L999" s="18" t="s">
        <v>3826</v>
      </c>
      <c r="M999" s="18" t="s">
        <v>3827</v>
      </c>
      <c r="N999" s="18" t="s">
        <v>8033</v>
      </c>
      <c r="O999" s="18" t="s">
        <v>8033</v>
      </c>
      <c r="P999" s="18" t="s">
        <v>3828</v>
      </c>
      <c r="Q999" s="22">
        <f t="shared" si="47"/>
        <v>239770000</v>
      </c>
      <c r="R999" s="18">
        <v>112.73</v>
      </c>
      <c r="S999" s="19">
        <v>9.5</v>
      </c>
      <c r="T999" s="18">
        <v>37912319</v>
      </c>
      <c r="U999" s="20">
        <v>45436</v>
      </c>
      <c r="V999" s="18" t="str">
        <f t="shared" si="45"/>
        <v>Missing</v>
      </c>
    </row>
    <row r="1000" spans="1:22" ht="14.5" customHeight="1" x14ac:dyDescent="0.35">
      <c r="A1000" s="15" t="s">
        <v>8029</v>
      </c>
      <c r="B1000" s="15" t="s">
        <v>6733</v>
      </c>
      <c r="C1000" s="15" t="s">
        <v>6562</v>
      </c>
      <c r="D1000" s="15" t="s">
        <v>6563</v>
      </c>
      <c r="E1000" s="15" t="s">
        <v>2</v>
      </c>
      <c r="F1000" s="15" t="str">
        <f t="shared" si="46"/>
        <v>Female</v>
      </c>
      <c r="G1000" s="15" t="s">
        <v>6564</v>
      </c>
      <c r="H1000" s="15" t="s">
        <v>6565</v>
      </c>
      <c r="I1000" s="15">
        <v>999</v>
      </c>
      <c r="J1000" s="15">
        <v>999</v>
      </c>
      <c r="K1000" s="15" t="s">
        <v>32</v>
      </c>
      <c r="L1000" s="15" t="s">
        <v>6566</v>
      </c>
      <c r="M1000" s="15" t="s">
        <v>6567</v>
      </c>
      <c r="N1000" s="15" t="s">
        <v>8033</v>
      </c>
      <c r="O1000" s="15" t="s">
        <v>8033</v>
      </c>
      <c r="P1000" s="15" t="s">
        <v>6568</v>
      </c>
      <c r="Q1000" s="22">
        <f t="shared" si="47"/>
        <v>594950000</v>
      </c>
      <c r="R1000" s="15">
        <v>1270.1099999999999</v>
      </c>
      <c r="S1000" s="16">
        <v>1.06</v>
      </c>
      <c r="T1000" s="15">
        <v>70440874</v>
      </c>
      <c r="U1000" s="17">
        <v>44403</v>
      </c>
      <c r="V1000" s="15" t="str">
        <f t="shared" si="45"/>
        <v>Missing</v>
      </c>
    </row>
    <row r="1001" spans="1:22" ht="14.5" customHeight="1" x14ac:dyDescent="0.35">
      <c r="A1001" s="18" t="s">
        <v>8030</v>
      </c>
      <c r="B1001" s="18" t="s">
        <v>6969</v>
      </c>
      <c r="C1001" s="18" t="s">
        <v>6569</v>
      </c>
      <c r="D1001" s="18" t="s">
        <v>6570</v>
      </c>
      <c r="E1001" s="18" t="s">
        <v>2</v>
      </c>
      <c r="F1001" s="15" t="str">
        <f t="shared" si="46"/>
        <v>Female</v>
      </c>
      <c r="G1001" s="18" t="s">
        <v>6571</v>
      </c>
      <c r="H1001" s="18" t="s">
        <v>6572</v>
      </c>
      <c r="I1001" s="18">
        <v>1000</v>
      </c>
      <c r="J1001" s="18">
        <v>1000</v>
      </c>
      <c r="K1001" s="18" t="s">
        <v>5</v>
      </c>
      <c r="L1001" s="18" t="s">
        <v>1680</v>
      </c>
      <c r="M1001" s="18" t="s">
        <v>1681</v>
      </c>
      <c r="N1001" s="18" t="s">
        <v>99</v>
      </c>
      <c r="O1001" s="18" t="s">
        <v>1498</v>
      </c>
      <c r="P1001" s="18" t="s">
        <v>1682</v>
      </c>
      <c r="Q1001" s="22">
        <f t="shared" si="47"/>
        <v>834310000</v>
      </c>
      <c r="R1001" s="18">
        <v>774.19</v>
      </c>
      <c r="S1001" s="19">
        <v>-0.09</v>
      </c>
      <c r="T1001" s="18">
        <v>117229741</v>
      </c>
      <c r="U1001" s="20">
        <v>45119</v>
      </c>
      <c r="V1001" s="18" t="str">
        <f t="shared" si="45"/>
        <v>Complete</v>
      </c>
    </row>
    <row r="1002" spans="1:22" ht="14.5" customHeight="1" x14ac:dyDescent="0.35">
      <c r="A1002" s="24" t="s">
        <v>8045</v>
      </c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</row>
    <row r="1003" spans="1:22" ht="14.5" customHeight="1" x14ac:dyDescent="0.3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8"/>
      <c r="R1003" s="7"/>
      <c r="S1003" s="9"/>
      <c r="T1003" s="7"/>
      <c r="U1003" s="10"/>
      <c r="V1003" s="7" t="str">
        <f>IF(OR(N:N="n/a", O:O="n/a", P:P="n/a"), "Missing", "Complete")</f>
        <v>Complete</v>
      </c>
    </row>
  </sheetData>
  <conditionalFormatting sqref="V1:V1001 V1003:V1048576">
    <cfRule type="cellIs" dxfId="0" priority="1" operator="equal">
      <formula>"Missing"</formula>
    </cfRule>
  </conditionalFormatting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6"/>
  <sheetViews>
    <sheetView tabSelected="1" workbookViewId="0">
      <selection activeCell="C7" sqref="C7"/>
    </sheetView>
  </sheetViews>
  <sheetFormatPr defaultRowHeight="14.5" x14ac:dyDescent="0.35"/>
  <cols>
    <col min="2" max="2" width="21.6328125" bestFit="1" customWidth="1"/>
    <col min="3" max="3" width="17.1796875" bestFit="1" customWidth="1"/>
  </cols>
  <sheetData>
    <row r="1" spans="2:3" x14ac:dyDescent="0.35">
      <c r="B1" s="4" t="s">
        <v>8038</v>
      </c>
      <c r="C1" t="s">
        <v>8042</v>
      </c>
    </row>
    <row r="2" spans="2:3" x14ac:dyDescent="0.35">
      <c r="B2" s="5" t="s">
        <v>189</v>
      </c>
      <c r="C2" s="25">
        <v>4696966716</v>
      </c>
    </row>
    <row r="3" spans="2:3" x14ac:dyDescent="0.35">
      <c r="B3" s="5" t="s">
        <v>25</v>
      </c>
      <c r="C3" s="25">
        <v>6418608749</v>
      </c>
    </row>
    <row r="4" spans="2:3" x14ac:dyDescent="0.35">
      <c r="B4" s="5" t="s">
        <v>323</v>
      </c>
      <c r="C4" s="25">
        <v>2441919998</v>
      </c>
    </row>
    <row r="5" spans="2:3" x14ac:dyDescent="0.35">
      <c r="B5" s="5" t="s">
        <v>90</v>
      </c>
      <c r="C5" s="25">
        <v>3572626898</v>
      </c>
    </row>
    <row r="6" spans="2:3" x14ac:dyDescent="0.35">
      <c r="B6" s="5" t="s">
        <v>99</v>
      </c>
      <c r="C6" s="25">
        <v>10385430325</v>
      </c>
    </row>
    <row r="7" spans="2:3" x14ac:dyDescent="0.35">
      <c r="B7" s="5" t="s">
        <v>142</v>
      </c>
      <c r="C7" s="25">
        <v>4857739800</v>
      </c>
    </row>
    <row r="8" spans="2:3" x14ac:dyDescent="0.35">
      <c r="B8" s="5" t="s">
        <v>48</v>
      </c>
      <c r="C8" s="25">
        <v>15306799589</v>
      </c>
    </row>
    <row r="9" spans="2:3" x14ac:dyDescent="0.35">
      <c r="B9" s="5" t="s">
        <v>8</v>
      </c>
      <c r="C9" s="25">
        <v>12110957916</v>
      </c>
    </row>
    <row r="10" spans="2:3" x14ac:dyDescent="0.35">
      <c r="B10" s="5" t="s">
        <v>117</v>
      </c>
      <c r="C10" s="25">
        <v>2754055997</v>
      </c>
    </row>
    <row r="11" spans="2:3" x14ac:dyDescent="0.35">
      <c r="B11" s="5" t="s">
        <v>8033</v>
      </c>
      <c r="C11" s="25">
        <v>22887250694</v>
      </c>
    </row>
    <row r="12" spans="2:3" x14ac:dyDescent="0.35">
      <c r="B12" s="5" t="s">
        <v>134</v>
      </c>
      <c r="C12" s="25">
        <v>4680482121</v>
      </c>
    </row>
    <row r="13" spans="2:3" x14ac:dyDescent="0.35">
      <c r="B13" s="5" t="s">
        <v>66</v>
      </c>
      <c r="C13" s="25">
        <v>10330134806</v>
      </c>
    </row>
    <row r="14" spans="2:3" x14ac:dyDescent="0.35">
      <c r="B14" s="5" t="s">
        <v>1291</v>
      </c>
      <c r="C14" s="25">
        <v>1535181259</v>
      </c>
    </row>
    <row r="15" spans="2:3" x14ac:dyDescent="0.35">
      <c r="B15" s="5" t="s">
        <v>8039</v>
      </c>
      <c r="C15" s="25"/>
    </row>
    <row r="16" spans="2:3" x14ac:dyDescent="0.35">
      <c r="B16" s="5" t="s">
        <v>8040</v>
      </c>
      <c r="C16" s="25">
        <v>101978154868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F928B-1D24-4688-867B-F358194372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MOCK_DATA</vt:lpstr>
      <vt:lpstr>pivot_chart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2026-08-19T14:11:42Z</dcterms:created>
  <dcterms:modified xsi:type="dcterms:W3CDTF">2026-09-23T18:48:46Z</dcterms:modified>
</cp:coreProperties>
</file>